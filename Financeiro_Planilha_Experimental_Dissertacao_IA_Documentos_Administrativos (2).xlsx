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TOCOLO" sheetId="1" r:id="rId4"/>
    <sheet state="visible" name="DOCUMENTOS" sheetId="2" r:id="rId5"/>
    <sheet state="visible" name="BANCO DE PERGUNTAS" sheetId="3" r:id="rId6"/>
    <sheet state="visible" name="AVALIAÇÃO" sheetId="4" r:id="rId7"/>
    <sheet state="visible" name="RESULTADOS" sheetId="5" r:id="rId8"/>
    <sheet state="visible" name="DASHBOARD" sheetId="6" r:id="rId9"/>
    <sheet state="visible" name="GOLD - Respostas Referência" sheetId="7" r:id="rId10"/>
    <sheet state="hidden" name="MATRIZ DE TESTES" sheetId="8" r:id="rId11"/>
    <sheet state="visible" name="DICIONÁRIO DE DADOS" sheetId="9" r:id="rId12"/>
    <sheet state="hidden" name="CONTROLE METODOLÓGICO" sheetId="10" r:id="rId13"/>
  </sheets>
  <definedNames>
    <definedName hidden="1" localSheetId="1" name="_xlnm._FilterDatabase">DOCUMENTOS!$A$2:$T$2</definedName>
    <definedName hidden="1" localSheetId="2" name="_xlnm._FilterDatabase">'BANCO DE PERGUNTAS'!$A$2:$M$2</definedName>
    <definedName hidden="1" localSheetId="6" name="_xlnm._FilterDatabase">'GOLD - Respostas Referência'!$A$2:$R$2</definedName>
    <definedName hidden="1" localSheetId="7" name="_xlnm._FilterDatabase">'MATRIZ DE TESTES'!$A$3:$Z$3</definedName>
    <definedName hidden="1" localSheetId="8" name="_xlnm._FilterDatabase">'DICIONÁRIO DE DADOS'!$A$2:$H$2</definedName>
    <definedName hidden="1" localSheetId="9" name="_xlnm._FilterDatabase">'CONTROLE METODOLÓGICO'!$A$2:$X$2</definedName>
  </definedNames>
  <calcPr/>
  <extLst>
    <ext uri="GoogleSheetsCustomDataVersion2">
      <go:sheetsCustomData xmlns:go="http://customooxmlschemas.google.com/" r:id="rId14" roundtripDataChecksum="G29SEMrgdaHelRHj0ll1enzAGXSwIaJW6yiSY1soCmY="/>
    </ext>
  </extLst>
</workbook>
</file>

<file path=xl/sharedStrings.xml><?xml version="1.0" encoding="utf-8"?>
<sst xmlns="http://schemas.openxmlformats.org/spreadsheetml/2006/main" count="8833" uniqueCount="3131">
  <si>
    <t>PROTOCOLO EXPERIMENTAL DA DISSERTAÇÃO</t>
  </si>
  <si>
    <t>Avaliação Experimental de Ferramentas de IA Generativa na
Análise de Documentos Financeiros da Administração Pública</t>
  </si>
  <si>
    <t>1. IDENTIFICAÇÃO DA PESQUISA</t>
  </si>
  <si>
    <t>ABA 3 - BANCO DE PERGUNTAS (33 gerais + 20 específicas por tipo documental)</t>
  </si>
  <si>
    <t>ABA 2 - DOCUMENTOS DO EXPERIMENTO (20 documentos / 5 grupos)</t>
  </si>
  <si>
    <t>Título da pesquisa</t>
  </si>
  <si>
    <t>Objetivo geral</t>
  </si>
  <si>
    <t>Avaliar como diferentes ferramentas de Inteligência Artificial Generativa analisam documentos administrativos públicos.</t>
  </si>
  <si>
    <t>Objetivo da aplicação experimental</t>
  </si>
  <si>
    <t>ID_Pergunta</t>
  </si>
  <si>
    <t>Comparar, sob as mesmas condições possíveis (mesmo documento, mesma pergunta, mesmo contexto de teste), as respostas produzidas por 6 configurações de ferramentas de IA generativa frente a um conjunto padronizado de documentos administrativos e perguntas, contrastando cada resposta com uma resposta de referência (Gold) elaborada pelo pesquisador.</t>
  </si>
  <si>
    <t>2. UNIDADE EXPERIMENTAL</t>
  </si>
  <si>
    <t>Categoria</t>
  </si>
  <si>
    <t>Subcategoria</t>
  </si>
  <si>
    <t>Pergunta</t>
  </si>
  <si>
    <t>ID_Doc</t>
  </si>
  <si>
    <t>Prompt Completo</t>
  </si>
  <si>
    <t>Objetivo</t>
  </si>
  <si>
    <t>Unidade experimental</t>
  </si>
  <si>
    <t>Tipo Documental Aplicável</t>
  </si>
  <si>
    <t>Grupo</t>
  </si>
  <si>
    <t>Documento administrativo + Pergunta/prompt padronizado + Configuração de IA testada.</t>
  </si>
  <si>
    <t>Nível de Dificuldade</t>
  </si>
  <si>
    <t>Habilidade Avaliada</t>
  </si>
  <si>
    <t>Informação Esperada</t>
  </si>
  <si>
    <t>Tipo Documental</t>
  </si>
  <si>
    <t>Permite 'Não Consta no Documento'?</t>
  </si>
  <si>
    <t>Requer Comparação com Outro Documento?</t>
  </si>
  <si>
    <t>Nome do Documento</t>
  </si>
  <si>
    <t>Entrada (input)</t>
  </si>
  <si>
    <t>Observação Metodológica</t>
  </si>
  <si>
    <t>Documento administrativo público + pergunta/prompt padronizado, aplicados à ferramenta de IA.</t>
  </si>
  <si>
    <t>Nº/Identificação</t>
  </si>
  <si>
    <t>P01</t>
  </si>
  <si>
    <t>Nº SEI</t>
  </si>
  <si>
    <t>Nº Processo</t>
  </si>
  <si>
    <t>Saída (output)</t>
  </si>
  <si>
    <t>Resposta produzida pela ferramenta de Inteligência Artificial para o par documento+pergunta.</t>
  </si>
  <si>
    <t>Data</t>
  </si>
  <si>
    <t>Setor Responsável</t>
  </si>
  <si>
    <t>Finalidade</t>
  </si>
  <si>
    <t>Conceito de Gold</t>
  </si>
  <si>
    <t>Resposta de referência elaborada previamente pelo pesquisador, considerada correta e fundamentada diretamente no documento analisado, com evidência documental explícita (página/seção/trecho).</t>
  </si>
  <si>
    <t>Descrição</t>
  </si>
  <si>
    <t>Identificação</t>
  </si>
  <si>
    <t>Objeto do documento</t>
  </si>
  <si>
    <t>Qtd. Páginas</t>
  </si>
  <si>
    <t>Qual é o objeto principal deste documento?</t>
  </si>
  <si>
    <t>Com base exclusivamente no documento fornecido, responda: Qual é o objeto principal deste documento? Caso a informação não conste no documento, declare explicitamente 'não consta no documento'.</t>
  </si>
  <si>
    <t>Formato do Arquivo</t>
  </si>
  <si>
    <t>Comparação realizada</t>
  </si>
  <si>
    <t>Avaliar a capacidade da ferramenta de identificar informações do tipo 'identificação'.</t>
  </si>
  <si>
    <t>Documento + Pergunta + Gold  x  Documento + Pergunta + Resposta da IA, para cada uma das 9 configurações.</t>
  </si>
  <si>
    <t>Geral (todos os tipos)</t>
  </si>
  <si>
    <t>Tamanho do Arquivo</t>
  </si>
  <si>
    <t>ABA 5 - AVALIAÇÃO (uma linha por Documento+Pergunta; um bloco de critérios por configuração de IA)</t>
  </si>
  <si>
    <t>Identificar</t>
  </si>
  <si>
    <t>Observações</t>
  </si>
  <si>
    <t>Link/Referência SEI</t>
  </si>
  <si>
    <t>3. ESCOPO DO EXPERIMENTO</t>
  </si>
  <si>
    <t>Situação do Documento</t>
  </si>
  <si>
    <t>Documento Relacionado</t>
  </si>
  <si>
    <t>Ver evidência documental correspondente na aba GOLD.</t>
  </si>
  <si>
    <t>Processo Relacionado</t>
  </si>
  <si>
    <t>Não</t>
  </si>
  <si>
    <t>Documentos analisados</t>
  </si>
  <si>
    <t>06 documentos administrativos públicos, organizados em grupo de financeiro</t>
  </si>
  <si>
    <t>Pergunta geral, aplicável a qualquer tipo documental do corpus, resguardadas as adaptações de vocabulário indicadas entre colchetes.</t>
  </si>
  <si>
    <t>P02</t>
  </si>
  <si>
    <t>Ferramentas testadas</t>
  </si>
  <si>
    <t>ChatGPT, Claude e Gemini, cada uma em modalidade Gratuita, Paga 1 e Paga 2.</t>
  </si>
  <si>
    <t>Grupo 4 - Informação Financeira</t>
  </si>
  <si>
    <t>Número de configurações de IA</t>
  </si>
  <si>
    <t>6 (nove) configurações, avaliadas individualmente e sem agrupamento automático.</t>
  </si>
  <si>
    <t>Numeração do documento</t>
  </si>
  <si>
    <t>Financeiro</t>
  </si>
  <si>
    <t>Qual é o número ou identificação do documento?</t>
  </si>
  <si>
    <t>Com base exclusivamente no documento fornecido, responda: Qual é o número ou identificação do documento? Caso a informação não conste no documento, declare explicitamente 'não consta no documento'.</t>
  </si>
  <si>
    <t>Banco de perguntas</t>
  </si>
  <si>
    <t xml:space="preserve"> 33 perguntas gerais (P01-P33) </t>
  </si>
  <si>
    <t>Planilha de Custos</t>
  </si>
  <si>
    <t>Planilha Mapa Comparativo de Preços</t>
  </si>
  <si>
    <t>4. CRITÉRIOS E CATEGORIAS</t>
  </si>
  <si>
    <t>Mapa Comparativo de Preços</t>
  </si>
  <si>
    <t>0631096</t>
  </si>
  <si>
    <t>23854.007448/2024-94</t>
  </si>
  <si>
    <t>Critérios de avaliação</t>
  </si>
  <si>
    <t>Correção, Completude, Precisão, Consistência, Clareza, Profundidade, Fidelidade Documental, Alucinação, Omissão, Interpretação e Conformidade (ver aba DICIONÁRIO DE DADOS).</t>
  </si>
  <si>
    <t>SEI nº 0631096 (processo 23854.007448/2024-94)</t>
  </si>
  <si>
    <t>Categorias de perguntas</t>
  </si>
  <si>
    <t>P03</t>
  </si>
  <si>
    <t>Identificação, Localização, Extração, Organização, Interpretação, Identificação de Inconsistências, Detecção de Erros, Identificação de Omissões, Conformidade Documental, Análise de Risco, Comparação, Síntese, Rastreabilidade da Informação, Análise de Relações entre Informações</t>
  </si>
  <si>
    <t>Processo relacionado</t>
  </si>
  <si>
    <t>Qual é o número do processo relacionado?</t>
  </si>
  <si>
    <t>Com base exclusivamente no documento fornecido, responda: Qual é o número do processo relacionado? Caso a informação não conste no documento, declare explicitamente 'não consta no documento'.</t>
  </si>
  <si>
    <t>Níveis de dificuldade</t>
  </si>
  <si>
    <t>Pesquisa de Preços</t>
  </si>
  <si>
    <t>Nível 1 - Extração Direta; Nível 2 - Localização e Organização; Nível 3 - Interpretação; Nível 4 - Análise; Nível 5 - Raciocínio Documental</t>
  </si>
  <si>
    <t>Relatório Pesquisa de Preço - Banco de Preços</t>
  </si>
  <si>
    <t>Pesquisa de Preço - Banco de Preços</t>
  </si>
  <si>
    <t>0631080</t>
  </si>
  <si>
    <t>Sim</t>
  </si>
  <si>
    <t>5. REGRAS DE APLICAÇÃO E COMPARAÇÃO</t>
  </si>
  <si>
    <t>P04</t>
  </si>
  <si>
    <t>SEI nº 0631080 (processo 23854.007448/2024-94)</t>
  </si>
  <si>
    <t>Data do documento</t>
  </si>
  <si>
    <t>Qual é a data do documento?</t>
  </si>
  <si>
    <t>Com base exclusivamente no documento fornecido, responda: Qual é a data do documento? Caso a informação não conste no documento, declare explicitamente 'não consta no documento'.</t>
  </si>
  <si>
    <t>Regras de aplicação</t>
  </si>
  <si>
    <t>Cada configuração de IA recebe, sempre que possível, o mesmo documento, a mesma pergunta/prompt e o mesmo contexto de teste (nova conversa, sem histórico prévio, salvo quando o parâmetro de continuidade for objeto específico do teste).</t>
  </si>
  <si>
    <t>Medição</t>
  </si>
  <si>
    <t>Boletim de Medição</t>
  </si>
  <si>
    <t>0572838</t>
  </si>
  <si>
    <t>23854.003175/2026-71</t>
  </si>
  <si>
    <t>Regras de comparação</t>
  </si>
  <si>
    <t>As 6 configurações são comparadas separadamente entre si (não agrupadas). São admitidas comparações descritivas: por ferramenta . Não é criado ranking, nota prévia ou classificação de melhor/pior ferramenta: os resultados decorrem exclusivamente dos dados obtidos empiricamente.</t>
  </si>
  <si>
    <t>SEI nº 0572838 (processo 23854.003175/2026-71)</t>
  </si>
  <si>
    <t>P05</t>
  </si>
  <si>
    <t>Setor responsável</t>
  </si>
  <si>
    <t>Controle das condições experimentais</t>
  </si>
  <si>
    <t>Qual setor ou unidade está relacionado ao documento?</t>
  </si>
  <si>
    <t>Registrado na aba CONTROLE METODOLÓGICO: mesmo documento, mesma versão, mesma pergunta, mesmo prompt, mesmo idioma, mesmo contexto, mesmo formato de arquivo, tentativas, intervenções humanas, acesso à internet, uso de memória/contexto e validade/comparabilidade de cada teste.</t>
  </si>
  <si>
    <t>Com base exclusivamente no documento fornecido, responda: Qual setor ou unidade está relacionado ao documento? Caso a informação não conste no documento, declare explicitamente 'não consta no documento'.</t>
  </si>
  <si>
    <t>Nota Fiscal</t>
  </si>
  <si>
    <t>Nota Fiscal nº 119.235 - Março/26</t>
  </si>
  <si>
    <t>NF 119.235</t>
  </si>
  <si>
    <t>0574135</t>
  </si>
  <si>
    <t>6. DECLARAÇÃO METODOLÓGICA</t>
  </si>
  <si>
    <t>SEI nº 0574135 (processo 23854.003175/2026-71)</t>
  </si>
  <si>
    <t>Princípio de neutralidade</t>
  </si>
  <si>
    <t>Esta planilha não estabelece previamente qual ferramenta, modalidade, plano ou modelo é superior. Os resultados devem ser obtidos empiricamente a partir dos testes, e os cálculos de resultado apenas consolidam os dados inseridos pelo pesquisador.</t>
  </si>
  <si>
    <t>P06</t>
  </si>
  <si>
    <t>Partes envolvidas</t>
  </si>
  <si>
    <t>Quais são as partes ou instituições mencionadas?</t>
  </si>
  <si>
    <t>Nota de Empenho</t>
  </si>
  <si>
    <t>Com base exclusivamente no documento fornecido, responda: Quais são as partes ou instituições mencionadas? Caso a informação não conste no documento, declare explicitamente 'não consta no documento'.</t>
  </si>
  <si>
    <t>Empenho 2026NE000070 - Reforço</t>
  </si>
  <si>
    <t>Avaliar a capacidade da ferramenta de identificar/organizar informações do tipo 'identificação'.</t>
  </si>
  <si>
    <t>Regra de aplicação padronizada</t>
  </si>
  <si>
    <t>NE 2026NE000070</t>
  </si>
  <si>
    <t>"Todas as ferramentas deverão receber, sempre que possível, o mesmo documento, a mesma pergunta e o mesmo contexto de teste."</t>
  </si>
  <si>
    <t>0601218</t>
  </si>
  <si>
    <t>Identificar/Organizar</t>
  </si>
  <si>
    <t>23854.008489/2024-06</t>
  </si>
  <si>
    <t>P07</t>
  </si>
  <si>
    <t>SEI nº 0601218 (processo 23854.008489/2024-06)</t>
  </si>
  <si>
    <t>Localização</t>
  </si>
  <si>
    <t>Informação em seção específica</t>
  </si>
  <si>
    <t>Qual informação específica está apresentada na seção 08?</t>
  </si>
  <si>
    <t>Com base exclusivamente no documento fornecido, responda: Qual informação específica está apresentada na seção 8? Caso a informação não conste no documento, declare explicitamente 'não consta no documento'.</t>
  </si>
  <si>
    <t>Avaliar a capacidade da ferramenta de localizar informações do tipo 'localização'.</t>
  </si>
  <si>
    <t>Localizar</t>
  </si>
  <si>
    <t>Ordem Bancária</t>
  </si>
  <si>
    <t>Ordem Bancária 2026OB000456</t>
  </si>
  <si>
    <t>OB 2026OB000456</t>
  </si>
  <si>
    <t>0604691</t>
  </si>
  <si>
    <t>P08</t>
  </si>
  <si>
    <t>23854.003091/2026-37</t>
  </si>
  <si>
    <t>Localização de informação</t>
  </si>
  <si>
    <t>Em qual seção do documento está localizada a informação solicitada?</t>
  </si>
  <si>
    <t>Com base exclusivamente no documento fornecido, responda: Em qual seção do documento está localizada a informação solicitada? Caso a informação não conste no documento, declare explicitamente 'não consta no documento'.</t>
  </si>
  <si>
    <t>SEI nº 0604691 (processo 23854.003091/2026-37)</t>
  </si>
  <si>
    <t>P09</t>
  </si>
  <si>
    <t>Valor de item</t>
  </si>
  <si>
    <t>Qual é o valor indicado para o Valor Total Anual do Objeto licitado?</t>
  </si>
  <si>
    <t>Com base exclusivamente no documento fornecido, responda: Qual é o valor indicado para [item]? Caso a informação não conste no documento, declare explicitamente 'não consta no documento'.</t>
  </si>
  <si>
    <t>Avaliar a capacidade da ferramenta de localizar/extrair informações do tipo 'localização'.</t>
  </si>
  <si>
    <t>Localizar/Extrair</t>
  </si>
  <si>
    <t>P10</t>
  </si>
  <si>
    <t>Data de evento</t>
  </si>
  <si>
    <t>Qual é a data indicada para de assinatura de todos os membros da comissão da contratação?</t>
  </si>
  <si>
    <t>Com base exclusivamente no documento fornecido, responda: Qual é a data indicada para [evento]? Caso a informação não conste no documento, declare explicitamente 'não consta no documento'.</t>
  </si>
  <si>
    <t>P11</t>
  </si>
  <si>
    <t>Extração</t>
  </si>
  <si>
    <t>Dados estruturados</t>
  </si>
  <si>
    <t>Extraia os principais dados do documento em formato estruturado.</t>
  </si>
  <si>
    <t>Com base exclusivamente no documento fornecido, responda: Extraia os principais dados do documento em formato estruturado. Caso a informação não conste no documento, declare explicitamente 'não consta no documento'.</t>
  </si>
  <si>
    <t>Avaliar a capacidade da ferramenta de extrair/organizar informações do tipo 'extração'.</t>
  </si>
  <si>
    <t>Extrair/Organizar</t>
  </si>
  <si>
    <t>P12</t>
  </si>
  <si>
    <t>Valores financeiros</t>
  </si>
  <si>
    <t>Liste os valores financeiros presentes no documento.</t>
  </si>
  <si>
    <t>Com base exclusivamente no documento fornecido, responda: Liste os valores financeiros presentes no documento. Caso a informação não conste no documento, declare explicitamente 'não consta no documento'.</t>
  </si>
  <si>
    <t>Avaliar a capacidade da ferramenta de extrair informações do tipo 'extração'.</t>
  </si>
  <si>
    <t>Extrair</t>
  </si>
  <si>
    <t>Documento</t>
  </si>
  <si>
    <t>P13</t>
  </si>
  <si>
    <t>Obrigações e responsabilidades</t>
  </si>
  <si>
    <t>Liste as obrigações ou responsabilidades estabelecidas.</t>
  </si>
  <si>
    <t>Com base exclusivamente no documento fornecido, responda: Liste as obrigações ou responsabilidades estabelecidas. Caso a informação não conste no documento, declare explicitamente 'não consta no documento'.</t>
  </si>
  <si>
    <t>P14</t>
  </si>
  <si>
    <t>Interpretação</t>
  </si>
  <si>
    <t>Significado de cláusula</t>
  </si>
  <si>
    <t>Nível</t>
  </si>
  <si>
    <t>Explique o significado da cláusula/seção 4.1.4..</t>
  </si>
  <si>
    <t>Com base exclusivamente no documento fornecido, responda: Explique o significado da cláusula/seção [X]. Caso a informação não conste no documento, declare explicitamente 'não consta no documento'.</t>
  </si>
  <si>
    <t>Avaliar a capacidade da ferramenta de interpretar informações do tipo 'interpretação'.</t>
  </si>
  <si>
    <t>Interpretar</t>
  </si>
  <si>
    <t>ChatGPT - teste</t>
  </si>
  <si>
    <t>P15</t>
  </si>
  <si>
    <t>Finalidade administrativa</t>
  </si>
  <si>
    <t>Qual é a finalidade administrativa deste documento?</t>
  </si>
  <si>
    <t>Com base exclusivamente no documento fornecido, responda: Qual é a finalidade administrativa deste documento? Caso a informação não conste no documento, declare explicitamente 'não consta no documento'.</t>
  </si>
  <si>
    <t>P16</t>
  </si>
  <si>
    <t>Consequência de disposição</t>
  </si>
  <si>
    <t>Qual consequência decorre da informação estabelecida em 4.11?</t>
  </si>
  <si>
    <t>Com base exclusivamente no documento fornecido, responda: Qual consequência decorre da informação estabelecida em [X]? Caso a informação não conste no documento, declare explicitamente 'não consta no documento'.</t>
  </si>
  <si>
    <t xml:space="preserve">ChatGPT - GPT-6 Astra </t>
  </si>
  <si>
    <t>P17</t>
  </si>
  <si>
    <t>Identificação de Inconsistências</t>
  </si>
  <si>
    <t>Inconsistência interna</t>
  </si>
  <si>
    <t>Existem informações aparentemente inconsistentes dentro do documento?</t>
  </si>
  <si>
    <t>Com base exclusivamente no documento fornecido, responda: Existem informações aparentemente inconsistentes dentro do documento? Caso a informação não conste no documento, declare explicitamente 'não consta no documento'.</t>
  </si>
  <si>
    <t>Avaliar a capacidade da ferramenta de analisar informações do tipo 'identificação de inconsistências'.</t>
  </si>
  <si>
    <t>Analisar</t>
  </si>
  <si>
    <t>P18</t>
  </si>
  <si>
    <t>Incompatibilidade de dados</t>
  </si>
  <si>
    <t>Existem valores, datas, números ou informações aparentemente incompatíveis?</t>
  </si>
  <si>
    <t>Com base exclusivamente no documento fornecido, responda: Existem valores, datas, números ou informações aparentemente incompatíveis? Caso a informação não conste no documento, declare explicitamente 'não consta no documento'.</t>
  </si>
  <si>
    <t>P19</t>
  </si>
  <si>
    <t>ChatGPT - GPT-5.6 Luna</t>
  </si>
  <si>
    <t>Identificação de Omissões</t>
  </si>
  <si>
    <t>Ausência de informação relevante</t>
  </si>
  <si>
    <t>Existem informações relevantes ausentes?</t>
  </si>
  <si>
    <t>Com base exclusivamente no documento fornecido, responda: Existem informações relevantes ausentes? Caso a informação não conste no documento, declare explicitamente 'não consta no documento'.</t>
  </si>
  <si>
    <t>Avaliar a capacidade da ferramenta de analisar informações do tipo 'identificação de omissões'.</t>
  </si>
  <si>
    <t>P20</t>
  </si>
  <si>
    <t>Detecção de Erros</t>
  </si>
  <si>
    <t>Erros materiais</t>
  </si>
  <si>
    <t>Identifique possíveis erros materiais no documento.</t>
  </si>
  <si>
    <t>Com base exclusivamente no documento fornecido, responda: Identifique possíveis erros materiais no documento. Caso a informação não conste no documento, declare explicitamente 'não consta no documento'.</t>
  </si>
  <si>
    <t>Avaliar a capacidade da ferramenta de analisar informações do tipo 'detecção de erros'.</t>
  </si>
  <si>
    <t>P21</t>
  </si>
  <si>
    <t>Análise de Risco</t>
  </si>
  <si>
    <t>Verificação prévia por servidor</t>
  </si>
  <si>
    <t>Existem informações que deveriam ser verificadas por um servidor antes da utilização do documento?</t>
  </si>
  <si>
    <t>Com base exclusivamente no documento fornecido, responda: Existem informações que deveriam ser verificadas por um servidor antes da utilização do documento? Caso a informação não conste no documento, declare explicitamente 'não consta no documento'.</t>
  </si>
  <si>
    <t>Avaliar a capacidade da ferramenta de analisar/avaliar risco informações do tipo 'análise de risco'.</t>
  </si>
  <si>
    <t>Analisar/Avaliar Risco</t>
  </si>
  <si>
    <t>Claude - teste</t>
  </si>
  <si>
    <t>P22</t>
  </si>
  <si>
    <t>Conformidade Documental</t>
  </si>
  <si>
    <t>Desconformidade com requisitos próprios</t>
  </si>
  <si>
    <t>Existem elementos que indiquem possível desconformidade com os próprios requisitos apresentados no documento?</t>
  </si>
  <si>
    <t>Com base exclusivamente no documento fornecido, responda: Existem elementos que indiquem possível desconformidade com os próprios requisitos apresentados no documento? Caso a informação não conste no documento, declare explicitamente 'não consta no documento'.</t>
  </si>
  <si>
    <t>Avaliar a capacidade da ferramenta de analisar conformidade informações do tipo 'conformidade documental'.</t>
  </si>
  <si>
    <t>Analisar Conformidade</t>
  </si>
  <si>
    <t>P23</t>
  </si>
  <si>
    <t>Requisitos explícitos</t>
  </si>
  <si>
    <t>Quais requisitos estão explicitamente presentes?</t>
  </si>
  <si>
    <t>Com base exclusivamente no documento fornecido, responda: Quais requisitos estão explicitamente presentes? Caso a informação não conste no documento, declare explicitamente 'não consta no documento'.</t>
  </si>
  <si>
    <t>Avaliar a capacidade da ferramenta de extrair/organizar informações do tipo 'conformidade documental'.</t>
  </si>
  <si>
    <t>P24</t>
  </si>
  <si>
    <t>Informações necessárias ausentes</t>
  </si>
  <si>
    <t>Quais informações necessárias parecem estar ausentes?</t>
  </si>
  <si>
    <t>Com base exclusivamente no documento fornecido, responda: Quais informações necessárias parecem estar ausentes? Caso a informação não conste no documento, declare explicitamente 'não consta no documento'.</t>
  </si>
  <si>
    <t>Claude - Sonnet 5</t>
  </si>
  <si>
    <t>P25</t>
  </si>
  <si>
    <t>Comparação</t>
  </si>
  <si>
    <t>Conflito entre documentos</t>
  </si>
  <si>
    <t>Existem informações conflitantes com outro documento relacionado?</t>
  </si>
  <si>
    <t>Com base exclusivamente no documento fornecido, responda: Existem informações conflitantes com outro documento relacionado? Caso a informação não conste no documento, declare explicitamente 'não consta no documento'.</t>
  </si>
  <si>
    <t>Avaliar a capacidade da ferramenta de comparar informações do tipo 'comparação'.</t>
  </si>
  <si>
    <t>Comparar</t>
  </si>
  <si>
    <t>P26</t>
  </si>
  <si>
    <t>Diferenças entre documentos</t>
  </si>
  <si>
    <t>Quais diferenças existem entre os documentos?</t>
  </si>
  <si>
    <t>Com base exclusivamente no documento fornecido, responda: Quais diferenças existem entre os documentos? Caso a informação não conste no documento, declare explicitamente 'não consta no documento'.</t>
  </si>
  <si>
    <t>Claude - Opus 5</t>
  </si>
  <si>
    <t>P27</t>
  </si>
  <si>
    <t>Análise de Relações entre Informações</t>
  </si>
  <si>
    <t>Alterações</t>
  </si>
  <si>
    <t>Quais informações foram alteradas?</t>
  </si>
  <si>
    <t>Com base exclusivamente no documento fornecido, responda: Quais informações foram alteradas? Caso a informação não conste no documento, declare explicitamente 'não consta no documento'.</t>
  </si>
  <si>
    <t>Avaliar a capacidade da ferramenta de comparar/rastrear informações do tipo 'análise de relações entre informações'.</t>
  </si>
  <si>
    <t>Comparar/Rastrear</t>
  </si>
  <si>
    <t>P28</t>
  </si>
  <si>
    <t>Pontos de atenção administrativa</t>
  </si>
  <si>
    <t>Identifique possíveis pontos de atenção administrativa.</t>
  </si>
  <si>
    <t>Com base exclusivamente no documento fornecido, responda: Identifique possíveis pontos de atenção administrativa. Caso a informação não conste no documento, declare explicitamente 'não consta no documento'.</t>
  </si>
  <si>
    <t>Avaliar a capacidade da ferramenta de analisar risco informações do tipo 'análise de risco'.</t>
  </si>
  <si>
    <t>Analisar Risco</t>
  </si>
  <si>
    <t>Gemini - teste</t>
  </si>
  <si>
    <t>ABA 6 - RESULTADOS (cálculos automáticos por configuração de IA)</t>
  </si>
  <si>
    <t>P29</t>
  </si>
  <si>
    <t>Verificação antes de decisão</t>
  </si>
  <si>
    <t>Quais informações deveriam ser verificadas antes de uma decisão administrativa?</t>
  </si>
  <si>
    <t>Com base exclusivamente no documento fornecido, responda: Quais informações deveriam ser verificadas antes de uma decisão administrativa? Caso a informação não conste no documento, declare explicitamente 'não consta no documento'.</t>
  </si>
  <si>
    <t>P30</t>
  </si>
  <si>
    <t>Situações de risco administrativo</t>
  </si>
  <si>
    <t>INDICADORES GERAIS DO EXPERIMENTO</t>
  </si>
  <si>
    <t>Identifique situações que possam representar risco administrativo.</t>
  </si>
  <si>
    <t>Com base exclusivamente no documento fornecido, responda: Identifique situações que possam representar risco administrativo. Caso a informação não conste no documento, declare explicitamente 'não consta no documento'.</t>
  </si>
  <si>
    <t>Gemini - 3.1 Pro</t>
  </si>
  <si>
    <t>P31</t>
  </si>
  <si>
    <t>Total de documentos</t>
  </si>
  <si>
    <t>Síntese</t>
  </si>
  <si>
    <t>Resumo objetivo</t>
  </si>
  <si>
    <t>Resuma o documento em até cinco pontos objetivos.</t>
  </si>
  <si>
    <t>Com base exclusivamente no documento fornecido, responda: Resuma o documento em até cinco pontos objetivos. Caso a informação não conste no documento, declare explicitamente 'não consta no documento'.</t>
  </si>
  <si>
    <t>Avaliar a capacidade da ferramenta de sintetizar informações do tipo 'síntese'.</t>
  </si>
  <si>
    <t>Sintetizar</t>
  </si>
  <si>
    <t>P32</t>
  </si>
  <si>
    <t>Finalidade principal</t>
  </si>
  <si>
    <t>Qual é a principal finalidade do documento?</t>
  </si>
  <si>
    <t>Com base exclusivamente no documento fornecido, responda: Qual é a principal finalidade do documento? Caso a informação não conste no documento, declare explicitamente 'não consta no documento'.</t>
  </si>
  <si>
    <t>Gemini - 3.5 Flash</t>
  </si>
  <si>
    <t>P33</t>
  </si>
  <si>
    <t>Informações mais relevantes</t>
  </si>
  <si>
    <t>Quais são as três informações mais importantes para um servidor responsável pela análise?</t>
  </si>
  <si>
    <t>Com base exclusivamente no documento fornecido, responda: Quais são as três informações mais importantes para um servidor responsável pela análise? Caso a informação não conste no documento, declare explicitamente 'não consta no documento'.</t>
  </si>
  <si>
    <t>Avaliar a capacidade da ferramenta de sintetizar/avaliar relevância informações do tipo 'síntese'.</t>
  </si>
  <si>
    <t>Sintetizar/Avaliar Relevância</t>
  </si>
  <si>
    <t>Total de perguntas (banco)</t>
  </si>
  <si>
    <t>Total de combinações Documento x Pergunta (base Gold/Avaliação)</t>
  </si>
  <si>
    <t>Total de testes registrados (Matriz de Testes)</t>
  </si>
  <si>
    <t>Resposta</t>
  </si>
  <si>
    <t>Tempo (s)</t>
  </si>
  <si>
    <t>Correção</t>
  </si>
  <si>
    <t>Completude</t>
  </si>
  <si>
    <t>Total de respostas Gold elaboradas</t>
  </si>
  <si>
    <t>Precisão</t>
  </si>
  <si>
    <t>Consistência</t>
  </si>
  <si>
    <t>Clareza</t>
  </si>
  <si>
    <t>Profundidade</t>
  </si>
  <si>
    <t>Fidelidade Documental</t>
  </si>
  <si>
    <t>Alucinação</t>
  </si>
  <si>
    <t>DESEMPENHO POR CONFIGURAÇÃO DE IA (calculado a partir da aba AVALIAÇÃO)</t>
  </si>
  <si>
    <t>Omissão</t>
  </si>
  <si>
    <t>Erro</t>
  </si>
  <si>
    <t>Tipo de Erro</t>
  </si>
  <si>
    <t>Configuração</t>
  </si>
  <si>
    <t>Justificativa</t>
  </si>
  <si>
    <t>Ferramenta</t>
  </si>
  <si>
    <t>Modalidade</t>
  </si>
  <si>
    <t>Respostas Avaliadas</t>
  </si>
  <si>
    <t>Corretas (=2)</t>
  </si>
  <si>
    <t>Parcial. Corretas (=1)</t>
  </si>
  <si>
    <t>Incorretas (=0)</t>
  </si>
  <si>
    <t>Taxa de Acerto</t>
  </si>
  <si>
    <t>Taxa de Erro</t>
  </si>
  <si>
    <t>Taxa de Omissão</t>
  </si>
  <si>
    <t>Taxa de Alucinação</t>
  </si>
  <si>
    <t>Média de Correção (0-2)</t>
  </si>
  <si>
    <t>Média de Fidelidade Documental (0-2)</t>
  </si>
  <si>
    <t>Tempo Médio de Resposta (s)</t>
  </si>
  <si>
    <t>ChatGPT</t>
  </si>
  <si>
    <t xml:space="preserve">ChatGPT - GPT-6 Astra - Médio                                                                                                        </t>
  </si>
  <si>
    <t>ChatGPT - 5.6 Luna</t>
  </si>
  <si>
    <t>ABA 10 - GOLD / RESPOSTAS DE REFERÊNCIA (base: 20 documentos x 33 perguntas gerais + 20 perguntas específicas)</t>
  </si>
  <si>
    <t>ID_Gold</t>
  </si>
  <si>
    <t>ID_Documento</t>
  </si>
  <si>
    <t>Resposta Gold</t>
  </si>
  <si>
    <t>Elementos Obrigatórios</t>
  </si>
  <si>
    <t>Elementos Aceitáveis</t>
  </si>
  <si>
    <t>Elementos Incorretos</t>
  </si>
  <si>
    <t>Evidência Documental</t>
  </si>
  <si>
    <t>Página</t>
  </si>
  <si>
    <t>Seção</t>
  </si>
  <si>
    <t>Trecho de Referência</t>
  </si>
  <si>
    <t>Justificativa do Gold</t>
  </si>
  <si>
    <t>Responsável pela Elaboração</t>
  </si>
  <si>
    <t>Data de Elaboração</t>
  </si>
  <si>
    <t>Data de Revisão</t>
  </si>
  <si>
    <t>G0001</t>
  </si>
  <si>
    <t>Claude</t>
  </si>
  <si>
    <t>Comparar preços para serviços de limpeza e conservação diurna, 44 horas, com materiais sob demanda e equipamentos, na Universidade Federal de Jataí, utilizando o contrato vigente atualizado e pesquisa no Banco de Preços.</t>
  </si>
  <si>
    <t>A planilha apresenta o mapa comparativo de preços para a contratação de serviços de limpeza e conservação, incluindo mão de obra, materiais sob demanda e equipamentos.</t>
  </si>
  <si>
    <t>Mapa comparativo de preços para subsidiar a análise do valor do contrato de prestação de serviço de limpeza e conservação (diurna, 44h) da Universidade Federal de Jataí, incluindo material sob demanda e equipamentos com BDI.</t>
  </si>
  <si>
    <t>Contratação de serviços contínuos e eventuais de manutenção preventiva e corretiva predial, manutenção e conservação de áreas urbanas e rurais e apoio técnico-operacional, com fornecimento de mão de obra, ferramentas, equipamentos, instrumentos e insumos, em regime de dedicação exclusiva de mão de obra, para a UFJ (Campi Jatobá e Riachuelo). O objeto tem 17 itens: 15 postos de trabalho (Lotes A e B), fornecimento de materiais sob demanda com BDI (Lote C) e serviços sob demanda com BDI (Lote D).</t>
  </si>
  <si>
    <t>Serviços contínuos e eventuais de manutenção predial, áreas urbanas/rurais e apoio técnico-operacional; dedicação exclusiva de mão de obra.</t>
  </si>
  <si>
    <t>Estrutura em lotes A–D / 17 itens; valores.</t>
  </si>
  <si>
    <t>Tratar como obra de engenharia ou como serviço sem dedicação exclusiva.</t>
  </si>
  <si>
    <t>Item 1.1 (p. 1)</t>
  </si>
  <si>
    <t>1</t>
  </si>
  <si>
    <t>Item 1.1</t>
  </si>
  <si>
    <t>Contratação de serviços contínuos e eventuais, de manutenção preventiva e corretiva predial...</t>
  </si>
  <si>
    <t>Objeto definido no item 1.1.</t>
  </si>
  <si>
    <t>Rascunho gerado por IA (Claude) – pendente de validação do pesquisador</t>
  </si>
  <si>
    <t>27/09/2026</t>
  </si>
  <si>
    <t>Rascunho: conferir no documento original antes de usar como Gold. Viés possível: Claude é ferramenta avaliada.</t>
  </si>
  <si>
    <t>G0002</t>
  </si>
  <si>
    <t>Mapa comparativo de preços destinado a estimar o valor da contratação de prestação de serviço de limpeza e conservação (diurna, 44 horas, categoria A) para a Universidade Federal de Jataí, incluindo material sob demanda + BDI e equipamentos + BDI.</t>
  </si>
  <si>
    <t>Termo de Referência nº 1/2026 (UASG 156678; número da contratação 17/2026; SEI nº 0568962).</t>
  </si>
  <si>
    <t>Termo de Referência 1/2026.</t>
  </si>
  <si>
    <t>Mapa Comparativo de Preços para contratação de prestação de serviço de limpeza e conservação, fornecimento de material e equipamentos.</t>
  </si>
  <si>
    <t>UASG, número da contratação 17/2026.</t>
  </si>
  <si>
    <t>Confundir com o ETP 1/2026 ou com o Edital 90017/2026.</t>
  </si>
  <si>
    <t>Informações Básicas (p. 1)</t>
  </si>
  <si>
    <t>Informações Básicas</t>
  </si>
  <si>
    <t>Termo de Referência 1/2026 / Número do artefato 1/2026</t>
  </si>
  <si>
    <t>Cabeçalho do documento.</t>
  </si>
  <si>
    <t>G0003</t>
  </si>
  <si>
    <t>Mapa comparativo de preços para prestação de serviço de limpeza e conservação diurna (44 horas), material sob demanda e equipamentos.</t>
  </si>
  <si>
    <t>Processo Administrativo nº 23854.000200/2026-64.</t>
  </si>
  <si>
    <t>23854.000200/2026-64.</t>
  </si>
  <si>
    <t>Informar o processo do Edital (23854.002761/2026-06).</t>
  </si>
  <si>
    <t>Informações Básicas; item 1 (p. 1)</t>
  </si>
  <si>
    <t>Informações Básicas; item 1</t>
  </si>
  <si>
    <t>Processo Administrativo n° (23854.000200/2026-64)</t>
  </si>
  <si>
    <t>Consta no cabeçalho e no item 1.</t>
  </si>
  <si>
    <t>G0004</t>
  </si>
  <si>
    <t>Gemini</t>
  </si>
  <si>
    <t>Datado de 02/04/2026 (fecho: 'Jataí, 02 de abril de 2026'). A última atualização no sistema foi em 06/04/2026, às 10:35 (v 0.11), mesma data da última assinatura.</t>
  </si>
  <si>
    <t>02/04/2026.</t>
  </si>
  <si>
    <t>Atualização/assinatura final em 06/04/2026.</t>
  </si>
  <si>
    <t>Indicar a data do Edital ou do Contrato.</t>
  </si>
  <si>
    <t>Informações Básicas; item 12; item 15 (p. 1; 49)</t>
  </si>
  <si>
    <t>1; 49</t>
  </si>
  <si>
    <t>Informações Básicas; item 12; item 15</t>
  </si>
  <si>
    <t>Jataí, 02 de abril de 2026.</t>
  </si>
  <si>
    <t>Data do fecho do documento.</t>
  </si>
  <si>
    <t>G0005</t>
  </si>
  <si>
    <t>Gemini -  3.1 Pro</t>
  </si>
  <si>
    <t>Universidade Federal de Jataí (UASG 156678). A área requisitante é a Prefeitura Universitária (PREUNI); a fiscalização fica a cargo do setor da Prefeitura Universitária (IMR); o documento foi editado por Gabriel Fernandes Sousa.</t>
  </si>
  <si>
    <t>UFJ / Prefeitura Universitária.</t>
  </si>
  <si>
    <t>Editor e comissão de contratação.</t>
  </si>
  <si>
    <t>Informações Básicas; Anexo IV (IMR) (p. 1; 91)</t>
  </si>
  <si>
    <t>1; 91</t>
  </si>
  <si>
    <t>Informações Básicas; Anexo IV (IMR)</t>
  </si>
  <si>
    <t>Unidades indicadas no documento.</t>
  </si>
  <si>
    <t>G0006</t>
  </si>
  <si>
    <t>Identificação no conteúdo: “Planilha - Mapa Comparativo de Preços”. Número próprio do documento: não consta no documento. O identificador 0631096 aparece no nome do arquivo fornecido.</t>
  </si>
  <si>
    <t>Não consta no corpo da planilha um número individual do documento. O título é “Mapa Comparativo de Preços”.</t>
  </si>
  <si>
    <t>UFJ (contratante; Prefeitura Universitária; Campi Jatobá e Riachuelo); o futuro Contratado (não identificado); a comissão de contratação (Alexandre R. Choupina A. Silva, Lázaro R. A. Pinto, Ignacio L. Holdefer, Gabriel F. Sousa, Guilherme A. Oliveira, Vania K. Garollo, Ricardo P. S. Mathias); sindicatos patronais SEAC-GO e SINDUSCON-GO (CCTs); órgãos citados como PNCP, Susep, MAPA e CEF.</t>
  </si>
  <si>
    <t>UFJ, futuro contratado, comissão de contratação.</t>
  </si>
  <si>
    <t>Sindicatos e demais órgãos.</t>
  </si>
  <si>
    <t>Nomear a EMBRAED, que só aparece no Contrato.</t>
  </si>
  <si>
    <t>Itens 1, 9.4 e 15 (p. 1; 42; 49)</t>
  </si>
  <si>
    <t>1; 42; 49</t>
  </si>
  <si>
    <t>Itens 1, 9.4 e 15</t>
  </si>
  <si>
    <t>Entes citados.</t>
  </si>
  <si>
    <t>O documento não apresenta um número próprio de identificação (é uma "Planilha - Mapa Comparativo de Preços"). Refere-se ao Contrato nº 113/2024 e ao Termo de Apostilamento nº 01/2026 (0616763).</t>
  </si>
  <si>
    <t>G0007</t>
  </si>
  <si>
    <t>O documento se identifica apenas como 'PLANILHA - MAPA COMPARATIVO DE PREÇOS'; o corpo não traz número SEI próprio. O nome do arquivo indica o documento SEI nº 0631096.</t>
  </si>
  <si>
    <t>Planilha Mapa Comparativo de Preços (0631096).</t>
  </si>
  <si>
    <t>A seção 8 trata de Infrações e Sanções Administrativas: condutas infracionais (8.1, a–h); sanções de advertência, impedimento, inidoneidade e multas moratórias e compensatórias (8.2), incluindo multas específicas por dia (8.2.4.7.1 a 8.2.4.7.5); defesa em 15 dias úteis (8.5); recolhimento em 30 dias (8.7); processo conforme o art. 158 da Lei 14.133 (8.8); critérios de dosimetria (8.9); registro no CEIS/CNEP/SICAF (8.12); compensação de débitos (8.14).</t>
  </si>
  <si>
    <t>Identificar que a seção 8 é 'Infrações e Sanções Administrativas' e resumir.</t>
  </si>
  <si>
    <t>Detalhar percentuais de multa.</t>
  </si>
  <si>
    <t>Documento 0631096 (Mapa Comparativo de Preços).</t>
  </si>
  <si>
    <t>Atribuir à seção 8 outro conteúdo (ex.: medição e pagamento, que é a seção 7).</t>
  </si>
  <si>
    <t>Seção 8 (p. 39-41)</t>
  </si>
  <si>
    <t>39-41</t>
  </si>
  <si>
    <t>Seção 8</t>
  </si>
  <si>
    <t>8. INFRAÇÕES E SANÇÕES ADMINISTRATIVAS</t>
  </si>
  <si>
    <t>Título da seção 8.</t>
  </si>
  <si>
    <t>G0008</t>
  </si>
  <si>
    <t>Erro de interpretação</t>
  </si>
  <si>
    <t>ABA 7 - DASHBOARD (visão consolidada e comparativa; sem ranking automático)</t>
  </si>
  <si>
    <t>A pergunta não indica qual informação é solicitada; a ferramenta deve apontar a indeterminação ou apresentar o mapa: 1 Condições gerais (objeto, valores, vigência); 2 Fundamentação/PCA; 3 Solução; 4 Requisitos (sustentabilidade, marca, subcontratação, garantia, vistoria); 5 Execução (locais, horários, cargos, materiais, serviços eventuais); 6 Gestão; 7 Medição e pagamento (IMR, repactuação, reajuste, conta vinculada); 8 Sanções; 9 Seleção e habilitação; 10 Valor; 11 Orçamento; 12 Disposições finais; 13-14 Anexos; 15 Responsáveis.</t>
  </si>
  <si>
    <t>Reconhecer a indeterminação.</t>
  </si>
  <si>
    <t>Mapa de seções.</t>
  </si>
  <si>
    <t>Inventar a informação solicitada.</t>
  </si>
  <si>
    <t>TODAS AS 6 CONFIGURAÇÕES (conjunto)</t>
  </si>
  <si>
    <t>Estrutura (p. 1-49)</t>
  </si>
  <si>
    <t>1-49</t>
  </si>
  <si>
    <t>Estrutura</t>
  </si>
  <si>
    <t>Pergunta genérica.</t>
  </si>
  <si>
    <t>Documentos</t>
  </si>
  <si>
    <t>G0009</t>
  </si>
  <si>
    <t>Perguntas no banco</t>
  </si>
  <si>
    <t>Combinações Doc x Pergunta</t>
  </si>
  <si>
    <t>Testes registrados</t>
  </si>
  <si>
    <t>R$ 3.663.619,80 (total anual; total mensal de R$ 305.301,65). Atenção: no item 10.1, o valor por extenso ('três milhões, seiscentos e sessenta e três mil oitocentos e vinte e três reais e dezesseis centavos') não corresponde ao valor numérico.</t>
  </si>
  <si>
    <t>R$ 3.663.619,80.</t>
  </si>
  <si>
    <t>Apontar a divergência do extenso no item 10.1.</t>
  </si>
  <si>
    <t>R$ 3.236.281,80 (valor do ETP) ou R$ 3.352.838,16 (valor do Contrato).</t>
  </si>
  <si>
    <t>Item 1.1 (tabela); item 10.1 (p. 2; 48)</t>
  </si>
  <si>
    <t>2; 48</t>
  </si>
  <si>
    <t>Item 1.1 (tabela); item 10.1</t>
  </si>
  <si>
    <t>TOTAL ANUAL R$ 3.663.619,80</t>
  </si>
  <si>
    <t>Valor expresso na tabela e no item 10.1.</t>
  </si>
  <si>
    <t>G0010</t>
  </si>
  <si>
    <t>Processo administrativo SEI 23854.007448/2024-94.</t>
  </si>
  <si>
    <t>Os indicadores e gráficos abaixo refletem exclusivamente os dados inseridos pelo pesquisador nas abas GOLD, MATRIZ DE TESTES e AVALIAÇÃO. Nenhuma ferramenta é classificada previamente como melhor ou pior; a comparação deve ser interpretada empiricamente pelo pesquisador.</t>
  </si>
  <si>
    <t>CRUZAMENTO: MÉDIA DE CORREÇÃO POR NÍVEL DE DIFICULDADE (todas as configurações)</t>
  </si>
  <si>
    <t>23854.007448/2024-94.</t>
  </si>
  <si>
    <t>ChatGPT - 6 Astra</t>
  </si>
  <si>
    <t>ChatGPT - -5.6 Luna</t>
  </si>
  <si>
    <t>Nível 1 - Extração Direta</t>
  </si>
  <si>
    <t>Processo Administrativo SEI nº 23854.007448/2024-94.</t>
  </si>
  <si>
    <t>Processo Administrativo SEI 23854.007448/2024-94.</t>
  </si>
  <si>
    <t>Não há uma data única. Os membros da comissão de contratação assinaram em 02/04/2026 (Gabriel F. Sousa 14:35; Ricardo P. S. Mathias 14:38; Lázaro R. A. Pinto 15:24; Vania K. Garollo 15:26; Ignacio L. Holdefer 16:35; Guilherme A. Oliveira 17:25) e em 06/04/2026 (Alexandre R. Choupina A. Silva, 10:35). A assinatura de todos os membros só se completou em 06/04/2026.</t>
  </si>
  <si>
    <t>Completude em 06/04/2026; demais assinaturas em 02/04/2026.</t>
  </si>
  <si>
    <t>Horários por membro.</t>
  </si>
  <si>
    <t>Informar uma única data (02/04) para todos.</t>
  </si>
  <si>
    <t>Item 15 – Responsáveis (p. 49-50)</t>
  </si>
  <si>
    <t>49-50</t>
  </si>
  <si>
    <t>Item 15 – Responsáveis</t>
  </si>
  <si>
    <t>Membro da comissão de contratação / Assinou eletronicamente em 06/04/2026 às 10:35:33</t>
  </si>
  <si>
    <t>Bloco de assinaturas.</t>
  </si>
  <si>
    <t>G0011</t>
  </si>
  <si>
    <t>Nível 2 - Localização e Organização</t>
  </si>
  <si>
    <t>Documento: TR 1/2026 | UASG 156678 | Processo 23854.000200/2026-64 | Contratação 17/2026 | Categoria: serviço continuado com DEMO | Objeto: manutenção predial, áreas urbanas/rurais e apoio técnico-operacional | Estrutura: Grupo 01, Lotes A (itens 1-5, rurais), B (itens 6-15, predial), C (item 16, materiais sob demanda) e D (item 17, serviços sob demanda) | Postos: 41 | Valor: R$ 305.301,65/mês; R$ 3.663.619,80/ano | Vigência: 12 meses, prorrogável até 10 anos | Modalidade: pregão eletrônico, menor preço | Regime: empreitada por preço global (A/B) e por preço unitário (C/D) | Garantia: 5% | Subcontratação: até 5% (C e D) | Início: 5 dias úteis após a assinatura | Reajuste: IPCA (A/B) e repactuação (mão de obra) | Conta-depósito vinculada | Dotação: 26453/156678, fonte 1000000000, PT 231318, ND 339037, PI M0000G0100N | Data: 02/04/2026.</t>
  </si>
  <si>
    <t>Número, processo, objeto, valor, vigência, critério.</t>
  </si>
  <si>
    <t>Demais campos.</t>
  </si>
  <si>
    <t>Itens 1, 4, 5, 7, 9, 10, 11 (p. 1-49)</t>
  </si>
  <si>
    <t>Itens 1, 4, 5, 7, 9, 10, 11</t>
  </si>
  <si>
    <t>Consolidação.</t>
  </si>
  <si>
    <t>G0012</t>
  </si>
  <si>
    <t>Valores por posto e anuais (item 1.1): Operador de Máquina Agrícola R$ 8.310,87 (anual R$ 498.652,20); Trab. Volante R$ 6.233,82 (149.611,68); Vaqueiro R$ 5.889,77 (282.708,96); Trab. Agropecuário R$ 4.619,40 (221.731,20); Jardineiro R$ 5.598,58 (537.463,68); Administrativo de Obras R$ 6.791,70 (407.502,00); Encarregado R$ 8.342,65 (100.111,80); Eletricista R$ 8.152,88 (391.338,24); Assistente Técnico R$ 11.236,38 (134.836,56); Pedreiro R$ 6.483,58 (155.605,92); Pintor R$ 6.533,79 (78.405,48); Marceneiro R$ 8.171,83 (98.061,96); Técnico de Refrigeração R$ 6.561,32 (78.735,84); Encanador R$ 6.488,23 (77.858,76); Piscineiro R$ 6.231,96 (74.783,52); Materiais sob demanda R$ 11.351,00/mês (136.212,00); Serviços sob demanda R$ 20.000,00/mês (240.000,00). Totais: R$ 305.301,65/mês e R$ 3.663.619,80/ano. Salários-base de referência (9.4), p. ex.: R$ 3.536,07; 2.509,47; 2.338,36; 2.193,54; 1.711,00; 5.018,93; 3.450,50; 2.641,81; 2.500,00; 2.798,40; 3.542,00; 3.306,16; 2.543,20. Auxílio-alimentação: R$ 572,00 (SEAC) e R$ 495,88 (SINDUSCON). Garantia de 5% do valor total.</t>
  </si>
  <si>
    <t>Tabela de valores do item 1.1 e totais.</t>
  </si>
  <si>
    <t>Salários e auxílio-alimentação do 9.4.</t>
  </si>
  <si>
    <t>Valores do ETP ou do Contrato.</t>
  </si>
  <si>
    <t>Itens 1.1 e 9.4 (p. 1-2; 42-43)</t>
  </si>
  <si>
    <t>1-2; 42-43</t>
  </si>
  <si>
    <t>Itens 1.1 e 9.4</t>
  </si>
  <si>
    <t>Valores explícitos.</t>
  </si>
  <si>
    <t>G0013</t>
  </si>
  <si>
    <t>Nível 3 - Interpretação</t>
  </si>
  <si>
    <t>Média Correção (0-2)</t>
  </si>
  <si>
    <t>Média Fidelidade (0-2)</t>
  </si>
  <si>
    <t>Tempo Médio (s)</t>
  </si>
  <si>
    <t>24 de agosto de 2026, em Jataí. A representação da assinatura digital indica 24/08/2026, às 10:02:42, fuso -0300.</t>
  </si>
  <si>
    <t>Jataí, 24 de agosto de 2026.</t>
  </si>
  <si>
    <t>Principais obrigações da Contratada: cumprir os requisitos de sustentabilidade (4.1); prestar garantia de 5% (4.11); iniciar a execução em 5 dias úteis (5.1.1); alocar os postos nos horários e jornadas definidos (5.3), executando as atribuições de cada cargo (5.3.1.1); fornecer materiais, EPIs, uniformes e ferramentas (5.4.1, 5.6); fornecer materiais e serviços sob demanda mediante OFM/OS, com preços SINAPI e BDI (5.4); apresentar laudos de insalubridade/periculosidade em 35 dias (5.8); designar preposto (6.6); comprovar obrigações trabalhistas, previdenciárias e FGTS (6.31 e ss.); planejar férias (6.59 e ss.); aceitar a conta-depósito vinculada (7.76 e ss.). Contratante: fiscalizar (6.9 e ss.); receber provisória e definitivamente (7.5, 7.18); pagar em até 10 dias úteis após a liquidação (7.32); aplicar o IMR (7.1); decidir a repactuação em 60 dias (7.59); aplicar sanções (8).</t>
  </si>
  <si>
    <t>Obrigações da contratada (execução, materiais, garantia, trabalhistas) e do contratante (fiscalização, pagamento).</t>
  </si>
  <si>
    <t>Seções 4 a 8 (p. 3-48)</t>
  </si>
  <si>
    <t>3-48</t>
  </si>
  <si>
    <t>Seções 4 a 8</t>
  </si>
  <si>
    <t>Obrigações expressas.</t>
  </si>
  <si>
    <t>G0014</t>
  </si>
  <si>
    <t>Jataí, 24 de agosto de 2026 (data também confirmada na assinatura digital: 24/08/2026 10:02:42-0300).</t>
  </si>
  <si>
    <t>Jataí, 24 de agosto de 2026 (assinatura digital gov.br em 24/08/2026, às 10:02:42, fuso -0300).</t>
  </si>
  <si>
    <t>O item 4.1.4 (requisito de sustentabilidade) permite que os empregados da contratada façam o transporte interno de resíduos já acondicionados (comuns, sanitários, recicláveis e vegetais) até os pontos de coleta definidos pela UFJ, sem manusear ou triar o conteúdo. A prática é enquadrada como parte da gestão ambiental exigida pela Política Nacional de Resíduos Sólidos (Lei 12.305/2010).</t>
  </si>
  <si>
    <t>Transporte interno de resíduos acondicionados; sem manuseio/triagem; PNRS.</t>
  </si>
  <si>
    <t>Relacionar ao item 2.5 do ETP.</t>
  </si>
  <si>
    <t>Afirmar que a contratada fará coleta, triagem ou destinação final de resíduos.</t>
  </si>
  <si>
    <t>Item 4.1.4 (p. 3-4)</t>
  </si>
  <si>
    <t>3-4</t>
  </si>
  <si>
    <t>Item 4.1.4</t>
  </si>
  <si>
    <t>os funcionários da contratada poderão realizar o transporte interno de resíduos devidamente acondicionados</t>
  </si>
  <si>
    <t>Texto do item 4.1.4.</t>
  </si>
  <si>
    <t>Nível 4 - Análise</t>
  </si>
  <si>
    <t>24 de Agosto de 2026.</t>
  </si>
  <si>
    <t>G0015</t>
  </si>
  <si>
    <t>Definir de forma detalhada o objeto, os requisitos, o modelo de execução e de gestão, os critérios de medição, pagamento, seleção e habilitação e a estimativa de valor da contratação, servindo de base para o Edital e o Contrato (art. 6º, XXIII, da Lei 14.133/2021).</t>
  </si>
  <si>
    <t>Instrumento que especifica a contratação e fundamenta o Edital.</t>
  </si>
  <si>
    <t>Documento integral (p. 1-49)</t>
  </si>
  <si>
    <t>Documento integral</t>
  </si>
  <si>
    <t>Natureza do TR.</t>
  </si>
  <si>
    <t>G0016</t>
  </si>
  <si>
    <t>Nível 5 - Raciocínio Documental</t>
  </si>
  <si>
    <t>O item 4.11 exige garantia contratual (arts. 96 e ss. da Lei 14.133/2021) de 5% do valor total da contratação, válida durante a execução e por 90 dias após o fim da vigência, nas modalidades caução, seguro-garantia, fiança bancária ou título de capitalização. Consequências: a contratada deve apresentar a garantia (o seguro até a assinatura, ou as demais modalidades em até 10 dias úteis – 4.12.5); a garantia cobre prejuízos, multas e verbas trabalhistas/FGTS (4.17); deve ser ajustada em aditivos/prorrogações (4.19); e só é liberada após a comprovação do pagamento das verbas rescisórias (4.24.1). O atraso na apresentação gera multa e pode levar à extinção (8.2.4.2).</t>
  </si>
  <si>
    <t>Garantia de 5%; validade até 90 dias após a vigência; obrigação de apresentação.</t>
  </si>
  <si>
    <t>Coberturas, prazos e sanções correlatas.</t>
  </si>
  <si>
    <t>Confundir com garantia do serviço (item 5.5 – CDC).</t>
  </si>
  <si>
    <t>Itens 4.11 a 4.27 (p. 5-7)</t>
  </si>
  <si>
    <t>5-7</t>
  </si>
  <si>
    <t>Itens 4.11 a 4.27</t>
  </si>
  <si>
    <t>em valor correspondente a 5% (cinco por cento) do valor total da contratação</t>
  </si>
  <si>
    <t>Texto do 4.11 e itens decorrentes.</t>
  </si>
  <si>
    <t>G0017</t>
  </si>
  <si>
    <t>Sim: (1) o valor por extenso do item 10.1 ('...três mil oitocentos e vinte e três reais e dezesseis centavos') diverge do valor numérico R$ 3.663.619,80; (2) o item 4.3 limita a subcontratação a 5% do valor do contrato, mas o 4.5 autoriza subcontratar os Lotes C e D, que somam R$ 376.212,00 (~10,3% do total); (3) na tabela de parcelas de maior relevância (9.34.1.3), Administrativo de Obras aparece como item 7 e Eletricista como item 9, enquanto no 1.1 são os itens 6 e 8; (4) o item 1.2 diz que o objeto está em 'Grupo 01' com Lotes A–D, e o 4.4.1/9.2 tratam os lotes separadamente, sem esclarecer a adjudicação; (5) numeração duplicada (7.72 aparece duas vezes) e o subitem 5.3.1.1.15.7 inserido no bloco do Encanador (5.3.1.1.14); (6) 4.2 remete a justificativas de marca no ETP, que apenas menciona a marca Stihl sem justificativa técnica detalhada.</t>
  </si>
  <si>
    <t>Itens (1) e (2).</t>
  </si>
  <si>
    <t>CRUZAMENTO: MÉDIA DE CORREÇÃO POR CATEGORIA DA PERGUNTA (todas as configurações)</t>
  </si>
  <si>
    <t>Itens (3)–(6).</t>
  </si>
  <si>
    <t>Afirmar que não há inconsistências.</t>
  </si>
  <si>
    <t>Itens 4.3/4.5, 5.3.1.1.14, 7.72, 9.34.1.3, 10.1 (p. 4; 18; 37; 46; 48)</t>
  </si>
  <si>
    <t>4; 18; 37; 46; 48</t>
  </si>
  <si>
    <t>Itens 4.3/4.5, 5.3.1.1.14, 7.72, 9.34.1.3, 10.1</t>
  </si>
  <si>
    <t>R$ 3.663.619,80 (três milhões, seiscentos e sessenta e três mil oitocentos e vinte e três reais e dezesseis centavos)</t>
  </si>
  <si>
    <t>Divergências internas verificáveis.</t>
  </si>
  <si>
    <t>G0018</t>
  </si>
  <si>
    <t>Pró-Reitoria de Administração e Finanças da Universidade Federal de Jataí (PROAD/UFJ).</t>
  </si>
  <si>
    <t>Universidade Federal de Jataí (UFJ), por meio da Pró-Reitoria de Administração e Finanças (PROAD/UFJ).</t>
  </si>
  <si>
    <t>Sim: extenso x número no 10.1; limite de 5% de subcontratação x Lotes C+D (~10,3%); numeração de itens na tabela de relevância x item 1.1; na tabela do 1.1, 'R$ 136,212,00' (vírgula no lugar do ponto de milhar) no item 16.</t>
  </si>
  <si>
    <t>Extenso do 10.1; subcontratação.</t>
  </si>
  <si>
    <t>Demais.</t>
  </si>
  <si>
    <t>Itens 1.1, 4.3/4.5, 9.34.1.3, 10.1 (p. 2; 4; 46; 48)</t>
  </si>
  <si>
    <t>2; 4; 46; 48</t>
  </si>
  <si>
    <t>Itens 1.1, 4.3/4.5, 9.34.1.3, 10.1</t>
  </si>
  <si>
    <t>Dados incompatíveis.</t>
  </si>
  <si>
    <t>G0019</t>
  </si>
  <si>
    <t>PROAD/UFJ – Pró-Reitoria de Administração e Finanças da Universidade Federal de Jataí (UFJ).</t>
  </si>
  <si>
    <t>Pró-Reitoria de Administração e Finanças - PROAD/UFJ, da Universidade Federal de Jataí.</t>
  </si>
  <si>
    <t>Pró-Reitoria de Administração e Finanças (PROAD/UFPROAD) da Universidade Federal de Jataí (UFJ).</t>
  </si>
  <si>
    <t>Sim: (1) o item 4.3 anuncia 'nas seguintes condições:' e não lista condições; (2) o 12.2 e os Anexos I e II remetem a planilha e termo de ciência hospedados em link externo (Google Drive), não integrados ao documento; (3) ausência de justificativa própria para a marca Stihl e para 5.15 (dispensa de transição); (4) indefinição sobre a forma de adjudicação por lote x grupo.</t>
  </si>
  <si>
    <t>Condições de subcontratação ausentes (4.3).</t>
  </si>
  <si>
    <t>Itens 4.3, 5.15, 12.2, 13-14 (p. 4; 24; 48-49)</t>
  </si>
  <si>
    <t>4; 24; 48-49</t>
  </si>
  <si>
    <t>Itens 4.3, 5.15, 12.2, 13-14</t>
  </si>
  <si>
    <t>Omissões.</t>
  </si>
  <si>
    <t>G0020</t>
  </si>
  <si>
    <t>Universidade Federal de Jataí (UFJ) - Pró-Reitoria de Administração e Finanças (PROAD/UFPROAD).</t>
  </si>
  <si>
    <t>Erros materiais: extenso do 10.1; 'R$ 136,212,00' no item 16 da tabela; numeração 7.72 duplicada; subitem 5.3.1.1.15.7 dentro do cargo Encanador; itens 7 e 9 na tabela de relevância (deveriam ser 6 e 8); 'Campis'; '3,2% (três vincula dois por cento)' em 8.2.4.7.1; '15% 30%' sem o 'a' em 8.2.4.3; '8..3'; 'dois décimo por cento'; 'STHIL' em 4.2.1.</t>
  </si>
  <si>
    <t>Extenso do 10.1; numerações duplicadas/trocadas.</t>
  </si>
  <si>
    <t>Demais erros de digitação.</t>
  </si>
  <si>
    <t>Diversos (p. 2; 18; 37; 39-40; 46; 48)</t>
  </si>
  <si>
    <t>2; 18; 37; 39-40; 46; 48</t>
  </si>
  <si>
    <t>Diversos</t>
  </si>
  <si>
    <t>Erros identificáveis.</t>
  </si>
  <si>
    <t>G0021</t>
  </si>
  <si>
    <t>Sim: o valor global e o extenso; os valores por posto frente à planilha de custos (link externo); as CCTs indicadas (SEAC-GO GO001031/2025 e SINDUSCON-GO SRT00233/2025) e sua vigência; o limite de subcontratação; as multas diárias sobre o valor do contrato (ex.: 3,2% ao dia), por proporcionalidade; a dotação (ND 339037; PI M0000G0100N); a disponibilidade dos anexos no link externo; o enquadramento de 40h para Jardineiro e Administrativo de Obras (5.3).</t>
  </si>
  <si>
    <t>ABA 4 - MATRIZ DE TESTES (log bruto: Documento + Pergunta + Configuração de IA)</t>
  </si>
  <si>
    <t>Itens 1.1, 4.3, 5.3, 8.2.4.7, 9.4, 10.1, 11.2, 12.2 (p. 2-48)</t>
  </si>
  <si>
    <t>2-48</t>
  </si>
  <si>
    <t>Itens 1.1, 4.3, 5.3, 8.2.4.7, 9.4, 10.1, 11.2, 12.2</t>
  </si>
  <si>
    <t>Pontos que afetam validade e execução.</t>
  </si>
  <si>
    <t>G0022</t>
  </si>
  <si>
    <t>ENTRADA (documento + pergunta)</t>
  </si>
  <si>
    <t>EXECUÇÃO (configuração de IA)</t>
  </si>
  <si>
    <t>Universidade Federal de Jataí (UFJ); Pró-Reitoria de Administração e Finanças (PROAD/UFJ); Banco de Preços, fonte da pesquisa. Consta como signatário Marcos Paulo Pereira Fagundes. A empresa do contrato nº 113/2024 não é identificada.</t>
  </si>
  <si>
    <t>Sim: (1) subcontratação – 4.3 (limite de 5%) x 4.5 (Lotes C e D, ~10,3%); (2) o 4.30.2/4.31 remetem ao Anexo III, e o item 12/13-14 lista apenas Anexos I e II, embora os demais estejam apensados; (3) o 4.2 exige justificativa no ETP para a marca, que não está detalhada.</t>
  </si>
  <si>
    <t>Item (1).</t>
  </si>
  <si>
    <t>Itens (2) e (3).</t>
  </si>
  <si>
    <t>Itens 4.2, 4.3-4.5, 4.30-4.31, 12-14 (p. 4; 7; 48-49)</t>
  </si>
  <si>
    <t>4; 7; 48-49</t>
  </si>
  <si>
    <t>Itens 4.2, 4.3-4.5, 4.30-4.31, 12-14</t>
  </si>
  <si>
    <t>Conflitos com requisitos do próprio TR.</t>
  </si>
  <si>
    <t>SAÍDA (resposta da IA)</t>
  </si>
  <si>
    <t>G0023</t>
  </si>
  <si>
    <t>Universidade Federal de Jataí (UFJ); PROAD/UFJ; Banco de Preços; e o Contrato nº 113/2024 da Universidade Federal de Jataí, citado como referência.</t>
  </si>
  <si>
    <t>CONTROLE METODOLÓGICO DO TESTE</t>
  </si>
  <si>
    <t>ID_Teste</t>
  </si>
  <si>
    <t>SEI</t>
  </si>
  <si>
    <t>Processo</t>
  </si>
  <si>
    <t>Universidade Federal de Jataí (UFJ); PROAD/UFJ; Banco de Preços (site bancodeprecos.com.br), usado como fonte da pesquisa de mercado (Preço 02).</t>
  </si>
  <si>
    <t>Universidade Federal de Jataí (UFJ) e PROAD/UFJ; o site Banco de Preços (www.bancodeprecos.com.br) como fonte de pesquisa; referência ao Contrato nº 113/2024, ao Termo de Apostilamento nº 01/2026 (0616763) e à Convenção Coletiva de Trabalho 2026/2027 (0602942); signatário Marcos Paulo Pereira Fagundes. A empresa contratada não é nominada.</t>
  </si>
  <si>
    <t>Prompt Utilizado</t>
  </si>
  <si>
    <t>Data do Teste</t>
  </si>
  <si>
    <t>Horário do Teste</t>
  </si>
  <si>
    <t>Plano</t>
  </si>
  <si>
    <t>Modelo</t>
  </si>
  <si>
    <t>Versão</t>
  </si>
  <si>
    <t>Resposta Produzida</t>
  </si>
  <si>
    <t>Tempo de Resposta (s)</t>
  </si>
  <si>
    <t>Intervenção Humana</t>
  </si>
  <si>
    <t>Acesso à Internet</t>
  </si>
  <si>
    <t>Uso de Memória/Contexto</t>
  </si>
  <si>
    <t>Resultado da Resposta</t>
  </si>
  <si>
    <t>T0001</t>
  </si>
  <si>
    <t>Universidade Federal de Jataí (UFJ) e Banco de Preços.</t>
  </si>
  <si>
    <t>Requisitos explícitos: sustentabilidade (4.1.1-4.1.8); marca Stihl para óleo 2T (4.2); subcontratação de até 5%, apenas C e D, com autorização prévia (4.3-4.10); garantia de 5% (4.11 e ss.); vistoria ou declaração (4.28-4.32); início em 5 dias úteis (5.1.1); locais (5.2); jornada de 44h (40h para Jardineiro e Administrativo de Obras), das 06h às 22h (5.3); qualificação por cargo (5.3.1.1); materiais via OFM/SINAPI e serviços eventuais via OS (5.4); laudos de insalubridade em 35 dias (5.8); preposto (6.6); IMR (7.1); habilitação jurídica, fiscal, econômico-financeira (LG, LC, SG &gt; 1; CCL ≥ 16,66%; PL ≥ 10%) e técnica (3 anos de DEMO; ≥ 20 postos; parcelas relevantes) (9.5-9.36); custos mínimos relevantes (9.4).</t>
  </si>
  <si>
    <t>Garantia; subcontratação; habilitação; jornada; materiais/serviços.</t>
  </si>
  <si>
    <t>Seções 4, 5, 7 e 9 (p. 3-47)</t>
  </si>
  <si>
    <t>3-47</t>
  </si>
  <si>
    <t>Seções 4, 5, 7 e 9</t>
  </si>
  <si>
    <t>Requisitos expressos.</t>
  </si>
  <si>
    <t>G0024</t>
  </si>
  <si>
    <t>No documento fornecido, parecem faltar: a fundamentação detalhada dos quantitativos e a descrição completa da solução, remetidas ao ETP nos itens 2.1 e 3.1; a definição expressa da adjudicação por grupo ou por lote, considerando a organização do item 1.1 e as disposições dos itens 9.1 a 9.3; o cronograma operacional detalhado, cuja definição é atribuída à fiscalização nos itens 5.1.3.1 e 5.1.3.2; e a matriz de riscos mencionada no item 10.2 como integrante do contrato, cujo conteúdo não consta no documento. Também falta corrigir a remissão dos itens 5.13.1 e 5.13.2 ao item 5.18, que não consta no documento, embora o prazo de entrega dos laudos esteja previsto no item 5.8. Essas lacunas se referem ao arquivo analisado e não comprovam ausência das informações no processo administrativo</t>
  </si>
  <si>
    <t>Itens 4.3, 12.2, 13-14 (p. 4; 48-49)</t>
  </si>
  <si>
    <t>4; 48-49</t>
  </si>
  <si>
    <t>Itens 4.3, 12.2, 13-14</t>
  </si>
  <si>
    <t>Ver P19.</t>
  </si>
  <si>
    <t>G0025</t>
  </si>
  <si>
    <t>não consta no documento. O mapa tem uma página e não apresenta seção 08.</t>
  </si>
  <si>
    <t>Não consta no documento. A planilha não contém uma seção numerada 08.</t>
  </si>
  <si>
    <t>Não consta "Seção 08" no documento — ele não é estruturado em seções numeradas, apenas em uma tabela única (Grupo/Item) e notas de rodapé (Preço 01 e Preço 02).</t>
  </si>
  <si>
    <t>Não há seção 08 no documento. Trata-se de planilha de página única, sem divisão em seções numeradas; a estrutura se limita ao quadro de itens (Grupo 1, itens 1 a 3), ao total e às notas 'Preço 01' e 'Preço 02'.</t>
  </si>
  <si>
    <t>Sim. Conflitos entre TR e ETP: (1) valor – o ETP estima R$ 3.236.281,80 (apenas postos, Grupos 1 e 2) e tetos de R$ 136.212,00 e R$ 240.000,00 para materiais/serviços; o TR fixa R$ 3.663.619,80, com valores por posto diferentes (ex.: Eletricista ETP R$ 9.499,06 x TR R$ 8.152,88; Técnico de Refrigeração ETP R$ 9.517,12 x TR R$ 6.561,32; Operador ETP R$ 7.612,25 x TR R$ 8.310,87); (2) CCT SEAC-GO – o ETP cita o registro GO000026/2025 (21/01/2025), o TR cita GO001031/2025 (18/12/2025); (3) enquadramento – no ETP, Eletricista, Encarregado, Pedreiro, Pintor, Encanador e Marceneiro usam CCT SEAC-GO; no TR, Eletricista, Encarregado, Pedreiro, Pintor e Encanador passam à CCT SINDUSCON-GO; (4) estrutura – o ETP fala em 'lote único' com 4 grupos; o TR usa Grupo 01 com Lotes A–D e regimes diferentes; (5) transição – o ETP (13) prevê planejamento de transição contratual; o TR (5.15) dispensa procedimentos de transição; (6) data de registro da CCT SINDUSCON: ETP 02/07/2025 x TR 03/07/2025.</t>
  </si>
  <si>
    <t>Itens (1), (2) e (3).</t>
  </si>
  <si>
    <t>Itens (4)–(6).</t>
  </si>
  <si>
    <t>Afirmar ausência de conflito.</t>
  </si>
  <si>
    <t>TR 1.1, 5.15, 9.4, 10.1 x ETP 4.1, 8, 8.8.2, 13 (p. TR 1-2, 24, 42; ETP 2, 7-14)</t>
  </si>
  <si>
    <t>TR 1-2, 24, 42; ETP 2, 7-14</t>
  </si>
  <si>
    <t>TR 1.1, 5.15, 9.4, 10.1 x ETP 4.1, 8, 8.8.2, 13</t>
  </si>
  <si>
    <t>Não há seção 08 identificada no documento.</t>
  </si>
  <si>
    <t>Cotejo TR x ETP.</t>
  </si>
  <si>
    <t>Comparação definida pelo pesquisador: TR x ETP. | Rascunho: conferir no documento original antes de usar como Gold. Viés possível: Claude é ferramenta avaliada.</t>
  </si>
  <si>
    <t>G0026</t>
  </si>
  <si>
    <t>Não há seção 08 especificada no documento.</t>
  </si>
  <si>
    <t>Diferenças TR x ETP: o TR converte o planejamento em regras operacionais (execução, gestão, IMR, pagamento, sanções, habilitação), que o ETP não traz; valores atualizados (R$ 3.663.619,80 x R$ 3.236.281,80 + tetos); CCT SEAC atualizada (GO001031/2025); salários-base diferentes (ex.: Operador ETP R$ 3.309,87 x TR R$ 3.536,07; Assistente Técnico R$ 4.697,88 x R$ 5.018,93); organização por lotes A–D; regimes de execução definidos (preço global x unitário); reajuste – o ETP recomenda IPCA para postos e SINAPI para materiais; o TR prevê repactuação (mão de obra) e reajuste IPCA (Lotes A e B); jornada de 40h para dois cargos, só no TR (5.3); experiência mínima de 3 anos, justificada no ETP (4.2) e exigida no TR (9.34.1.1).</t>
  </si>
  <si>
    <t>Valores; CCT; estrutura por lotes; detalhamento operacional.</t>
  </si>
  <si>
    <t>Documentos integrais (p. TR 1-48; ETP 1-16)</t>
  </si>
  <si>
    <t>TR 1-48; ETP 1-16</t>
  </si>
  <si>
    <t>Documentos integrais</t>
  </si>
  <si>
    <t>Cotejo.</t>
  </si>
  <si>
    <t>G0027</t>
  </si>
  <si>
    <t>A pergunta não especifica qual informação deve ser localizada. O documento não possui seções numeradas: identificação e processo no cabeçalho; itens, preços e total na tabela central; fontes nas notas “Preço 01” e “Preço 02”; data e assinatura na parte inferior, tudo na página 1.</t>
  </si>
  <si>
    <t>A planilha não tem seções numeradas. Os preços e quantitativos estão na tabela central; a origem dos preços está nas notas “Preço 01” e “Preço 02” abaixo da tabela.</t>
  </si>
  <si>
    <t>T0002</t>
  </si>
  <si>
    <t>Em relação ao ETP, foram alterados no TR: valor estimado (para R$ 3.663.619,80, incluindo C e D); valores por posto; salários-base; CCT SEAC-GO de referência (GO000026/2025 → GO001031/2025); enquadramento de vários cargos na CCT SINDUSCON-GO; estrutura (lote único/4 grupos → Grupo 01 com Lotes A–D); tratamento da transição contratual (prevista → dispensada); jornada de 40h para Jardineiro e Administrativo de Obras.</t>
  </si>
  <si>
    <t>Não aplicável: o documento não possui seções numeradas. As informações estão organizadas em uma única tabela comparativa de preços e duas notas explicativas (Preço 01 e Preço 02).</t>
  </si>
  <si>
    <t>Valor; CCT; salários; estrutura.</t>
  </si>
  <si>
    <t>Ver P25/P26 (p. TR 1-2, 8, 24, 42; ETP 7-14)</t>
  </si>
  <si>
    <t>TR 1-2, 8, 24, 42; ETP 7-14</t>
  </si>
  <si>
    <t>Ver P25/P26</t>
  </si>
  <si>
    <t>Mudanças do planejamento para a especificação.</t>
  </si>
  <si>
    <t>G0028</t>
  </si>
  <si>
    <t>Não aplicável: o documento não possui seções numeradas. As informações estão distribuídas entre o cabeçalho institucional, o quadro de itens, a linha de total por extenso e as notas explicativas 'Preço 01' e 'Preço 02'.</t>
  </si>
  <si>
    <t>Não aplicável, pois não foi encontrada seção 08.</t>
  </si>
  <si>
    <t>Não aplicável.</t>
  </si>
  <si>
    <t>Erro no extenso do valor; subcontratação acima do limite; CCT paradigma e custos mínimos relevantes (risco de questionamento de enquadramento); multas diárias elevadas sobre o valor total do contrato (8.2.4.7.1 a 8.2.4.7.5), com risco de desproporcionalidade; anexos em link externo (Google Drive) – rastreabilidade e integridade; dispensa de transição contratual; divergências com o ETP; dotação (PI M0000G0100N).</t>
  </si>
  <si>
    <t>Itens 4.3-4.5, 5.15, 8.2.4.7, 9.4, 10.1, 12.2 (p. 4; 24; 39-40; 48-49)</t>
  </si>
  <si>
    <t>4; 24; 39-40; 48-49</t>
  </si>
  <si>
    <t>Itens 4.3-4.5, 5.15, 8.2.4.7, 9.4, 10.1, 12.2</t>
  </si>
  <si>
    <t>Pontos de atenção.</t>
  </si>
  <si>
    <t>G0029</t>
  </si>
  <si>
    <t>Valor estimado e extenso; compatibilidade dos valores com o ETP e a planilha; CCTs vigentes; limites de subcontratação; proporcionalidade das multas; disponibilidade orçamentária e classificação da despesa; integridade dos anexos.</t>
  </si>
  <si>
    <t>Itens 1.1, 4.3, 8, 9.4, 10.1, 11 (p. 2-48)</t>
  </si>
  <si>
    <t>Itens 1.1, 4.3, 8, 9.4, 10.1, 11</t>
  </si>
  <si>
    <t>Condições para publicar o Edital e contratar.</t>
  </si>
  <si>
    <t>G0030</t>
  </si>
  <si>
    <t>Total geral indicado: R$ 2.350.378,54. A denominação “Valor Total Anual do Objeto licitado” não consta no documento. Materiais e equipamentos têm quantidade de 12 meses; a periodicidade da quantidade de 434.000 m² do serviço não está explicitada.</t>
  </si>
  <si>
    <t>R$ 2.350.378,54 para os 12 meses indicados na planilha.</t>
  </si>
  <si>
    <t>R$ 2.350.378,54 (dois milhões, trezentos e cinquenta mil, trezentos e setenta e oito reais e cinquenta e quatro centavos).</t>
  </si>
  <si>
    <t>Impugnação ou nulidade por inconsistência de valor (extenso) ou por conflito com o ETP; subcontratação irregular; aplicação de multas desproporcionais e questionáveis; anexos inacessíveis ou alterados no link externo; ausência de transição provocando descontinuidade na troca de contratos.</t>
  </si>
  <si>
    <t>Diversos (p. 4; 24; 39-40; 48)</t>
  </si>
  <si>
    <t>4; 24; 39-40; 48</t>
  </si>
  <si>
    <t>Riscos administrativos.</t>
  </si>
  <si>
    <t>R$ 2.350.378,54 (dois milhões, trezentos e cinquenta mil, trezentos e setenta e oito reais e cinquenta e quatro centavos). Observação: o documento não emprega a expressão 'anual'; a natureza anual é inferida dos itens 2 e 3, cotados para 12 meses.</t>
  </si>
  <si>
    <t>G0031</t>
  </si>
  <si>
    <t>R$ 2.350.378,54.</t>
  </si>
  <si>
    <t>R$ 2.350.378,54 (Dois milhões, trezentos e cinquenta mil, trezentos e setenta e oito reais e cinquenta e quatro centavos).</t>
  </si>
  <si>
    <t>1) O TR 1/2026 (processo 23854.000200/2026-64) define a contratação de manutenção predial, áreas urbanas/rurais e apoio técnico-operacional com dedicação exclusiva de mão de obra. 2) O objeto tem 17 itens (15 postos, somando 41, mais materiais e serviços sob demanda), com valor de R$ 305.301,65/mês e R$ 3.663.619,80/ano. 3) Vigência de 12 meses, prorrogável até 10 anos; garantia de 5%; subcontratação apenas de C e D. 4) Execução e pagamento com IMR, materiais e serviços via SINAPI+BDI, conta-depósito vinculada, repactuação e reajuste IPCA. 5) Seleção por pregão eletrônico, menor preço, com habilitação econômica (LG/LC/SG &gt; 1, CCL 16,66%, PL 10%) e técnica (3 anos, 20 postos, parcelas relevantes).</t>
  </si>
  <si>
    <t>Objeto; valor; vigência; execução/pagamento; seleção.</t>
  </si>
  <si>
    <t>Documento integral (p. 1-48)</t>
  </si>
  <si>
    <t>1-48</t>
  </si>
  <si>
    <t>Síntese.</t>
  </si>
  <si>
    <t>G0032</t>
  </si>
  <si>
    <t>T0003</t>
  </si>
  <si>
    <t>Especificar tecnicamente a contratação (objeto, requisitos, execução, gestão, pagamento e seleção), fundamentando o Edital do Pregão.</t>
  </si>
  <si>
    <t>Documento integral (p. 1)</t>
  </si>
  <si>
    <t>Ver P15.</t>
  </si>
  <si>
    <t>G0033</t>
  </si>
  <si>
    <t>não consta no documento. Há uma representação de assinatura digital de Marcos Paulo Pereira Fagundes em 24/08/2026, às 10:02:42 (-0300), mas não há identificação da comissão nem das assinaturas de todos os seus membros.</t>
  </si>
  <si>
    <t>Não consta no documento. Há a data “Jataí, 24 de agosto de 2026”, mas não há data de assinatura de comissão nem identificação de seus membros.</t>
  </si>
  <si>
    <t>Não consta no documento. Há apenas uma assinatura digital individual (Marcos Paulo Pereira Fagundes, gov.br) datada de 24/08/2026; não há menção a comissão de contratação nem a assinaturas de outros membros.</t>
  </si>
  <si>
    <t>1) Valor estimado de R$ 3.663.619,80/ano, com divergência no extenso do item 10.1. 2) Estrutura e regras dos 17 itens (postos x materiais/serviços sob demanda), incluindo custos mínimos relevantes por CCT. 3) Requisitos de habilitação e garantia (econômico-financeira, técnica e 5%).</t>
  </si>
  <si>
    <t>Itens 1.1, 4.11, 9.4-9.34, 10.1 (p. 2; 5; 42-48)</t>
  </si>
  <si>
    <t>2; 5; 42-48</t>
  </si>
  <si>
    <t>Itens 1.1, 4.11, 9.4-9.34, 10.1</t>
  </si>
  <si>
    <t>Informações críticas.</t>
  </si>
  <si>
    <t>G0034</t>
  </si>
  <si>
    <t>Não consta. O documento traz uma única assinatura digital, de Marcos Paulo Pereira Fagundes, em 24/08/2026; não há identificação nem assinatura de membros de comissão ou de equipe de planejamento da contratação.</t>
  </si>
  <si>
    <t>Não há menção a todos os membros. Consta apenas a assinatura de Marcos Paulo Pereira Fagundes em 24/08/2026 às 10:02:42.</t>
  </si>
  <si>
    <t>Assinado digitalmente por Marcos Paulo Pereira Fagundes em 24/08/2026 10:02:42-0300 (membro/responsável signatário, sem comissão de contratação listada).</t>
  </si>
  <si>
    <t>Observação: as tabelas de cruzamento por Nível de Dificuldade e por Categoria da Pergunta são calculadas automaticamente a partir da aba AVALIAÇÃO. Para o cruzamento por Tipo Documental (Ferramenta x Tipo Documental), recomenda-se criar uma Tabela Dinâmica nativa (Inserir &gt; Tabela Dinâmica) unindo AVALIAÇÃO (via ID_Doc) com DOCUMENTOS (Tipo Documental), pois esse cruzamento depende de uma junção entre duas tabelas que o Excel/LibreOffice resolve de forma mais robusta por tabela dinâmica do que por fórmula simples. Nenhuma das tabelas desta aba estabelece classificação de melhor ou pior configuração: os valores apenas refletem os dados inseridos.</t>
  </si>
  <si>
    <t>Estudo técnico preliminar da contratação de empresa especializada para serviços contínuos e eventuais de manutenção preventiva e corretiva predial, manutenção e conservação de áreas urbanas e rurais e apoio técnico-operacional, com dedicação exclusiva de mão de obra e fornecimento de materiais e serviços sob demanda, para a UFJ (Campi Riachuelo e Jatobá). O estudo demonstra a necessidade, os quantitativos, a estimativa de valor e a viabilidade.</t>
  </si>
  <si>
    <t>ETP da contratação de manutenção predial, áreas urbanas/rurais e apoio técnico-operacional com DEMO.</t>
  </si>
  <si>
    <t>Declaração de viabilidade.</t>
  </si>
  <si>
    <t>Tratá-lo como TR ou Edital.</t>
  </si>
  <si>
    <t>Itens 2.1 e 4.1 (p. 1-2)</t>
  </si>
  <si>
    <t>1-2</t>
  </si>
  <si>
    <t>Itens 2.1 e 4.1</t>
  </si>
  <si>
    <t>A presente contratação tem por objeto a contratação de empresa especializada...</t>
  </si>
  <si>
    <t>Itens 2.1 e 4.1.</t>
  </si>
  <si>
    <t>G0035</t>
  </si>
  <si>
    <t>Estudo Técnico Preliminar nº 1/2026 (UASG 156678).</t>
  </si>
  <si>
    <t>ETP 1/2026.</t>
  </si>
  <si>
    <t>Confundir com o TR 1/2026.</t>
  </si>
  <si>
    <t>Cabeçalho (p. 1)</t>
  </si>
  <si>
    <t>Cabeçalho</t>
  </si>
  <si>
    <t>Estudo Técnico Preliminar 1/2026</t>
  </si>
  <si>
    <t>Cabeçalho.</t>
  </si>
  <si>
    <t>O nº SEI no PDF enviado é 0568904; a aba DOCUMENTOS cita 0534092 – conferir. | Rascunho: conferir no documento original antes de usar como Gold. Viés possível: Claude é ferramenta avaliada.</t>
  </si>
  <si>
    <t>G0036</t>
  </si>
  <si>
    <t>T0004</t>
  </si>
  <si>
    <t>Documento: Mapa Comparativo de Preços; órgão: UFJ; unidade: PROAD; processo: 23854.007448/2024-94; data: 24/08/2026; grupo: 1; CATSER dos três itens: 25194; item 1: limpeza e conservação diurna, 44 horas (A), 434.000 m², média R$ 4,84, total R$ 2.100.603,40; item 2: Material Sob Demanda + BDI, 12 meses, média R$ 17.763,49, total R$ 213.161,82; item 3: Equipamentos BDI, 12 meses, média R$ 3.051,11, total R$ 36.613,32; total geral: R$ 2.350.378,54; fontes: contrato nº 113/2024 atualizado e Banco de Preços; signatário visível: Marcos Paulo Pereira Fagundes.</t>
  </si>
  <si>
    <t>Processo nº 23854.000200/2026-64.</t>
  </si>
  <si>
    <t>Processos dos contratos anteriores (23854.000493/2022-56 ou 23854.006463/2024-15), que aparecem apenas como referência.</t>
  </si>
  <si>
    <t>1. Informações Básicas (p. 1)</t>
  </si>
  <si>
    <t>1. Informações Básicas</t>
  </si>
  <si>
    <t>Número do processo: 23854.000200/2026-64</t>
  </si>
  <si>
    <t>Item 1.</t>
  </si>
  <si>
    <t>Processo: 23854.007448/2024-94. Unidade: UFJ/PROAD. Objeto: serviço de limpeza e conservação. Grupo: 1. Item 1: 434.000 m², serviço diurno de 44 horas, média R$ 4,84, total R$ 2.100.603,40. Item 2: 12 meses, material sob demanda + BDI, média R$ 17.763,49, total R$ 213.161,82. Item 3: 12 meses, equipamentos + BDI, média R$ 3.051,11, total R$ 36.613,32. Total: R$ 2.350.378,54. Fontes: contrato UFJ nº 113/2024 atualizado e pesquisa no Banco de Preços. Data: 24/08/2026.</t>
  </si>
  <si>
    <t>G0037</t>
  </si>
  <si>
    <t>Processo SEI: 23854.007448/2024-94 | Contrato: 113/2024 (UFJ) | Apostilamento: nº 01/2026 (0616763) | Convenção Coletiva: 2026/2027 (0602942) | Órgão: PROAD/UFJ | Data: 24/08/2026 | Item 1: limpeza/conservação, 434.000 m², média R$4,84, total R$2.100.603,40 | Item 2: material sob demanda+BDI, 12 meses, média R$17.763,49, total R$213.161,82 | Item 3: equipamentos BDI, 12 meses, média R$3.051,11, total R$36.613,32 | Valor total: R$2.350.378,54 | Fonte pesquisa: Banco de Preços.</t>
  </si>
  <si>
    <t>Órgão: UFJ - PROAD. Documento: Planilha - Mapa Comparativo de Preços. Processo: SEI 23854.007448/2024-94. Data: 24/08/2026. Grupo 1 - Item 1: CATSER 25194, unidade m², qtd. 434.000, 'Prestação de Serviço de limpeza e conservação - Diurna - 44 horas (A)', Preço 01 R$ 4,71, Preço 02 R$ 4,97, média R$ 4,84, total R$ 2.100.603,40. Item 2: CATSER 25194, unidade Meses, qtd. 12, 'Material Sob Demanda + BDI', R$ 15.295,00 / R$ 20.231,97, média R$ 17.763,49, total R$ 213.161,82. Item 3: CATSER 25194, unidade Meses, qtd. 12, 'Equipamentos BDI', R$ 2.638,75 / R$ 3.463,47, média R$ 3.051,11, total R$ 36.613,32. Total geral: R$ 2.350.378,54. Preço 01 = contrato 113/2024 atualizado pelo Apostilamento 01/2026 (CCT 2026/2027). Preço 02 = média do Banco de Preços.</t>
  </si>
  <si>
    <t>Processo: 23854.007448/2024-94 | Objeto: Serviços de limpeza | Valor: R$ 2.350.378,54 | Data: 24/08/2026 | Assinante: Marcos Paulo Pereira Fagundes.</t>
  </si>
  <si>
    <t>Não há data expressa no corpo do documento. As assinaturas eletrônicas dos responsáveis ocorreram todas em 02/04/2026 (entre 15:56 e 18:15).</t>
  </si>
  <si>
    <t>Ausência de data no corpo; assinaturas em 02/04/2026.</t>
  </si>
  <si>
    <t>Atribuir a data do TR (06/04) ou do Edital.</t>
  </si>
  <si>
    <t>17. Responsáveis (p. 16-17)</t>
  </si>
  <si>
    <t>16-17</t>
  </si>
  <si>
    <t>17. Responsáveis</t>
  </si>
  <si>
    <t>Única data do documento.</t>
  </si>
  <si>
    <t>G0038</t>
  </si>
  <si>
    <t>Tabela com 3 itens: 1) Serviço de limpeza diurna 44h; 2) Material sob demanda; 3) Equipamentos, contendo quantidades, preços unitários (Contrato e Banco de Preços) e totais.</t>
  </si>
  <si>
    <t>Área requisitante: Prefeitura Universitária (responsável Ricardo Porto Simões Mathias). Participam também o ICA e a DAC, pelos signatários.</t>
  </si>
  <si>
    <t>Prefeitura Universitária.</t>
  </si>
  <si>
    <t>Responsável Ricardo P. S. Mathias.</t>
  </si>
  <si>
    <t>3. Área requisitante (p. 1)</t>
  </si>
  <si>
    <t>3. Área requisitante</t>
  </si>
  <si>
    <t>Prefeitura Universitária Ricardo Porto Simões Mathias</t>
  </si>
  <si>
    <t>Item 3.</t>
  </si>
  <si>
    <t>G0039</t>
  </si>
  <si>
    <t>T0005</t>
  </si>
  <si>
    <t>UFJ (Prefeitura Universitária; Campi Riachuelo e Jatobá); a futura empresa contratada; os contratos anteriores 22/2023 (serviços urbanos e rurais) e 06/2025 (manutenção predial); os sindicatos SEAC-GO e SINDUSCON-GO (CCTs); MAPA, inpEV, TCU e TST (citados); os 8 responsáveis signatários (Alexandre R. Choupina A. Silva, Ignacio L. Holdefer, Guilherme A. Oliveira, Lázaro R. A. Pinto, Vania K. Garollo, Gabriel F. Sousa, Ricardo P. S. Mathias, Nilmar N. A. Rodovalho); FUNAPE (histórico de compras).</t>
  </si>
  <si>
    <t>UFJ/Prefeitura Universitária; contratada futura; contratos anteriores.</t>
  </si>
  <si>
    <t>Itens 3, 7.1, 8.2.2, 8.8.2, 17 (p. 1-17)</t>
  </si>
  <si>
    <t>1-17</t>
  </si>
  <si>
    <t>Itens 3, 7.1, 8.2.2, 8.8.2, 17</t>
  </si>
  <si>
    <t>G0040</t>
  </si>
  <si>
    <t>A seção 8 (Estimativa do Valor da Contratação) informa R$ 3.236.281,80/ano (R$ 269.690,15/mês) para os postos dos Grupos 1 e 2, estruturado em 4 grupos. Traz a base técnica da manutenção predial (40.389,12 m² × CUB R$ 2.714,57; 2% ao ano ≈ R$ 2.192.781,00); tetos anuais para materiais (R$ 120.000,00 + BDI 13,51% = R$ 136.212,00) e serviços eventuais (R$ 200.000,00 + BDI 20% = R$ 240.000,00), sem consumo mínimo; a planilha por posto; as CCTs SEAC-GO e SINDUSCON-GO com os salários-base; e os critérios de reajuste (IPCA para postos; SINAPI com data-base fixa por 12 meses).</t>
  </si>
  <si>
    <t>Estimativa de R$ 3.236.281,80; tetos de materiais e serviços; CCTs.</t>
  </si>
  <si>
    <t>Base técnica CUB e reajuste.</t>
  </si>
  <si>
    <t>Tratar R$ 3.236.281,80 como valor total incluindo materiais e serviços.</t>
  </si>
  <si>
    <t>Seção 8 (p. 7-14)</t>
  </si>
  <si>
    <t>7-14</t>
  </si>
  <si>
    <t>Valor (R$): 3.236.281,80</t>
  </si>
  <si>
    <t>Conteúdo da seção 8.</t>
  </si>
  <si>
    <t>G0041</t>
  </si>
  <si>
    <t>Item 1: Preço 01 R$ 4,71; Preço 02 R$ 4,97; média R$ 4,84; total R$ 2.100.603,40. Item 2: Preço 01 R$ 15.295,00; Preço 02 R$ 20.231,97; média R$ 17.763,49; total R$ 213.161,82. Item 3: Preço 01 R$ 2.638,75; Preço 02 R$ 3.463,47; média R$ 3.051,11; total R$ 36.613,32. Total geral: R$ 2.350.378,54, também escrito por extenso.</t>
  </si>
  <si>
    <t>Item 1: R$ 4,71; R$ 4,97; média R$ 4,84; total R$ 2.100.603,40. Item 2: R$ 15.295,00; R$ 20.231,97; média R$ 17.763,49; total R$ 213.161,82. Item 3: R$ 2.638,75; R$ 3.463,47; média R$ 3.051,11; total R$ 36.613,32. Total geral: R$ 2.350.378,54.</t>
  </si>
  <si>
    <t>ABA 8 - DICIONÁRIO DE DADOS</t>
  </si>
  <si>
    <t>Aba</t>
  </si>
  <si>
    <t>Variável</t>
  </si>
  <si>
    <t>Tipo de Dado</t>
  </si>
  <si>
    <t>Valores Permitidos</t>
  </si>
  <si>
    <t>Regra de Preenchimento</t>
  </si>
  <si>
    <t>Exemplo</t>
  </si>
  <si>
    <t>DOCUMENTOS</t>
  </si>
  <si>
    <t>Identificador único do documento no corpus experimental.</t>
  </si>
  <si>
    <t>Item 1: R$4,71 (Preço01) / R$4,97 (Preço02) / R$4,84 (média) / R$2.100.603,40 (total). Item 2: R$15.295,00 / R$20.231,97 / R$17.763,49 / R$213.161,82. Item 3: R$2.638,75 / R$3.463,47 / R$3.051,11 / R$36.613,32. Total geral: R$2.350.378,54.</t>
  </si>
  <si>
    <t>Numérico (1-20)</t>
  </si>
  <si>
    <t>1 a 20</t>
  </si>
  <si>
    <t>Preenchido automaticamente; não duplicar.</t>
  </si>
  <si>
    <t>7</t>
  </si>
  <si>
    <t>Chave usada em GOLD, MATRIZ DE TESTES e AVALIAÇÃO.</t>
  </si>
  <si>
    <t>Grupo documental ao qual o documento pertence.</t>
  </si>
  <si>
    <t>Texto (lista fechada)</t>
  </si>
  <si>
    <t>5 grupos (Contratação; Execução Contratual; Análise Técnica/Administrativa; Financeiro; Administrativo Geral)</t>
  </si>
  <si>
    <t>Selecionar conforme classificação já atribuída.</t>
  </si>
  <si>
    <t>Grupo 1 - Contratação</t>
  </si>
  <si>
    <t>Não reclassificar sem justificativa registrada.</t>
  </si>
  <si>
    <t>Categoria formal do documento.</t>
  </si>
  <si>
    <t>Texto (lista suspensa)</t>
  </si>
  <si>
    <t>20 tipos (TR, ETP, Edital, Contrato, ...)</t>
  </si>
  <si>
    <t>Selecionar na lista suspensa.</t>
  </si>
  <si>
    <t>Contrato</t>
  </si>
  <si>
    <t>Usado para filtrar perguntas específicas na aba BANCO DE PERGUNTAS.</t>
  </si>
  <si>
    <t>Número do documento no Sistema Eletrônico de Informações.</t>
  </si>
  <si>
    <t>Texto/Numérico</t>
  </si>
  <si>
    <t>Livre</t>
  </si>
  <si>
    <t>Copiar exatamente como consta no SEI.</t>
  </si>
  <si>
    <t>A pergunta não indica a informação. Mapa: 1 Informações básicas; 2 Necessidade; 3 Área requisitante; 4 Requisitos (objeto, quadro de postos, qualificação, materiais e serviços sob demanda, sustentabilidade); 5 Levantamento de mercado; 6 Solução; 7 Quantidades; 8 Valor; 9 Parcelamento; 10 Correlatas; 11 Alinhamento; 12 Benefícios; 13 Providências; 14 Impactos ambientais; 15 Riscos; 16 Viabilidade; 17 Responsáveis; Anexo I – Nota Técnica (CCTs).</t>
  </si>
  <si>
    <t>0568962</t>
  </si>
  <si>
    <t>Base da rastreabilidade documental.</t>
  </si>
  <si>
    <t>Mapa.</t>
  </si>
  <si>
    <t>Estrutura (p. 1-23)</t>
  </si>
  <si>
    <t>1-23</t>
  </si>
  <si>
    <t>Status atual do documento no processo.</t>
  </si>
  <si>
    <t>Vigente; Concluído; Em tramitação; Arquivado; Cancelado; Não se aplica</t>
  </si>
  <si>
    <t>Vigente</t>
  </si>
  <si>
    <t>Atualizar se houver mudança relevante durante a coleta.</t>
  </si>
  <si>
    <t>G0042</t>
  </si>
  <si>
    <t>BANCO DE PERGUNTAS</t>
  </si>
  <si>
    <t>Identificador único da pergunta.</t>
  </si>
  <si>
    <t>Preços unitários: R$ 4,71; R$ 4,97; R$ 4,84; R$ 15.295,00; R$ 20.231,97; R$ 17.763,42; R$ 2.638,75; R$ 3.463,47; R$ 3.051,11. Subtotais: R$ 2.100.603,40; R$ 213.161,82; R$ 36.613,32. Total Geral: R$ 2.350.378,54.</t>
  </si>
  <si>
    <t>Texto (P + número)</t>
  </si>
  <si>
    <t>P01 a P53</t>
  </si>
  <si>
    <t>Não duplicar nem reutilizar.</t>
  </si>
  <si>
    <t>Categoria cognitivo-metodológica da pergunta.</t>
  </si>
  <si>
    <t>Texto (lista fechada, 14 categorias)</t>
  </si>
  <si>
    <t>Identificação; Localização; Extração; Organização; Interpretação; Identificação de Inconsistências; Detecção de Erros; Identificação de Omissões; Conformidade Documental; Análise de Risco; Comparação; Síntese; Rastreabilidade da Informação; Análise de Relações entre Informações</t>
  </si>
  <si>
    <t>Selecionar categoria mais aderente ao objetivo da pergunta.</t>
  </si>
  <si>
    <t>Uma pergunta pode tangenciar mais de uma categoria; registrar a predominante.</t>
  </si>
  <si>
    <t>Grau de exigência cognitiva da pergunta.</t>
  </si>
  <si>
    <t>Numérico (1-5)</t>
  </si>
  <si>
    <t>1 Extração Direta; 2 Localização/Organização; 3 Interpretação; 4 Análise; 5 Raciocínio Documental</t>
  </si>
  <si>
    <t>Classificar conforme definição de cada nível.</t>
  </si>
  <si>
    <t>R$ 4,71; R$ 4,97; R$ 4,84; R$ 2.100.603,40; R$ 15.295,00; R$ 20.231,97; R$ 17.763,42; R$ 213.161,82; R$ 2.638,75; R$ 3.463,47; R$ 3.051,11; R$ 36.613,32; R$ 2.350.378,54.</t>
  </si>
  <si>
    <t>4</t>
  </si>
  <si>
    <t>Não alterar após início da coleta sem justificativa.</t>
  </si>
  <si>
    <t>Indica se a ausência de informação é resposta válida.</t>
  </si>
  <si>
    <t>Texto (Sim/Não)</t>
  </si>
  <si>
    <t>Sim; Não</t>
  </si>
  <si>
    <t>Marcar 'Sim' sempre que a informação puder legitimamente não existir no documento.</t>
  </si>
  <si>
    <t>Evita penalizar respostas corretas do tipo 'não consta no documento'.</t>
  </si>
  <si>
    <t>GOLD</t>
  </si>
  <si>
    <t>Identificador único da combinação Documento+Pergunta na base de referência.</t>
  </si>
  <si>
    <t>Texto (G + número)</t>
  </si>
  <si>
    <t>G0001 em diante</t>
  </si>
  <si>
    <t>Gerado automaticamente na criação da linha.</t>
  </si>
  <si>
    <t>Não editar manualmente.</t>
  </si>
  <si>
    <t>Resposta de referência considerada correta para a combinação Documento+Pergunta.</t>
  </si>
  <si>
    <t>Texto livre</t>
  </si>
  <si>
    <t>Elaborar com base exclusiva no documento; registrar 'Não consta no documento' quando aplicável.</t>
  </si>
  <si>
    <t>O valor global do contrato é R$ 350.000,00 (cláusula 3ª).</t>
  </si>
  <si>
    <t>Deve ser rastreável a uma evidência documental explícita.</t>
  </si>
  <si>
    <t>Localização da informação que sustenta a resposta Gold.</t>
  </si>
  <si>
    <t>Livre (recomenda-se página/seção/trecho)</t>
  </si>
  <si>
    <t>Preencher página, seção e, quando possível, trecho literal (com aspas) do documento.</t>
  </si>
  <si>
    <t>Página 3, Cláusula 3ª</t>
  </si>
  <si>
    <t>Elemento central para reprodutibilidade e auditoria do Gold.</t>
  </si>
  <si>
    <t>MATRIZ DE TESTES</t>
  </si>
  <si>
    <t>Identificador único de cada unidade experimental (Documento+Pergunta+Configuração).</t>
  </si>
  <si>
    <t>Texto (T + número)</t>
  </si>
  <si>
    <t>T0001 em diante</t>
  </si>
  <si>
    <t>Gerado ao registrar um novo teste.</t>
  </si>
  <si>
    <t>T0045</t>
  </si>
  <si>
    <t>Chave primária da execução do experimento.</t>
  </si>
  <si>
    <t>Ferramenta de IA generativa utilizada no teste.</t>
  </si>
  <si>
    <t>ChatGPT; Claude; Gemini</t>
  </si>
  <si>
    <t>Não inventar nomes de ferramentas fora da lista.</t>
  </si>
  <si>
    <t>Modalidade de acesso à ferramenta.</t>
  </si>
  <si>
    <t>Gratuita; Paga</t>
  </si>
  <si>
    <t>Selecionar conforme o plano efetivamente utilizado no teste.</t>
  </si>
  <si>
    <t>Paga</t>
  </si>
  <si>
    <t>Registrar Plano/Modelo/Versão nos campos correspondentes.</t>
  </si>
  <si>
    <t>Classificação do desfecho da resposta obtida.</t>
  </si>
  <si>
    <t>Correto; Parcialmente correto; Incorreto; Não respondeu; Não aplicável</t>
  </si>
  <si>
    <t>Selecionar após avaliação da resposta.</t>
  </si>
  <si>
    <t>Parcialmente correto</t>
  </si>
  <si>
    <t>Campo síntese; a avaliação detalhada por critério fica na aba AVALIAÇÃO.</t>
  </si>
  <si>
    <t>AVALIAÇÃO</t>
  </si>
  <si>
    <t>O ETP não indica um 'valor total anual do objeto licitado' único. Informa R$ 3.236.281,80/ano para os postos (Grupos 1 e 2) e, separadamente, os tetos anuais de R$ 136.212,00 (materiais) e R$ 240.000,00 (serviços), cuja soma (R$ 3.612.493,80) não é expressa no documento.</t>
  </si>
  <si>
    <t>Correção (0-2)</t>
  </si>
  <si>
    <t>Grau de correção da resposta em relação ao documento/Gold.</t>
  </si>
  <si>
    <t>Numérico (0-2)</t>
  </si>
  <si>
    <t>R$ 3.236.281,80 (postos) e tetos separados.</t>
  </si>
  <si>
    <t>0 Incorreto/ausente; 1 Parcialmente correto; 2 Correto</t>
  </si>
  <si>
    <t>Selecionar na lista suspensa após comparação com o Gold.</t>
  </si>
  <si>
    <t>Registrar que o total geral não é declarado.</t>
  </si>
  <si>
    <t>2</t>
  </si>
  <si>
    <t>Critério central de avaliação; nunca atribuído automaticamente.</t>
  </si>
  <si>
    <t>R$ 3.663.619,80 (valor do TR) como se fosse do ETP.</t>
  </si>
  <si>
    <t>Itens 8, 8.3.1, 8.4.1, 8.6 (p. 7; 9-10)</t>
  </si>
  <si>
    <t>Alucinação (Sim/Não)</t>
  </si>
  <si>
    <t>7; 9-10</t>
  </si>
  <si>
    <t>Indica se a resposta apresenta informação sem sustentação no documento.</t>
  </si>
  <si>
    <t>Itens 8, 8.3.1, 8.4.1, 8.6</t>
  </si>
  <si>
    <t>O valor anual estimado dos Grupos 1 e 2 totaliza: R$ 3.236.281,80</t>
  </si>
  <si>
    <t>Marcar 'Sim' somente quando a informação inexistir no documento e na Gold.</t>
  </si>
  <si>
    <t>Valores declarados.</t>
  </si>
  <si>
    <t>T0006</t>
  </si>
  <si>
    <t>Distinguir de erro de interpretação (informação existe, mas foi mal interpretada).</t>
  </si>
  <si>
    <t>Omissão (Sim/Não)</t>
  </si>
  <si>
    <t>G0043</t>
  </si>
  <si>
    <t>Indica se a resposta deixou de apresentar informação relevante presente no documento.</t>
  </si>
  <si>
    <t>Comparar a resposta da IA com os elementos obrigatórios do Gold.</t>
  </si>
  <si>
    <t>Não confundir com 'não consta no documento' (que é resposta correta quando aplicável).</t>
  </si>
  <si>
    <t>Classificação do erro identificado na resposta, quando houver.</t>
  </si>
  <si>
    <t>Erro factual, Erro de interpretação, Omissão, Alucinação, Contradição com o documento, Confusão entre documentos...</t>
  </si>
  <si>
    <t>Selecionar o tipo predominante de erro.</t>
  </si>
  <si>
    <t>Confusão de datas</t>
  </si>
  <si>
    <t>Selecionar 'Não se aplica' quando não houver erro.</t>
  </si>
  <si>
    <t>RESULTADOS</t>
  </si>
  <si>
    <t>Proporção de respostas classificadas como corretas (Correção = 2) sobre o total avaliado.</t>
  </si>
  <si>
    <t>Percentual (fórmula)</t>
  </si>
  <si>
    <t>0% a 100%</t>
  </si>
  <si>
    <t>Calculado automaticamente; não editar.</t>
  </si>
  <si>
    <t>COUNTIF(...,2)/COUNT(...)</t>
  </si>
  <si>
    <t>Calculado por configuração de IA a partir da aba AVALIAÇÃO.</t>
  </si>
  <si>
    <t>Proporção de respostas marcadas como 'Sim' no campo Alucinação sobre o total avaliado.</t>
  </si>
  <si>
    <t>COUNTIF(...,"Sim")/COUNTA(...)</t>
  </si>
  <si>
    <t>Indicador crítico de fidelidade documental; não implica juízo de valor isolado sobre a ferramenta.</t>
  </si>
  <si>
    <t>CONTROLE METODOLÓGICO</t>
  </si>
  <si>
    <t>Validade/Comparabilidade do Teste</t>
  </si>
  <si>
    <t>Classificação da validade metodológica de um teste específico.</t>
  </si>
  <si>
    <t>Válido; Válido com observação; Repetir teste; Excluir da análise</t>
  </si>
  <si>
    <t>Preencher após verificar as condições de controle (mesmo documento, mesmo prompt, etc.).</t>
  </si>
  <si>
    <t>Válido com observação</t>
  </si>
  <si>
    <t>Testes 'Excluir da análise' não devem compor os cálculos da aba RESULTADOS.</t>
  </si>
  <si>
    <t>Este dicionário cobre as variáveis centrais do instrumento. Toda variável adicional criada pelo pesquisador durante a execução da dissertação deve ser incluída nesta aba, mantendo o padrão de documentação (descrição, tipo, valores permitidos, regra de preenchimento, exemplo e observação metodológica), em conformidade com o princípio de transparência metodológica do protocolo.</t>
  </si>
  <si>
    <t>O ETP não tem 'comissão de contratação'; é assinado por 8 responsáveis (equipe de planejamento), todos em 02/04/2026, entre 15:56 (Gabriel F. Sousa) e 18:15 (Alexandre R. Choupina A. Silva).</t>
  </si>
  <si>
    <t>Registrar que os signatários são 'Responsáveis'.</t>
  </si>
  <si>
    <t>Assinou eletronicamente em 02/04/2026</t>
  </si>
  <si>
    <t>G0044</t>
  </si>
  <si>
    <t>Obrigações ou responsabilidades expressamente atribuídas às partes: não consta no documento. O mapa apenas descreve os componentes de custo: limpeza e conservação diurna, 44 horas, materiais sob demanda com BDI e equipamentos BDI.</t>
  </si>
  <si>
    <t>Não há obrigações contratuais estabelecidas. A planilha registra critérios e fontes de pesquisa de preços, sem impor responsabilidades ou prazos a partes.</t>
  </si>
  <si>
    <t>O documento não estabelece obrigações ou responsabilidades contratuais — é uma planilha comparativa de preços, não um contrato ou termo de referência. Nenhuma obrigação é fixada no texto.</t>
  </si>
  <si>
    <t>O documento não estabelece obrigações ou responsabilidades. É peça meramente instrutória/estimativa da fase preparatória; obrigações contratuais devem ser buscadas no Termo de Referência, no edital e no contrato correspondentes.</t>
  </si>
  <si>
    <t>Documento: ETP 1/2026 | UASG 156678 | Processo 23854.000200/2026-64 | Requisitante: Prefeitura Universitária (Ricardo P. S. Mathias) | Objeto: manutenção predial, áreas urbanas/rurais e apoio técnico-operacional com DEMO | Postos: 41 (Grupo 01 rural: 23; Grupo 02 predial: 18) | Grupos 03 (materiais) e 04 (serviços) sob demanda | Valor postos: R$ 269.690,15/mês; R$ 3.236.281,80/ano | Tetos: materiais R$ 136.212,00; serviços R$ 240.000,00 | Vigência prevista: 12 meses, até 120 meses | Parcelamento: não (lote único) | Substitui os Contratos 22/2023 e 06/2025 (encerram em 10/02/2026 e 10/04/2026) | CCTs: SEAC-GO e SINDUSCON-GO | DFD 165/2025 | Viabilidade: declarada | Assinaturas: 02/04/2026.</t>
  </si>
  <si>
    <t>Número, processo, objeto, valores, conclusão.</t>
  </si>
  <si>
    <t>Documento integral (p. 1-17)</t>
  </si>
  <si>
    <t>Prestação de Serviço de limpeza e conservação Diurna 44 horas, além de Material Sob Demanda e Equipamentos (com BDI).</t>
  </si>
  <si>
    <t>G0045</t>
  </si>
  <si>
    <t>Prestação de serviço contínuo de limpeza e conservação diurna, fornecimento de materiais sob demanda e disponibilização de equipamentos.</t>
  </si>
  <si>
    <t>T0007</t>
  </si>
  <si>
    <t>Valores: contratos anteriores – Contrato 22/2023 R$ 1.379.698,13/ano; Contrato 06/2025 R$ 2.298.338,57/ano. Base técnica: CUB R$ 2.714,57/m²; valor de reposição ≈ R$ 109.639.093,48; manutenção anual ≈ R$ 2.192.781,00; equipe fixa &gt; R$ 1,8 milhão; histórico FUNAPE de R$ 17 mil a R$ 83 mil/ano. Tetos: materiais R$ 120.000,00 (+BDI 13,51% = R$ 136.212,00); serviços R$ 200.000,00 (+BDI 20% = R$ 240.000,00). Postos (unitário/mensal/anual): Operador R$ 7.612,25/38.061,25/456.735,00; Trab. Volante 5.724,46/11.448,92/137.387,04; Vaqueiro 5.474,30/21.897,20/262.766,40; Trab. Agropecuário 4.256,18/17.024,72/204.296,64; Jardineiro 5.133,56/41.068,48/492.821,76; Adm. Obras 6.196,74/30.983,70/371.804,40; Encarregado 7.525,16/7.525,16/90.301,92; Eletricista 9.499,06/37.996,24/455.954,88; Assist. Técnico 10.303,67/10.303,67/123.644,04; Pedreiro 7.519,38/15.038,76/180.465,12; Pintor, Marceneiro e Encanador 7.519,38/7.519,38/90.232,56 cada; Téc. Refrigeração 9.517,12/9.517,12/114.205,44; Piscineiro 6.266,79/6.266,79/75.201,48. Total R$ 269.690,15/mês; R$ 3.236.281,80/ano. Salários-base: Operador 3.309,87; Volante 2.348,94; Vaqueiro 2.188,78; Jardineiro 2.053,22; Assist. Técnico 4.697,88; Encarregado 3.283,11; Eletricista/Encanador/Pintor/Pedreiro/Marceneiro 3.229,78; Téc. Refrigeração 2.641,81; Piscineiro 2.500,00; Adm. Obras 2.798,40; Trab. Agropecuário 1.711,00.</t>
  </si>
  <si>
    <t>Total dos postos e tetos de materiais/serviços.</t>
  </si>
  <si>
    <t>Detalhamento completo.</t>
  </si>
  <si>
    <t>Itens 7.1.3, 7.1.4, 8.2-8.8 (p. 5-12)</t>
  </si>
  <si>
    <t>5-12</t>
  </si>
  <si>
    <t>Itens 7.1.3, 7.1.4, 8.2-8.8</t>
  </si>
  <si>
    <t>G0046</t>
  </si>
  <si>
    <t>Da futura contratada: fornecer uniformes, EPIs, ferramentas e materiais (4.3.1); manter equipamentos da contratante em caso de mau uso e fornecer óleo 2T (4.3.1); apresentar relatório mensal até o 5º dia útil (4.3.1); fornecer materiais e serviços sob demanda com preço SINAPI/cotações e aprovação da fiscalização (4.3.2-4.3.3); cumprir a PNRS e as normas de agrotóxicos (4.4); cumprir a CCT e os programas de SST (4.5); supervisionar e treinar o pessoal (4.6); estar no SICAF (4.6); apresentar declaração de conhecimento do TR/ETP (4.7). Da Administração: emitir ordem de serviço, capacitar fiscais, planejar a transição e fazer vistorias (13); verificar pagamentos trabalhistas (15).</t>
  </si>
  <si>
    <t>Obrigações da contratada (4.3-4.7) e providências da Administração (13, 15).</t>
  </si>
  <si>
    <t>Itens 4.3-4.7, 13, 15 (p. 3-5; 15-16)</t>
  </si>
  <si>
    <t>3-5; 15-16</t>
  </si>
  <si>
    <t>Itens 4.3-4.7, 13, 15</t>
  </si>
  <si>
    <t>não consta no documento. Não há cláusula ou seção 4.1.4.</t>
  </si>
  <si>
    <t>G0047</t>
  </si>
  <si>
    <t>Não consta no documento. Não há cláusula ou seção 4.1.4.</t>
  </si>
  <si>
    <t>Não consta cláusula ou seção "4.1.4" neste documento; ele não possui numeração de cláusulas.</t>
  </si>
  <si>
    <t>ABA 9 - CONTROLE METODOLÓGICO (checklist de comparabilidade por teste)</t>
  </si>
  <si>
    <t>Não existe cláusula ou seção 4.1.4 neste documento. A planilha não é estruturada em cláusulas numeradas; a referência provavelmente pertence a outra peça do processo (Termo de Referência, edital ou contrato).</t>
  </si>
  <si>
    <t>Não há cláusula ou seção 4.1.4 no documento.</t>
  </si>
  <si>
    <t>Não consta no documento. O ETP não possui item 4.1.4; o item 4.1 ('Objeto e Natureza do Serviço') não tem subitens numerados. O tema do transporte de resíduos está no 2.5 e no 4.4.</t>
  </si>
  <si>
    <t>Declarar expressamente 'não consta no documento'.</t>
  </si>
  <si>
    <t>Explicar brevemente por que a informação não existe.</t>
  </si>
  <si>
    <t>Atribuir ao documento informação que ele não contém (alucinação).</t>
  </si>
  <si>
    <t>ID_Teste (ref. Matriz)</t>
  </si>
  <si>
    <t>A informação solicitada não existe no documento; a resposta correta é declarar 'não consta no documento'.</t>
  </si>
  <si>
    <t>Não consta cláusula ou seção 4.1.4 no documento.</t>
  </si>
  <si>
    <t>G0048</t>
  </si>
  <si>
    <t>Mesmo Documento?</t>
  </si>
  <si>
    <t>Mesma Versão do Documento?</t>
  </si>
  <si>
    <t>Mesma Pergunta?</t>
  </si>
  <si>
    <t>Mesmo Prompt?</t>
  </si>
  <si>
    <t>Mesmo Idioma?</t>
  </si>
  <si>
    <t>Mesmo Contexto?</t>
  </si>
  <si>
    <t>Documento Completo ou Parcial?</t>
  </si>
  <si>
    <t>Mesmo Formato do Arquivo?</t>
  </si>
  <si>
    <t>Mesmo Nº de Tentativas?</t>
  </si>
  <si>
    <t>Houve Nova Tentativa?</t>
  </si>
  <si>
    <t>Houve Alteração do Prompt?</t>
  </si>
  <si>
    <t>Houve Intervenção Humana?</t>
  </si>
  <si>
    <t>Houve Acesso à Internet?</t>
  </si>
  <si>
    <t>Houve Uso de Memória?</t>
  </si>
  <si>
    <t>Houve Contexto de Conversa Anterior?</t>
  </si>
  <si>
    <t>Houve Limitação de Tamanho?</t>
  </si>
  <si>
    <t>Houve Erro Técnico?</t>
  </si>
  <si>
    <t>Houve Interrupção?</t>
  </si>
  <si>
    <t>Houve Falha no Upload?</t>
  </si>
  <si>
    <t>Houve Mudança de Modelo?</t>
  </si>
  <si>
    <t>Houve Mudança de Configuração?</t>
  </si>
  <si>
    <t>T0008</t>
  </si>
  <si>
    <t>Primeira etapa do planejamento: demonstrar a necessidade, avaliar a solução, estimar quantidades e valor e declarar a viabilidade da contratação, fundamentando o TR (art. 18, § 1º, Lei 14.133/2021).</t>
  </si>
  <si>
    <t>Planejamento e demonstração de viabilidade.</t>
  </si>
  <si>
    <t>Documento integral (p. 1-16)</t>
  </si>
  <si>
    <t>1-16</t>
  </si>
  <si>
    <t>Natureza do ETP.</t>
  </si>
  <si>
    <t>G0049</t>
  </si>
  <si>
    <t>Não consta no documento. O ETP não possui item 4.11 (a seção 4 vai de 4.1 a 4.7).</t>
  </si>
  <si>
    <t>Subsidiar a estimativa de custos da contratação no processo 23854.007448/2024-94, mediante comparação entre valores atualizados do contrato nº 113/2024 e valores pesquisados no Banco de Preços; finalidade inferida do título e da tabela.</t>
  </si>
  <si>
    <t>G0050</t>
  </si>
  <si>
    <t>Apoiar o planejamento da contratação, comparando referências de preços e apresentando uma estimativa para o serviço de limpeza e conservação.</t>
  </si>
  <si>
    <t>Comparar o valor atualizado do contrato vigente (Preço 01) com a média de preços de mercado obtida no Banco de Preços (Preço 02), para subsidiar decisões administrativas relacionadas ao reajuste/repactuação do Processo SEI 23854.007448/2024-94.</t>
  </si>
  <si>
    <t>Documentar a pesquisa de preços e fixar a estimativa do valor da contratação, instruindo a fase preparatória do procedimento (art. 23 da Lei nº 14.133/2021 e IN SEGES/ME nº 65/2021), de modo a subsidiar a autorização da despesa, a reserva orçamentária e o julgamento de propostas.</t>
  </si>
  <si>
    <t>Comparar valores e estipular um preço médio estimado entre o contrato atual vigente e pesquisas no Banco de Preços.</t>
  </si>
  <si>
    <t>Apresentar o comparativo de preços entre o contrato atual atualizado e a média do Banco de Preços para a contratação/manutenção dos serviços.</t>
  </si>
  <si>
    <t>T0009</t>
  </si>
  <si>
    <t>T0010</t>
  </si>
  <si>
    <t>Sim: (1) o item 8.2.3 afirma que os valores de materiais e serviços (R$ 320 mil) correspondem a '~0,15%' do custo anual global, e o 8.4.1 diz que correspondem a '~14,6%' (o correto é ~14,6% sobre R$ 2,19 milhões); (2) o cálculo do 8.2 usa o valor de reposição de R$ 109.639.093,48, mas a conta seguinte usa R$ 109.600.000,00 × 2% ≈ R$ 2.192.781,00 (resultado compatível apenas com o primeiro valor); (3) o item 8 apresenta 'Valor (R$): 3.236.281,80' como estimativa da contratação, mas esse valor exclui os Grupos 3 e 4 descritos no mesmo item; (4) a Nota Técnica anexa recomenda a CCT da construção civil para a manutenção predial e a CCT rural para o apoio agropecuário, mas o 8.8.2 usa a CCT SEAC-GO para quase todos os cargos, inclusive os rurais, e SINDUSCON apenas para Administrativo de Obras; (5) o 8.8.3 diz que o Trabalhador Agropecuário não tem remuneração prevista na CCT, mas adota o piso de R$ 1.711,00 'conforme CCT SEAC GO001031/2025', número diferente da CCT citada no 8.8.2 (GO000026/2025); (6) o 8.13.6.1 fala em 'Lotes A e B', e o restante do ETP usa 'Grupos' e 'lote único'; (7) o 8.8.2 diz 'CCT SEAC-GO do ano de 2026' com registro de 21/01/2025.</t>
  </si>
  <si>
    <t>Itens (1), (3) e (4).</t>
  </si>
  <si>
    <t>Itens (2), (5), (6) e (7).</t>
  </si>
  <si>
    <t>Itens 8, 8.2, 8.2.3, 8.4.1, 8.8.2, 8.8.3, 8.13.6.1; Nota Técnica (p. 7-14; 20-23)</t>
  </si>
  <si>
    <t>7-14; 20-23</t>
  </si>
  <si>
    <t>Itens 8, 8.2, 8.2.3, 8.4.1, 8.8.2, 8.8.3, 8.13.6.1; Nota Técnica</t>
  </si>
  <si>
    <t>Os valores acima correspondem, conjuntamente, a aproximadamente 0,15% do custo anual global</t>
  </si>
  <si>
    <t>Divergências internas.</t>
  </si>
  <si>
    <t>T0011</t>
  </si>
  <si>
    <t>G0051</t>
  </si>
  <si>
    <t>T0012</t>
  </si>
  <si>
    <t>T0013</t>
  </si>
  <si>
    <t>T0014</t>
  </si>
  <si>
    <t>T0015</t>
  </si>
  <si>
    <t>Sim: 0,15% x 14,6%; R$ 109.639.093,48 x R$ 109.600.000,00; registros diferentes da CCT SEAC-GO (GO000026/2025 x GO001031/2025); Eletricista com salário-base igual ao do Pedreiro (R$ 3.229,78), mas valor do posto muito superior (R$ 9.499,06 x R$ 7.519,38), e Técnico de Refrigeração com salário-base menor (R$ 2.641,81), mas posto de R$ 9.517,12 – sem explicação no texto.</t>
  </si>
  <si>
    <t>0,15% x 14,6%; CCTs.</t>
  </si>
  <si>
    <t>Valores dos postos.</t>
  </si>
  <si>
    <t>Itens 8.2, 8.2.3, 8.4.1, 8.6, 8.8.2-8.8.3 (p. 8-12)</t>
  </si>
  <si>
    <t>8-12</t>
  </si>
  <si>
    <t>Itens 8.2, 8.2.3, 8.4.1, 8.6, 8.8.2-8.8.3</t>
  </si>
  <si>
    <t>T0016</t>
  </si>
  <si>
    <t>G0052</t>
  </si>
  <si>
    <t>T0017</t>
  </si>
  <si>
    <t>não consta no documento. Não há seção 4.11 da qual se possa extrair uma consequência.</t>
  </si>
  <si>
    <t>T0018</t>
  </si>
  <si>
    <t>Não consta no documento. Não há item ou seção 4.11.</t>
  </si>
  <si>
    <t>T0019</t>
  </si>
  <si>
    <t>Sim: o item 5.5 está em branco; o levantamento de mercado (5) não compara alternativas nem apresenta pesquisas; o gráfico de ordens de serviço 2023-2025 (7.1) é citado ('imagem abaixo') mas não aparece no texto; não há data no corpo; não há justificativa técnica da marca Stihl; não há memória de cálculo dos valores dos postos (remete à planilha); o valor total geral (postos + tetos) não é consolidado; o DFD citado (165/2025) não é detalhado.</t>
  </si>
  <si>
    <t>5.5 vazio; ausência de comparação de alternativas.</t>
  </si>
  <si>
    <t>Itens 5, 7.1, 8 (p. 5-7)</t>
  </si>
  <si>
    <t>Itens 5, 7.1, 8</t>
  </si>
  <si>
    <t>T0020</t>
  </si>
  <si>
    <t>G0053</t>
  </si>
  <si>
    <t>Não consta item "4.11" no documento; não é possível identificar tal consequência.</t>
  </si>
  <si>
    <t>T0021</t>
  </si>
  <si>
    <t>Não há item 4.11 no documento, razão pela qual nenhuma consequência pode ser extraída dele. A verificação deve ser feita na peça do processo que contenha essa numeração.</t>
  </si>
  <si>
    <t>T0022</t>
  </si>
  <si>
    <t>T0023</t>
  </si>
  <si>
    <t>Não há item 4.11 no documento.</t>
  </si>
  <si>
    <t>T0024</t>
  </si>
  <si>
    <t>Não consta item 4.11 no documento.</t>
  </si>
  <si>
    <t>Erros materiais: '0,15%' (8.2.3); R$ 109.600.000,00 (8.2); 'SINAP-GO' (8); 'empresa ajudiciária' (4.7, provavelmente 'adjudicatária'); 'desde Estudo' (4.7); 'encarretado' (2.3.2); numeração 8.2.4 → 8.2.6 (sem 8.2.5); item 5.5 vazio; trecho truncado no 4.3.2 ('mediante emissão Para efeitos de contratação... de Ordem de Fornecimento').</t>
  </si>
  <si>
    <t>0,15% e erros de valor.</t>
  </si>
  <si>
    <t>Erros de digitação e numeração.</t>
  </si>
  <si>
    <t>T0025</t>
  </si>
  <si>
    <t>Diversos (p. 2-10)</t>
  </si>
  <si>
    <t>2-10</t>
  </si>
  <si>
    <t>G0054</t>
  </si>
  <si>
    <t>T0026</t>
  </si>
  <si>
    <t>T0027</t>
  </si>
  <si>
    <t>T0028</t>
  </si>
  <si>
    <t>T0029</t>
  </si>
  <si>
    <t>Sim: coerência das CCTs usadas (registro, vigência, enquadramento) com a Nota Técnica; percentuais e cálculos do item 8; valores dos postos frente à planilha; justificativa da marca; quantitativos com base em OS (gráfico ausente); valor total da contratação a ser levado ao TR; datas de encerramento dos contratos anteriores (10/02 e 10/04/2026), por risco de descontinuidade.</t>
  </si>
  <si>
    <t>Itens 7, 8, 10; Nota Técnica (p. 5-14; 20-23)</t>
  </si>
  <si>
    <t>5-14; 20-23</t>
  </si>
  <si>
    <t>Itens 7, 8, 10; Nota Técnica</t>
  </si>
  <si>
    <t>Verificações.</t>
  </si>
  <si>
    <t>G0055</t>
  </si>
  <si>
    <t>T0030</t>
  </si>
  <si>
    <t>T0031</t>
  </si>
  <si>
    <t>T0032</t>
  </si>
  <si>
    <t>Sim: a Nota Técnica anexa (que deve fundamentar o ETP) recomenda CCTs por grupo (construção civil x rural), e o ETP adota majoritariamente a CCT SEAC-GO. O item 5 (levantamento de mercado) não cumpre o que o próprio título propõe, e o 5.5 está vazio.</t>
  </si>
  <si>
    <t>Nota Técnica x 8.8.2.</t>
  </si>
  <si>
    <t>Item 5.</t>
  </si>
  <si>
    <t>Itens 5, 8.8.2; Nota Técnica (p. 5; 12; 20-23)</t>
  </si>
  <si>
    <t>T0033</t>
  </si>
  <si>
    <t>5; 12; 20-23</t>
  </si>
  <si>
    <t>Itens 5, 8.8.2; Nota Técnica</t>
  </si>
  <si>
    <t>Conflito com a fundamentação do próprio documento.</t>
  </si>
  <si>
    <t>G0056</t>
  </si>
  <si>
    <t>T0034</t>
  </si>
  <si>
    <t>T0035</t>
  </si>
  <si>
    <t>Sim, há diferenças aritméticas aparentes nos valores exibidos. Item 1: 434.000 × R$ 4,84 = R$ 2.100.560,00, mas o total informado é R$ 2.100.603,40, diferença de R$ 43,40. Item 2: 12 × R$ 17.763,49 = R$ 213.161,88, mas o total informado é R$ 213.161,82, diferença de R$ 0,06. Casas decimais não exibidas podem explicar as diferenças; a memória de cálculo não consta no documento.</t>
  </si>
  <si>
    <t>Sim. Há possíveis divergências aritméticas: R$ 4,84 × 434.000 m² = R$ 2.100.560,00, enquanto a tabela informa R$ 2.100.603,40 (diferença de R$ 43,40). Também R$ 17.763,49 × 12 = R$ 213.161,88, enquanto a tabela informa R$ 213.161,82 (diferença de R$ 0,06). A segunda diferença pode decorrer de arredondamento de valores não exibidos; ambas devem ser conferidas com os dados de cálculo originais.</t>
  </si>
  <si>
    <t>T0036</t>
  </si>
  <si>
    <t>Sim, uma pequena inconsistência de arredondamento: no Item 1, a média exibida (R$4,84) x 434.000 m² resulta em R$2.100.560,00, mas o total informado é R$2.100.603,40 (diferença de R$43,40), sugerindo que o cálculo usou um valor não arredondado (~R$4,8403) diferente do exibido.</t>
  </si>
  <si>
    <t>T0037</t>
  </si>
  <si>
    <t>Contratação em DEMO por 12 meses, prorrogável até 120 meses; lote único; experiência mínima de até 3 anos em serviços similares; profissionais qualificados; fornecimento de uniformes, EPIs e ferramentas; relatório mensal até o 5º dia útil; materiais pela SINAPI-GO com BDI ou três cotações; OFM para materiais e OS para serviços; sustentabilidade (PNRS, agrotóxicos registrados, tríplice lavagem, compostagem); cumprimento da CCT e dos programas de SST; SICAF; declaração de conhecimento; tetos anuais sem consumo mínimo.</t>
  </si>
  <si>
    <t>Itens 4 e 8 (p. 2-10)</t>
  </si>
  <si>
    <t>Itens 4 e 8</t>
  </si>
  <si>
    <t>Sim. (a) No item 1, 434.000 m² x R$ 4,84 = R$ 2.100.560,00, mas o total informado é R$ 2.100.603,40 - diferença de R$ 43,40, indicando que o cálculo usou valor não arredondado (R$ 4,8401), enquanto a coluna exibe R$ 4,84. (b) O processo é de 2024 e o documento é de agosto de 2026, sem esclarecimento sobre o intervalo. (c) Os três itens usam o mesmo código CATSER 25194, embora se refiram a serviço, material e equipamentos. Os itens 2 e 3 e o somatório geral estão aritmeticamente corretos.</t>
  </si>
  <si>
    <t>G0057</t>
  </si>
  <si>
    <t>T0038</t>
  </si>
  <si>
    <t>Sim, o 'Termo de Apostilamento n 01/2028' faz menção ao ano de 2028, futuro em relação à data do documento (agosto de 2026).</t>
  </si>
  <si>
    <t>T0039</t>
  </si>
  <si>
    <t>Sim, há menção ao 'Termo de Apostilamento n 01/2028' em um documento datado de 2026, o que indica um provável erro material de digitação no ano.</t>
  </si>
  <si>
    <t>T0040</t>
  </si>
  <si>
    <t>T0041</t>
  </si>
  <si>
    <t>T0042</t>
  </si>
  <si>
    <t>T0043</t>
  </si>
  <si>
    <t>Levantamento de mercado com alternativas; item 5.5; gráfico de OS; data do documento; memória de cálculo dos postos; valor total consolidado; justificativa da marca.</t>
  </si>
  <si>
    <t>Itens 5, 7, 8 (p. 5-7)</t>
  </si>
  <si>
    <t>Itens 5, 7, 8</t>
  </si>
  <si>
    <t>G0058</t>
  </si>
  <si>
    <t>T0044</t>
  </si>
  <si>
    <t>T0046</t>
  </si>
  <si>
    <t>Não há par de comparação definido para o ETP neste experimento; o TR é que é comparado com o ETP (ver doc 1, P25). Com base apenas no ETP, não é possível afirmar conflito com outro documento. Os contratos anteriores (22/2023 e 06/2025) são citados apenas como referência.</t>
  </si>
  <si>
    <t>T0047</t>
  </si>
  <si>
    <t>Declarar a ausência de comparação definida / necessidade de outro documento.</t>
  </si>
  <si>
    <t>Afirmar conflitos com documento não fornecido.</t>
  </si>
  <si>
    <t>Sem par definido.</t>
  </si>
  <si>
    <t>Sem par de comparação definido pelo pesquisador para o ETP. | Rascunho: conferir no documento original antes de usar como Gold. Viés possível: Claude é ferramenta avaliada.</t>
  </si>
  <si>
    <t>G0059</t>
  </si>
  <si>
    <t>T0048</t>
  </si>
  <si>
    <t>T0049</t>
  </si>
  <si>
    <t>Sem par de comparação definido. Dentro do ETP, a única comparação explícita é entre os contratos atuais (22/2023: 23 postos; 06/2025: 23 postos, com 12 auxiliares de manutenção) e a nova estrutura (41 postos, com cargos especializados como pedreiro, pintor, marceneiro, técnico de refrigeração, encanador e piscineiro, e sem auxiliares de manutenção e de campo).</t>
  </si>
  <si>
    <t>Ausência de par; comparação interna com os contratos anteriores.</t>
  </si>
  <si>
    <t>Item 7.1 (p. 5-7)</t>
  </si>
  <si>
    <t>Item 7.1</t>
  </si>
  <si>
    <t>Comparação presente no próprio documento.</t>
  </si>
  <si>
    <t>G0060</t>
  </si>
  <si>
    <t>T0050</t>
  </si>
  <si>
    <t>T0051</t>
  </si>
  <si>
    <t>T0052</t>
  </si>
  <si>
    <t>T0053</t>
  </si>
  <si>
    <t>T0054</t>
  </si>
  <si>
    <t>Os itens 1 e 2 apresentam diferenças entre quantidade × média exibida e total informado. No item 2, a média não arredondada de R$ 15.295,00 e R$ 20.231,97 é R$ 17.763,485 e, multiplicada por 12, corresponde ao total R$ 213.161,82. O item 3 confere: 12 × R$ 3.051,11 = R$ 36.613,32. A soma dos três totais informados é R$ 2.350.378,54 e coincide com o valor por extenso. Não se identificou incompatibilidade interna entre as datas apresentadas.</t>
  </si>
  <si>
    <t>O ETP propõe alterar o modelo vigente: unificar os dois contratos (22/2023 e 06/2025) em um só; mudar a composição dos postos (46 → 41, com novos cargos especializados); incluir o fornecimento de materiais e serviços sob demanda (SINAPI + BDI).</t>
  </si>
  <si>
    <t>Unificação e nova composição.</t>
  </si>
  <si>
    <t>Itens 7.1, 10.1 (p. 5-7; 14)</t>
  </si>
  <si>
    <t>5-7; 14</t>
  </si>
  <si>
    <t>Itens 7.1, 10.1</t>
  </si>
  <si>
    <t>T0055</t>
  </si>
  <si>
    <t>Alterações propostas no planejamento.</t>
  </si>
  <si>
    <t>G0061</t>
  </si>
  <si>
    <t>T0056</t>
  </si>
  <si>
    <t>T0057</t>
  </si>
  <si>
    <t>T0058</t>
  </si>
  <si>
    <t>T0059</t>
  </si>
  <si>
    <t>T0060</t>
  </si>
  <si>
    <t>T0061</t>
  </si>
  <si>
    <t>Coerência das CCTs e do enquadramento sindical; erros de cálculo e percentuais no item 8; ausência de análise de alternativas; tetos de materiais e serviços muito acima do histórico (R$ 17-83 mil/ano → R$ 376 mil/ano); risco de descontinuidade com o fim dos contratos em 10/02 e 10/04/2026; salário acima do piso (8.9-8.11), que precisa ser bem justificado (art. 5º, VI, IN 05/2017); marca indicada.</t>
  </si>
  <si>
    <t>Itens 5, 8, 10 (p. 5-14)</t>
  </si>
  <si>
    <t>5-14</t>
  </si>
  <si>
    <t>Itens 5, 8, 10</t>
  </si>
  <si>
    <t>T0062</t>
  </si>
  <si>
    <t>G0062</t>
  </si>
  <si>
    <t>Confusão de valores</t>
  </si>
  <si>
    <t>Há aparentes diferenças entre o preço médio vezes a quantidade e os totais dos itens 1 e 2, conforme detalhado acima. As datas visíveis (Contrato nº 113/2024, apostilamento nº 01/2026 e mapa de 24/08/2026) não são, por si só, incompatíveis.</t>
  </si>
  <si>
    <t>Cada linha corresponde a um ID_Teste da aba MATRIZ DE TESTES. Preencher o checklist de condições experimentais e classificar a Validade/Comparabilidade do teste. Testes marcados como 'Excluir da análise' são destacados em vermelho e não devem compor os cálculos automáticos da aba RESULTADOS; recomenda-se registrar a justificativa correspondente.</t>
  </si>
  <si>
    <t>CONTROLE DE VARIÁVEIS DO EXPERIMENTO</t>
  </si>
  <si>
    <t>Variáveis Independentes</t>
  </si>
  <si>
    <t>A mesma discrepância do Item 1 (média x quantidade não bate exatamente com o total apresentado, diferença de R$43,40). Os demais itens e o total geral conferem matematicamente.</t>
  </si>
  <si>
    <t>Ferramenta | Modalidade | Plano | Modelo | Tipo Documental | Categoria da Pergunta | Nível de Dificuldade</t>
  </si>
  <si>
    <t>Sim. Além da diferença de R$ 43,40 no item 1, a quantidade de 434.000 m² não indica se é área mensal ou acumulada em 12 meses (434.000/12 = 36.166,67 m²/mês), o que é essencial para conferir o total. A unidade 'Meses' nos itens 2 e 3 também não deixa claro se os valores de R$ 15.295,00 e R$ 2.638,75 são mensais.</t>
  </si>
  <si>
    <t>Variáveis Dependentes</t>
  </si>
  <si>
    <t>Correção | Completude | Precisão | Consistência | Clareza | Profundidade | Fidelidade Documental | Taxa de Alucinação | Taxa de Omissão | Tempo de Resposta | Ocorrência de Erros</t>
  </si>
  <si>
    <t>Variáveis de Controle</t>
  </si>
  <si>
    <t>Documento | Prompt | Idioma | Contexto | Formato do Arquivo | Procedimento de Teste | Critérios de Avaliação</t>
  </si>
  <si>
    <t>Cálculos do item 8; CCTs aplicáveis; justificativa de salário acima do piso; comparação de alternativas; valor total da contratação; prazos dos contratos vigentes; disponibilidade orçamentária.</t>
  </si>
  <si>
    <t>Sim, a data de emissão/assinatura é 2026, mas há referência a um termo de apostilamento com ano 2028.</t>
  </si>
  <si>
    <t>Base para aprovar o prosseguimento.</t>
  </si>
  <si>
    <t>PERFIS DE COMPARAÇÃO</t>
  </si>
  <si>
    <t>G0063</t>
  </si>
  <si>
    <t>Perfil A - Custo/Acessibilidade</t>
  </si>
  <si>
    <t>Sim, o ano 2028 no termo de apostilamento em contraste com o ano de emissão 2026.</t>
  </si>
  <si>
    <t>Acesso gratuito ou pago | Custo | Limitações | Recursos disponíveis | Desempenho observado | Tempo de resposta</t>
  </si>
  <si>
    <t>Perfil B - Maior Capacidade/Desempenho</t>
  </si>
  <si>
    <t>Modelo | Plano | Recursos | Desempenho observado | Tempo de resposta | Limitações</t>
  </si>
  <si>
    <t>Importante: não se declara antecipadamente qual modelo possui maior desempenho. O objetivo é observar empiricamente as diferenças entre as 9 configurações testadas.</t>
  </si>
  <si>
    <t>Questionamento pelo controle (ou pela Procuradoria) por planejamento deficiente (sem alternativas, cálculos inconsistentes); sobrepreço ou subpreço por uso de CCT inadequada; descontinuidade dos serviços; tetos de materiais e serviços sem lastro histórico; restrição à competição (experiência mínima de 3 anos; indicação de marca).</t>
  </si>
  <si>
    <t>Itens 4.2, 5, 8, 10 (p. 2-14)</t>
  </si>
  <si>
    <t>2-14</t>
  </si>
  <si>
    <t>Itens 4.2, 5, 8, 10</t>
  </si>
  <si>
    <t>Riscos.</t>
  </si>
  <si>
    <t>G0064</t>
  </si>
  <si>
    <t>1) O ETP 1/2026 (processo 23854.000200/2026-64) planeja a contratação de manutenção predial, áreas urbanas/rurais e apoio técnico-operacional com DEMO. 2) Unifica os Contratos 22/2023 e 06/2025 em 41 postos, divididos em 2 grupos, mais materiais e serviços sob demanda. 3) Estima R$ 3.236.281,80/ano para os postos e tetos de R$ 136.212,00 (materiais) e R$ 240.000,00 (serviços). 4) Adota lote único, CCTs SEAC-GO e SINDUSCON-GO, reajuste IPCA/SINAPI. 5) Declara a contratação viável.</t>
  </si>
  <si>
    <t>Objeto; postos; valores; modelo; viabilidade.</t>
  </si>
  <si>
    <t>G0065</t>
  </si>
  <si>
    <t>Demonstrar a necessidade e a viabilidade da contratação e fundamentar o TR.</t>
  </si>
  <si>
    <t>Itens 2 e 16 (p. 16)</t>
  </si>
  <si>
    <t>16</t>
  </si>
  <si>
    <t>Itens 2 e 16</t>
  </si>
  <si>
    <t>G0066</t>
  </si>
  <si>
    <t>Para reproduzir integralmente a estimativa, faltam a memória de cálculo com precisão completa, a composição dos 434.000 m² e sua periodicidade, o detalhamento das cotações do Banco de Preços e a composição/percentual do BDI. Detalhamento dessas informações: não consta no documento.</t>
  </si>
  <si>
    <t>Sim. Não aparecem os registros detalhados da pesquisa no Banco de Preços, as cotações que formaram a média, a memória de cálculo, a identificação de quem elaborou/conferiu/aprovou a planilha, nem a assinatura dos responsáveis. A planilha também não explicita se os totais foram calculados com valores unitários não arredondados.</t>
  </si>
  <si>
    <t>Sim: vigência contratual (datas de início/fim), dados/CNPJ da empresa contratada, identificação de quem realizou a pesquisa no Banco de Preços, número do edital/licitação de origem, e assinaturas de comissão (há apenas uma assinatura digital individual).</t>
  </si>
  <si>
    <t>Sim: data e período de coleta dos preços no Banco de Preços; identificação das contratações similares utilizadas como parâmetro; memória de cálculo do item 1; percentual e composição do BDI; número de postos, produtividade e locais de execução; justificativa da metodologia (média simples) e do uso de apenas duas fontes; cargo/função do signatário; e indicação da dotação orçamentária.</t>
  </si>
  <si>
    <t>1) Estimativa de valor e seus erros de cálculo/percentual (item 8). 2) Composição de 41 postos e tetos de materiais e serviços sob demanda. 3) CCTs adotadas e sua coerência com a Nota Técnica.</t>
  </si>
  <si>
    <t>Itens 7, 8; Nota Técnica (p. 5-14; 20-23)</t>
  </si>
  <si>
    <t>Itens 7, 8; Nota Técnica</t>
  </si>
  <si>
    <t>G0067</t>
  </si>
  <si>
    <t>O documento é apenas um mapa comparativo, faltando as memórias de cálculo detalhadas do BDI e relatórios gerados pelo Banco de Preços.</t>
  </si>
  <si>
    <t>Detalhamento completo do cálculo analítico de BDI e encargos sociais.</t>
  </si>
  <si>
    <t>Licitação, na modalidade Pregão Eletrônico nº 90017/2026, para a contratação de serviços contínuos e eventuais de manutenção preventiva e corretiva predial, manutenção e conservação de áreas urbanas e rurais e apoio técnico-operacional, com fornecimento de mão de obra, ferramentas, equipamentos, instrumentos e insumos, em regime de dedicação exclusiva de mão de obra (grupo único de 17 itens).</t>
  </si>
  <si>
    <t>Pregão eletrônico 90017/2026 para os serviços com DEMO.</t>
  </si>
  <si>
    <t>Grupo único de 17 itens.</t>
  </si>
  <si>
    <t>Tratá-lo como contrato já firmado.</t>
  </si>
  <si>
    <t>Quadro-resumo; item 1.1 (p. 1)</t>
  </si>
  <si>
    <t>Quadro-resumo; item 1.1</t>
  </si>
  <si>
    <t>O objeto da presente licitação é a contratação de serviços contínuos e eventuais...</t>
  </si>
  <si>
    <t>Item 1.1.</t>
  </si>
  <si>
    <t>G0068</t>
  </si>
  <si>
    <t>Edital DCL nº 90017/2026 – Pregão Eletrônico nº 90017/2026 (UASG 156678). O documento SEI do edital é o 0569747 (cabeçalho e rodapé); o PDF compilado (edital + anexos) está cadastrado como 0573709.</t>
  </si>
  <si>
    <t>Edital/Pregão Eletrônico 90017/2026.</t>
  </si>
  <si>
    <t>Nº SEI 0569747 x 0573709.</t>
  </si>
  <si>
    <t>Cabeçalho; rodapé (p. 1; 14)</t>
  </si>
  <si>
    <t>1; 14</t>
  </si>
  <si>
    <t>Cabeçalho; rodapé</t>
  </si>
  <si>
    <t>EDITAL DCL Nº 90017/2026 / PREGÃO ELETRÔNICO 90017/2026</t>
  </si>
  <si>
    <t>G0069</t>
  </si>
  <si>
    <t>Há divergência: o preâmbulo indica o Processo Administrativo nº 23854.000200/2026-64; o rodapé (Referência) do edital indica o Processo nº 23854.002761/2026-06. Os anexos (TR e minuta) usam 23854.000200/2026-64.</t>
  </si>
  <si>
    <t>Os dois números e a divergência.</t>
  </si>
  <si>
    <t>Informar só um número sem ressalva.</t>
  </si>
  <si>
    <t>Preâmbulo; rodapé (p. 1; 14)</t>
  </si>
  <si>
    <t>Preâmbulo; rodapé</t>
  </si>
  <si>
    <t>(Processo Administrativo n°23854.000200/2026-64) / Referência: Processo nº 23854.002761/2026-06</t>
  </si>
  <si>
    <t>Ambos constam do documento.</t>
  </si>
  <si>
    <t>G0070</t>
  </si>
  <si>
    <t>Possível erro material ou efeito de precisão não exibida no total do item 1, que excede em R$ 43,40 o produto da quantidade pela média mostrada. No item 2, a diferença de R$ 0,06 é compatível com o uso da média antes do arredondamento. Não é possível confirmar erro de digitação sem a memória de cálculo.</t>
  </si>
  <si>
    <t>Datado de 09/04/2026 ('Jataí, 09 de abril de 2026') e assinado eletronicamente em 13/04/2026, às 11:32. A sessão pública foi marcada para 30/04/2026, às 09:30.</t>
  </si>
  <si>
    <t>09/04/2026 (data) e 13/04/2026 (assinatura).</t>
  </si>
  <si>
    <t>Data da sessão.</t>
  </si>
  <si>
    <t>Indicar 30/04/2026 como data do documento.</t>
  </si>
  <si>
    <t>Quadro-resumo; fecho; assinatura (p. 1; 14)</t>
  </si>
  <si>
    <t>Quadro-resumo; fecho; assinatura</t>
  </si>
  <si>
    <t>Datas do edital.</t>
  </si>
  <si>
    <t>Possíveis erros materiais a conferir: total do item 1 não corresponde ao produto da quantidade pela média unitária exibida; total do item 2 difere em R$ 0,06 do produto da média mensal exibida por 12. Sem a memória de cálculo, não é possível afirmar que sejam erros definitivos.</t>
  </si>
  <si>
    <t>G0071</t>
  </si>
  <si>
    <t>Possível erro de arredondamento no total do Item 1: a média informada (R$4,84) multiplicada por 434.000 m² não reproduz exatamente o total de R$2.100.603,40 (diferença de R$43,40), indicando que o valor unitário efetivamente usado no cálculo foi diferente do arredondamento exibido.</t>
  </si>
  <si>
    <t>(1) Divergência de R$ 43,40 entre o preço médio exibido e o total do item 1. (2) Uso do mesmo CATSER 25194 para serviço, material e equipamentos. (3) Ausência de unidade clara (mensal ou anual) para o item 1. (4) Descrição do item 3 como 'Equipamentos BDI', provavelmente 'Equipamentos + BDI', conforme o padrão do item 2. (5) Rótulos 'Preço 01' e 'Preço 02' sem identificação de data-base, o que dificulta a conferência.</t>
  </si>
  <si>
    <t>Diretoria de Compras e Licitações (DCL/UFJ), sediada na Rua Riachuelo nº 1530; signatário Rafael Nogueira de Freitas Koch, Diretor da DCL.</t>
  </si>
  <si>
    <t>DCL/UFJ.</t>
  </si>
  <si>
    <t>Cabeçalho; preâmbulo; assinatura (p. 1; 14)</t>
  </si>
  <si>
    <t>Cabeçalho; preâmbulo; assinatura</t>
  </si>
  <si>
    <t>Setor emissor.</t>
  </si>
  <si>
    <t>O ano de '2028' referenciado no Termo de Apostilamento é provável erro de digitação.</t>
  </si>
  <si>
    <t>G0072</t>
  </si>
  <si>
    <t>O ano do Termo de Apostilamento citado como 2028 (provável incorreção, devendo ser 2026).</t>
  </si>
  <si>
    <t>UFJ (DCL; Prefeitura Universitária, nos anexos); licitantes e o futuro contratado; o Pregoeiro/equipe de apoio; órgãos e cadastros (SICAF, CEIS, CNEP, TCU, Receita Federal, PNCP); sindicatos cujas CCTs são referência (SINDUSCON-GO SRT00233/2025; SEAC-GO GO001031/2025).</t>
  </si>
  <si>
    <t>UFJ/DCL e licitantes.</t>
  </si>
  <si>
    <t>Cadastros e sindicatos.</t>
  </si>
  <si>
    <t>Nomear a EMBRAED (não consta no edital).</t>
  </si>
  <si>
    <t>Documento integral (p. 1-14)</t>
  </si>
  <si>
    <t>1-14</t>
  </si>
  <si>
    <t>G0073</t>
  </si>
  <si>
    <t>No corpo do edital, a seção 8 é 'Da Fase de Habilitação': habilitação conforme arts. 62 a 70 da Lei 14.133/2021 e documentos do TR; substituição por SICAF; declarações de reserva de cargos (PcD/reabilitado) e de custos trabalhistas; vistoria prévia ou declaração (agendamento por preuni@ufj.edu.br); prazo mínimo de 2 horas para envio de documentos; saneamento de falhas; exame sucessivo das propostas. (No Anexo I – TR, a seção 8 é 'Infrações e Sanções'.)</t>
  </si>
  <si>
    <t>Seção 8 = Fase de Habilitação (corpo do edital).</t>
  </si>
  <si>
    <t>Mencionar a seção 8 do TR anexo.</t>
  </si>
  <si>
    <t>Responder apenas com a seção 8 do TR sem distinguir.</t>
  </si>
  <si>
    <t>Edital, item 8 (p. 9-10)</t>
  </si>
  <si>
    <t>9-10</t>
  </si>
  <si>
    <t>Edital, item 8</t>
  </si>
  <si>
    <t>8. DA FASE DE HABILITAÇÃO</t>
  </si>
  <si>
    <t>Título da seção 8 do edital.</t>
  </si>
  <si>
    <t>G0074</t>
  </si>
  <si>
    <t>A pergunta não indica a informação. Mapa do edital: quadro-resumo (p. 1); 1 Objeto; 2 Participação; 3 Orçamento; 4 Proposta e habilitação; 5 Preenchimento da proposta; 6 Sessão e lances; 7 Julgamento; 8 Habilitação; 9 Contrato; 10 Recursos; 11 Sanções; 12 Impugnação; 13 Disposições gerais e anexos (pp. 1-14); Anexo I – TR (pp. 15 e ss.; IMR nas pp. 105-107); Anexo II – Minuta de contrato (pp. 155-168).</t>
  </si>
  <si>
    <t>Estrutura (p. 1-168)</t>
  </si>
  <si>
    <t>1-168</t>
  </si>
  <si>
    <t>G0075</t>
  </si>
  <si>
    <t>Sim. Conferir a precisão dos preços e os totais dos itens 1 e 2; a base e periodicidade dos 434.000 m²; as cotações que compõem o Preço 02; a atualização do contrato nº 113/2024 pelo apostilamento nº 01/2026; a composição do BDI e a autenticidade da assinatura digital.</t>
  </si>
  <si>
    <t>R$ 3.663.619,80 (três milhões, seiscentos e sessenta e três mil, seiscentos e dezenove reais e oitenta centavos).</t>
  </si>
  <si>
    <t>Extenso correto no edital (diferente do erro de extenso do TR 10.1).</t>
  </si>
  <si>
    <t>R$ 3.352.838,16 (valor contratado).</t>
  </si>
  <si>
    <t>Quadro-resumo 'Valor total da contratação' (p. 1)</t>
  </si>
  <si>
    <t>Quadro-resumo 'Valor total da contratação'</t>
  </si>
  <si>
    <t>R$ 3.663.619,80 (TRÊS MILHÕES, SEISCENTOS E SESSENTA E TRÊS MIL, SEISCENTOS E DEZENOVE REAIS E OITENTA CENTAVOS.)</t>
  </si>
  <si>
    <t>Quadro-resumo.</t>
  </si>
  <si>
    <t>G0076</t>
  </si>
  <si>
    <t>O corpo do edital é assinado apenas pelo Diretor da DCL (13/04/2026). No Anexo I (TR), os membros da comissão de contratação assinaram em 02/04/2026 (seis membros) e em 06/04/2026 (Alexandre R. Choupina A. Silva), completando-se as assinaturas em 06/04/2026.</t>
  </si>
  <si>
    <t>Distinguir a assinatura do edital das assinaturas da comissão no TR; 02/04 e 06/04/2026.</t>
  </si>
  <si>
    <t>13/04/2026 como data de assinatura da comissão.</t>
  </si>
  <si>
    <t>Assinatura do edital; Anexo I – item 15 (p. 14; 63)</t>
  </si>
  <si>
    <t>14; 63</t>
  </si>
  <si>
    <t>Assinatura do edital; Anexo I – item 15</t>
  </si>
  <si>
    <t>Sim. Conferir as fórmulas e valores não arredondados dos itens 1 e 2; a quantidade de 434.000 m² e sua base de cálculo; os registros da pesquisa no Banco de Preços; a atualização do Contrato nº 113/2024 pelo Termo de Apostilamento nº 01/2026; e a inclusão dos valores de materiais/equipamentos e BDI.</t>
  </si>
  <si>
    <t>Assinaturas constantes do PDF.</t>
  </si>
  <si>
    <t>G0077</t>
  </si>
  <si>
    <t>Sim: (a) a precisão do valor unitário real usado no cálculo do Item 1; (b) a data/validade da pesquisa no Banco de Preços; (c) a autenticidade da assinatura digital (verificável em validar.iti.gov.br); (d) a vigência atual do Termo de Apostilamento nº 01/2026.</t>
  </si>
  <si>
    <t>Sim: refazer o cálculo do item 1 e registrar a memória correspondente; confirmar a vigência e os valores do Termo de Apostilamento nº 01/2026 e da CCT 2026/2027; verificar se os preços extraídos do Banco de Preços são de contratações similares e recentes (últimos 12 meses); confirmar a metragem contratada; e checar a compatibilidade do valor com a disponibilidade orçamentária.</t>
  </si>
  <si>
    <t>O servidor deve checar a exatidão do 'Termo de Apostilamento n 01/2028' e a validade das cotações realizadas no Banco de Preços.</t>
  </si>
  <si>
    <t>Edital DCL 90017/2026 | Pregão Eletrônico 90017/2026 | UASG 156678 | SEI 0569747 | Processo: 23854.000200/2026-64 (preâmbulo) / 23854.002761/2026-06 (rodapé) | Objeto: serviços de manutenção predial, áreas urbanas/rurais e apoio técnico-operacional com DEMO | Valor: R$ 3.663.619,80 | Sessão: 30/04/2026, 09:30 | Critério: menor preço global por grupo (grupo único, 17 itens; lances por valor unitário) | Modo: aberto e fechado | ME/EPP: sem tratamento favorecido | Margem de preferência: não | Intervalo mínimo entre lances: R$ 0,01 | Validade da proposta: 90 dias | Recurso: 3 dias úteis | Impugnação: até 3 dias úteis antes | Assinatura do contrato: [2] dias úteis | Anexos: TR (com ETP) e minuta de contrato | Data: 09/04/2026; assinado em 13/04/2026 por Rafael N. F. Koch.</t>
  </si>
  <si>
    <t>Número, objeto, valor, sessão, critério.</t>
  </si>
  <si>
    <t>Quadro-resumo e itens 1-13 (p. 1-14)</t>
  </si>
  <si>
    <t>Quadro-resumo e itens 1-13</t>
  </si>
  <si>
    <t>G0078</t>
  </si>
  <si>
    <t>Sim, a verificação do ano correto do Termo de Apostilamento e da vigência da Convenção Coletiva de Trabalho.</t>
  </si>
  <si>
    <t>No corpo do edital: valor total de R$ 3.663.619,80; intervalo mínimo de lances de R$ 0,01; multas de 0,5% a 15% (11.5) e de 15% a 30% (11.6) do valor do contrato. Nos anexos (TR e minuta): valores por item (R$ 305.301,65/mês), salários-base, auxílio-alimentação (R$ 572,00 e R$ 495,88), garantia de 5%.</t>
  </si>
  <si>
    <t>R$ 3.663.619,80; multas.</t>
  </si>
  <si>
    <t>Valores dos anexos.</t>
  </si>
  <si>
    <t>Quadro-resumo; itens 6.8, 11.5, 11.6 (p. 1; 5; 12)</t>
  </si>
  <si>
    <t>1; 5; 12</t>
  </si>
  <si>
    <t>Quadro-resumo; itens 6.8, 11.5, 11.6</t>
  </si>
  <si>
    <t>G0079</t>
  </si>
  <si>
    <t>Há divergência aparente na relação entre quantidade, média exibida e total dos itens 1 e 2. Isso indica necessidade de conferir a precisão dos cálculos, mas não comprova descumprimento de requisito. Regras expressas de arredondamento e critérios detalhados de validação da pesquisa: não consta no documento.</t>
  </si>
  <si>
    <t>Licitantes: estar credenciados no SICAF/Compras.gov; declarar ciência, custos trabalhistas, não emprego de menores, ausência de trabalho degradante, reserva de cargos; indicar sindicatos/CCTs; não usar o Simples Nacional; manter a proposta por 90 dias; enviar a proposta ajustada em 2 horas; entregar a declaração de enquadramento sindical e a cópia da CCT; atestar conhecimento do local (vistoria); apresentar a habilitação. Adjudicatário: assinar o contrato em [2] dias úteis; comprovar capital social compatível (9.9) e a reserva de 8% das vagas para mulheres vítimas de violência doméstica (9.10); não estar no Cadin. Administração/Pregoeiro: verificar condições de participação, custos mínimos relevantes e exequibilidade; divulgar atas e respostas.</t>
  </si>
  <si>
    <t>Obrigações dos licitantes e do adjudicatário.</t>
  </si>
  <si>
    <t>Itens 2, 4, 5, 7, 8, 9 (p. 2-11)</t>
  </si>
  <si>
    <t>2-11</t>
  </si>
  <si>
    <t>Itens 2, 4, 5, 7, 8, 9</t>
  </si>
  <si>
    <t>Deveres expressos.</t>
  </si>
  <si>
    <t>Não há desconformidade interna expressamente indicada; as divergências aritméticas aparentes devem ser verificadas antes do uso.</t>
  </si>
  <si>
    <t>G0080</t>
  </si>
  <si>
    <t>Não foram identificados requisitos formais explícitos no documento para comparar; não é possível apontar desconformidade além da inconsistência de arredondamento já mencionada.</t>
  </si>
  <si>
    <t>Sim, em caráter de alerta: o documento afirma que a pesquisa foi 'realizada em conjunto com o Banco de Preços', mas apresenta apenas dois parâmetros (contrato vigente e média do Banco de Preços), sem os documentos comprobatórios da coleta nem justificativa para o número reduzido de fontes, o que tende a exigir complementação à luz da IN SEGES/ME nº 65/2021. Também não há análise crítica dos valores nem justificativa para a adoção da média simples em vez da mediana ou do menor preço.</t>
  </si>
  <si>
    <t>A princípio não, à exceção do potencial erro no ano do termo de apostilamento citado.</t>
  </si>
  <si>
    <t>A divergência temporal no ano do apostilamento (2028).</t>
  </si>
  <si>
    <t>O corpo do edital não tem item 4.1.4 (o item 4.1 não possui subitens). No Anexo I (TR), o item 4.1.4 trata do transporte interno de resíduos acondicionados pelos empregados da contratada até os pontos de coleta, sem manuseio ou triagem (PNRS).</t>
  </si>
  <si>
    <t>Informar que não há 4.1.4 no corpo do edital.</t>
  </si>
  <si>
    <t>Explicar o 4.1.4 do TR anexo, com a devida identificação.</t>
  </si>
  <si>
    <t>Atribuir ao edital conteúdo inexistente.</t>
  </si>
  <si>
    <t>Edital item 4.1; TR item 4.1.4 (p. 4; 17)</t>
  </si>
  <si>
    <t>4; 17</t>
  </si>
  <si>
    <t>Edital item 4.1; TR item 4.1.4</t>
  </si>
  <si>
    <t>Numeração do edital e do anexo.</t>
  </si>
  <si>
    <t>G0081</t>
  </si>
  <si>
    <t>Tornar pública e disciplinar a licitação (regras de participação, proposta, disputa, julgamento, habilitação, recursos e contratação), vinculando a Administração e os licitantes.</t>
  </si>
  <si>
    <t>Instrumento convocatório da licitação.</t>
  </si>
  <si>
    <t>Preâmbulo; documento integral (p. 1-14)</t>
  </si>
  <si>
    <t>Preâmbulo; documento integral</t>
  </si>
  <si>
    <t>Natureza do edital.</t>
  </si>
  <si>
    <t>G0082</t>
  </si>
  <si>
    <t>No corpo do edital, o item 4.11 lista as pessoas jurídicas que não podem usar o tratamento diferenciado da LC 123/2006 (4.11.1 a 4.11.11, p. ex., sociedade por ações e cooperativas, salvo de consumo). Consequência: essas empresas, mesmo que ME/EPP, não têm direito aos benefícios da LC 123. Como o edital já afasta o tratamento favorecido (2.6), o efeito prático é limitado. (No TR anexo, o 4.11 trata da garantia de 5%.)</t>
  </si>
  <si>
    <t>Vedação do tratamento diferenciado da LC 123 para certas PJ.</t>
  </si>
  <si>
    <t>Mencionar a baixa relevância prática diante do item 2.6 e o 4.11 do TR.</t>
  </si>
  <si>
    <t>Responder com a garantia sem distinguir que é o 4.11 do TR.</t>
  </si>
  <si>
    <t>Edital, item 4.11 (p. 3-4)</t>
  </si>
  <si>
    <t>Estão explicitados: grupo 1; CATSER 25194 nos três itens; limpeza e conservação diurna, 44 horas (A), com quantidade de 434.000 m²; material sob demanda + BDI por 12 meses; equipamentos BDI por 12 meses; comparação entre contrato atualizado e Banco de Preços; apresentação de médias e totais. Não há cláusulas detalhadas de habilitação ou execução.</t>
  </si>
  <si>
    <t>Edital, item 4.11</t>
  </si>
  <si>
    <t>Não poderá se beneficiar do tratamento jurídico diferenciado estabelecido nos arts. 42 a 49 da Lei Complementar nº 123, de 2006, a pessoa jurídica:</t>
  </si>
  <si>
    <t>Texto do 4.11 do edital.</t>
  </si>
  <si>
    <t>G0083</t>
  </si>
  <si>
    <t>A planilha explicita objeto, itens, unidades, quantidades, especificações, duas referências de preço, médias, totais, fontes gerais de pesquisa, processo administrativo e data. Ela não apresenta requisitos de habilitação ou regras do certame.</t>
  </si>
  <si>
    <t>Apenas as especificações dos itens: (1) serviço de limpeza e conservação diurna 44h, 434.000 m²; (2) material sob demanda + BDI, 12 meses; (3) equipamentos BDI, 12 meses — com respectivos valores comparativos (contrato atual x pesquisa de mercado).</t>
  </si>
  <si>
    <t>Objeto (limpeza e conservação, diurna, 44 horas, categoria A); classificação CATSER 25194; unidades (m² e Meses); quantidades (434.000 e 12 meses); estrutura em Grupo 1 com três itens; duas fontes de preço identificadas nas notas; total por extenso; local, data e assinatura digital.</t>
  </si>
  <si>
    <t>Sim: (1) remissões internas erradas, por numeração deslocada: 2.10 cita 'item 3.10.6', 2.11/2.13 citam '3.10.4 e 3.10.5', 2.15 cita '3.11', 4.3 cita '9.1.1 e 9.13.2', 4.13 cita '5.4., 5.8. ou 5.10.', 4.23 cita '5.15', 6.18 cita '7.13', 7.1 cita '3.10', 8.24/8.27 citam '9.13.1', 9.4 cita '10.2. e 10.3.', 11.11 cita '11.1.4' (a recusa em assinar é o 11.1.7); (2) o item 2.6 e o quadro-resumo afastam o tratamento favorecido a ME/EPP, mas os itens 4.8-4.10 e 6.30-6.35 disciplinam esse benefício; (3) processo divergente (preâmbulo x rodapé); (4) o 6.14/6.17 regula margem de preferência, que o quadro-resumo declara inexistente; (5) o 2.8 (OSCIP) aparece solto, fora da lista de vedações do 2.7.</t>
  </si>
  <si>
    <t>Itens (1) e (3).</t>
  </si>
  <si>
    <t>Itens (2), (4) e (5).</t>
  </si>
  <si>
    <t>Itens 2, 4, 6, 7, 8, 9, 11; rodapé (p. 1-12; 14)</t>
  </si>
  <si>
    <t>1-12; 14</t>
  </si>
  <si>
    <t>Itens 2, 4, 6, 7, 8, 9, 11; rodapé</t>
  </si>
  <si>
    <t>G0084</t>
  </si>
  <si>
    <t>Exigência de média de preços baseada no valor atualizado do Contrato 113/2024 e média do sistema Banco de Preços.</t>
  </si>
  <si>
    <t>Convenção Coletiva de Trabalho 2026/2027 e parâmetros de pesquisa no Banco de Preços.</t>
  </si>
  <si>
    <t>Sim: dois números de processo; remissões a itens inexistentes ou errados; '[2] dias úteis' com colchete de modelo (9.2); 'sítio eletrônico licitacao@ufj.edu.br' (10.10), que é um e-mail; nº SEI do edital (0569747) diferente do cadastro do PDF (0573709).</t>
  </si>
  <si>
    <t>Processo e remissões.</t>
  </si>
  <si>
    <t>Preâmbulo, rodapé, itens 9.2, 10.10 (p. 1-14)</t>
  </si>
  <si>
    <t>Preâmbulo, rodapé, itens 9.2, 10.10</t>
  </si>
  <si>
    <t>G0085</t>
  </si>
  <si>
    <t>Sim: o item 3 só declara que o orçamento não é sigiloso, sem indicar onde está; o edital remete a anexos em link externo (Google Drive); não há vedação expressa à participação de cooperativas em serviço com DEMO (orientação da AGU para contratações com DEMO); os prazos contratuais estão com colchetes ('[2]'); o 2.2 não traz prazo de cadastramento no SICAF com data.</t>
  </si>
  <si>
    <t>Anexos externos; ausência de vedação a cooperativas.</t>
  </si>
  <si>
    <t>Itens 3, 4.5, 9.2, 13.11 (p. 2-3; 11; 13)</t>
  </si>
  <si>
    <t>2-3; 11; 13</t>
  </si>
  <si>
    <t>Itens 3, 4.5, 9.2, 13.11</t>
  </si>
  <si>
    <t>G0086</t>
  </si>
  <si>
    <t>Para conferir os resultados apresentados, seriam necessárias a memória dos cálculos, as casas decimais efetivamente utilizadas, o detalhamento das cotações e os critérios de seleção da amostra, a composição do BDI e a explicação da quantidade/periodicidade do serviço. Detalhamento dessas informações: não consta no documento.</t>
  </si>
  <si>
    <t>Parecem ausentes a memória detalhada de cálculo, os registros/cotações que sustentam os preços do Banco de Preços, os valores não arredondados usados nas fórmulas, a identificação dos responsáveis pela elaboração e aprovação e assinaturas.</t>
  </si>
  <si>
    <t>Vigência do contrato, dados da empresa contratada, composição/memória de cálculo detalhada do BDI, identificação da comissão responsável pela pesquisa, e o número do edital/licitação originário.</t>
  </si>
  <si>
    <t>Erros materiais: remissões erradas (ver P17); '[2]' com colchetes; 'Sistma Compras.Gov' (8.6); 'deR$ 0,01 (Hum centavo)' (6.8); 'sítio eletrônico licitacao@ufj.edu.br' (10.10); processo divergente no rodapé.</t>
  </si>
  <si>
    <t>Remissões e processo.</t>
  </si>
  <si>
    <t>Digitação.</t>
  </si>
  <si>
    <t>Diversos (p. 1-14)</t>
  </si>
  <si>
    <t>G0087</t>
  </si>
  <si>
    <t>Locais e edificações atendidas; produtividade e número de postos por categoria; periodicidade das atividades; percentual de BDI; data-base da pesquisa; critério de julgamento (por grupo ou por item); planilha de custos e formação de preços; e fundamentação legal expressa da metodologia adotada.</t>
  </si>
  <si>
    <t>A porcentagem das alíquotas de BDI aplicadas sobre material e equipamentos.</t>
  </si>
  <si>
    <t>Composição detalhada dos custos unitários além dos totais consolidados.</t>
  </si>
  <si>
    <t>Sim: número do processo; remissões internas; e-mail de agendamento da vistoria (edital: preuni@ufj.edu.br x TR: dcl@ufj.edu.br); regras de ME/EPP e margem de preferência; disponibilidade e integridade dos anexos no link externo; data e horário da sessão; CCTs de referência e custos mínimos relevantes; admissão ou não de cooperativas.</t>
  </si>
  <si>
    <t>Verificações antes da publicação.</t>
  </si>
  <si>
    <t>G0088</t>
  </si>
  <si>
    <t>Sim: o edital afasta o tratamento favorecido (2.6) mas mantém regras de ME/EPP; declara não haver margem de preferência mas a regula; o 13.9 diz que o edital prevalece sobre os anexos, o que torna relevante a divergência do e-mail de vistoria com o TR.</t>
  </si>
  <si>
    <t>ME/EPP; margem.</t>
  </si>
  <si>
    <t>Prevalência 13.9.</t>
  </si>
  <si>
    <t>Quadro-resumo; itens 2.6, 4.8-4.10, 6.14, 6.17, 6.30-6.35, 13.9 (p. 1-7; 13)</t>
  </si>
  <si>
    <t>1-7; 13</t>
  </si>
  <si>
    <t>Quadro-resumo; itens 2.6, 4.8-4.10, 6.14, 6.17, 6.30-6.35, 13.9</t>
  </si>
  <si>
    <t>Contradições com requisitos próprios.</t>
  </si>
  <si>
    <t>G0089</t>
  </si>
  <si>
    <t>Credenciamento no SICAF/Compras.gov; declarações do 4.4; indicação de sindicatos e CCTs (5.16); proposta com valor unitário, marca e fabricante; validade mínima de 90 dias; vedação ao Simples Nacional; custos mínimos relevantes; documentos sindicais (7.27-7.31); habilitação conforme o TR (8.1) e declarações do 8.9-8.11; vistoria ou declaração; assinatura em [2] dias úteis; capital social compatível (9.9); 8% de vagas para mulheres vítimas de violência (9.10); recurso em 3 dias úteis; impugnação até 3 dias úteis antes.</t>
  </si>
  <si>
    <t>Itens 2-12 (p. 2-12)</t>
  </si>
  <si>
    <t>2-12</t>
  </si>
  <si>
    <t>Itens 2-12</t>
  </si>
  <si>
    <t>G0090</t>
  </si>
  <si>
    <t>não consta no documento. O mapa cita contrato nº 113/2024, Termo de Apostilamento nº 01/2026 (0616763) e Convenção Coletiva de Trabalho 2026/2027 (0602942), mas seus conteúdos integrais não estão no arquivo fornecido; não é possível verificar conflitos entre documentos.</t>
  </si>
  <si>
    <t>Não consta no documento uma identificação de outro documento usado para confronto. Assim, não é possível confirmar conflito documental com base apenas nesta planilha.</t>
  </si>
  <si>
    <t>Link para o orçamento; vedação expressa a cooperativas; prazos sem colchetes; remissões corretas; número de processo único.</t>
  </si>
  <si>
    <t>Diversos (p. 2-14)</t>
  </si>
  <si>
    <t>Não é possível avaliar, pois apenas este documento foi fornecido para análise; nenhum outro documento foi apresentado para comparação.</t>
  </si>
  <si>
    <t>G0091</t>
  </si>
  <si>
    <t>Não é possível afirmar: apenas este arquivo foi disponibilizado. A verificação depende do cotejo com o Contrato nº 113/2024, o Termo de Apostilamento nº 01/2026 (0616763), a CCT 2026/2027 (0602942) e o Termo de Referência do processo.</t>
  </si>
  <si>
    <t>Impossível analisar, visto que apenas este arquivo foi fornecido.</t>
  </si>
  <si>
    <t>Não há acesso a outros documentos, mas há inconsistência interna de ano.</t>
  </si>
  <si>
    <t>Sim. Conflitos Edital x TR (Anexo I): (1) agendamento da vistoria – edital 8.12: preuni@ufj.edu.br; TR 4.30.1: dcl@ufj.edu.br; (2) prazo de recolhimento da multa – edital 11.4: 30 dias úteis; TR 8.7: 30 dias; (3) processo – rodapé do edital: 23854.002761/2026-06; TR: 23854.000200/2026-64; (4) extenso do valor – edital correto (R$ 3.663.619,80 por extenso); TR 10.1 com extenso errado; (5) sanções – o edital (11.5-11.6) fixa multas de 0,5% a 15% e 15% a 30% para infrações da licitação, e o TR (8.2) fixa outras faixas para a execução (âmbitos distintos, não necessariamente conflito); (6) a minuta de contrato (Anexo II) indica elemento de despesa 339039 e PI M0000G100N, enquanto o TR (11.2) indica 339037 e M0000G0100N.</t>
  </si>
  <si>
    <t>Afirmar ausência total de conflito.</t>
  </si>
  <si>
    <t>Edital 8.12, 11.4, rodapé x TR 4.30.1, 8.7, 10.1, 11.2 (p. Edital 1, 10, 12, 14; TR anexo)</t>
  </si>
  <si>
    <t>Edital 1, 10, 12, 14; TR anexo</t>
  </si>
  <si>
    <t>Edital 8.12, 11.4, rodapé x TR 4.30.1, 8.7, 10.1, 11.2</t>
  </si>
  <si>
    <t>Cotejo Edital x TR.</t>
  </si>
  <si>
    <t>Comparação definida pelo pesquisador: Edital x TR. | Rascunho: conferir no documento original antes de usar como Gold. Viés possível: Claude é ferramenta avaliada.</t>
  </si>
  <si>
    <t>G0092</t>
  </si>
  <si>
    <t>O TR anexo ao edital é idêntico ao TR 1/2026. As diferenças estão no corpo do edital, que acrescenta: dados da sessão (30/04/2026, 09:30), modo de disputa aberto e fechado, critério 'menor preço global por grupo' com lances por valor unitário (o TR diz apenas 'menor preço'), regras de participação, lances, desempate, julgamento, recursos, impugnação, documentos sindicais e condições de assinatura (capital social; 8% de vagas para mulheres). O edital trata o objeto como 'grupo único de 17 itens', e o TR, como 'Grupo 01, Lotes A–D'.</t>
  </si>
  <si>
    <t>TR anexo idêntico; o edital acrescenta regras do certame.</t>
  </si>
  <si>
    <t>Grupo único x lotes.</t>
  </si>
  <si>
    <t>Edital x TR (p. 1-14)</t>
  </si>
  <si>
    <t>Edital x TR</t>
  </si>
  <si>
    <t>G0093</t>
  </si>
  <si>
    <t>não consta no documento. Foi fornecido apenas o mapa comparativo; as diferenças entre ele e os documentos relacionados não podem ser apuradas. As colunas Preço 01 e Preço 02 comparam fontes de preços, não versões de um documento.</t>
  </si>
  <si>
    <t>Em relação ao TR, o edital não altera o conteúdo técnico (o TR é anexado integralmente). As informações que diferem ou foram acrescentadas no edital são: e-mail para vistoria (preuni@ufj.edu.br), prazo da multa (30 dias úteis), número de processo no rodapé, detalhamento do critério de julgamento (global por grupo, lance unitário) e data da sessão.</t>
  </si>
  <si>
    <t>Não há alteração do TR; diferenças pontuais.</t>
  </si>
  <si>
    <t>Edital 1.2-1.3, 8.12, 11.4, rodapé (p. 1; 10; 12; 14)</t>
  </si>
  <si>
    <t>1; 10; 12; 14</t>
  </si>
  <si>
    <t>Edital 1.2-1.3, 8.12, 11.4, rodapé</t>
  </si>
  <si>
    <t>Não é possível determinar: a planilha não identifica outro documento para comparação.</t>
  </si>
  <si>
    <t>G0094</t>
  </si>
  <si>
    <t>Não aplicável — apenas um documento foi enviado, não havendo outro para comparação.</t>
  </si>
  <si>
    <t>Não avaliável com o material disponível, pois somente esta planilha foi enviada. Recomenda-se comparar o valor unitário de R$ 4,71 com o valor efetivamente apostilado e a metragem com a prevista no contrato vigente.</t>
  </si>
  <si>
    <t>Remissões erradas (insegurança jurídica e possível impugnação); divergência de processo; regras contraditórias de ME/EPP e margem de preferência; e-mail de vistoria divergente do TR; admissão de cooperativas em DEMO; anexos em link externo; colchetes de modelo não preenchidos.</t>
  </si>
  <si>
    <t>G0095</t>
  </si>
  <si>
    <t>Não aplicável, pois há apenas um documento.</t>
  </si>
  <si>
    <t>Não aplicável (documento único analisado).</t>
  </si>
  <si>
    <t>Número do processo; remissões; regras de ME/EPP; canais de vistoria e esclarecimento; valor e extenso; integridade dos anexos; CCTs; vedação a cooperativas.</t>
  </si>
  <si>
    <t>Antes de publicar ou homologar.</t>
  </si>
  <si>
    <t>G0096</t>
  </si>
  <si>
    <t>Impugnação ou anulação por cláusulas contraditórias; licitantes induzidos a erro (vistoria agendada no e-mail errado); questionamento sobre participação de cooperativas; divergência entre anexos com prevalência do edital (13.9); anexos alteráveis em link externo.</t>
  </si>
  <si>
    <t>G0097</t>
  </si>
  <si>
    <t>O mapa informa que o valor do contrato nº 113/2024 foi atualizado pelo Termo de Apostilamento nº 01/2026 (0616763), em razão de reajustes dos itens envolvendo a folha de salários, com base na Convenção Coletiva de Trabalho 2026/2027 (0602942). Detalhamento dos valores anteriores e das alterações: não consta no documento.</t>
  </si>
  <si>
    <t>Não é possível determinar sem um documento anterior ou de referência e seu histórico de versões.</t>
  </si>
  <si>
    <t>1) O Pregão Eletrônico 90017/2026 (UASG 156678) visa contratar serviços de manutenção predial, áreas urbanas/rurais e apoio técnico-operacional com DEMO. 2) Valor estimado de R$ 3.663.619,80; sessão em 30/04/2026, às 09:30. 3) Critério: menor preço global por grupo (grupo único, 17 itens), modo aberto e fechado, sem benefício a ME/EPP. 4) A habilitação segue o TR, com documentos sindicais, vistoria ou declaração e custos mínimos relevantes. 5) Para assinar o contrato: capital social compatível e 8% de vagas para mulheres vítimas de violência; anexos: TR (com ETP) e minuta.</t>
  </si>
  <si>
    <t>Número; objeto; valor/sessão; critério; habilitação/contratação.</t>
  </si>
  <si>
    <t>G0098</t>
  </si>
  <si>
    <t>Não é possível determinar sem uma versão anterior para comparação. O próprio documento menciona que o valor do contrato foi atualizado pelo Termo de Apostilamento nº 01/2026, em razão de reajustes da folha salarial conforme a Convenção Coletiva 2026/2027, mas a versão anterior não foi fornecida.</t>
  </si>
  <si>
    <t>O documento registra que o valor do Contrato nº 113/2024 foi atualizado por meio do Termo de Apostilamento nº 01/2026, em razão de reajustes de itens da folha de salários com base na CCT 2026/2027. Os valores anteriores ao reajuste não são apresentados, o que impede identificar a variação.</t>
  </si>
  <si>
    <t>O Preço 01 foi atualizado por termo de apostilamento, em virtude do reajuste da folha salarial pela Convenção Coletiva de Trabalho (CCT) 2026/2027.</t>
  </si>
  <si>
    <t>Valores atualizados do contrato decorrentes do Termo de Apostilamento e reajustes da folha de salários.</t>
  </si>
  <si>
    <t>Convocar e regular a licitação (pregão eletrônico) para a contratação dos serviços.</t>
  </si>
  <si>
    <t>Preâmbulo (p. 1)</t>
  </si>
  <si>
    <t>Preâmbulo</t>
  </si>
  <si>
    <t>G0099</t>
  </si>
  <si>
    <t>1) Data e condições da sessão (30/04/2026, 09:30; aberto e fechado; menor preço global por grupo). 2) Valor máximo de R$ 3.663.619,80 e custos mínimos relevantes. 3) Divergências de processo e de remissões e o e-mail de vistoria divergente do TR.</t>
  </si>
  <si>
    <t>Quadro-resumo; 7.11; 8.12; rodapé (p. 1; 8; 10; 14)</t>
  </si>
  <si>
    <t>1; 8; 10; 14</t>
  </si>
  <si>
    <t>Quadro-resumo; 7.11; 8.12; rodapé</t>
  </si>
  <si>
    <t>G0100</t>
  </si>
  <si>
    <t>Contratação da EMBRAED Empreendimentos Ltda. para serviços contínuos e eventuais de manutenção preventiva e corretiva predial, manutenção e conservação de áreas urbanas e rurais e apoio técnico-operacional, com fornecimento de mão de obra, ferramentas, equipamentos e insumos, em regime de dedicação exclusiva de mão de obra, decorrente do Pregão Eletrônico nº 90017/2026.</t>
  </si>
  <si>
    <t>Objeto + contratada EMBRAED + DEMO.</t>
  </si>
  <si>
    <t>Origem no PE 90017/2026.</t>
  </si>
  <si>
    <t>Tratar como edital ou TR.</t>
  </si>
  <si>
    <t>Cláusula 1.1 (p. 1)</t>
  </si>
  <si>
    <t>Cláusula 1.1</t>
  </si>
  <si>
    <t>O objeto do presente instrumento é a contratação de serviços contínuos e eventuais de manutenção preventiva e corretiva predial...</t>
  </si>
  <si>
    <t>Cláusula 1.1.</t>
  </si>
  <si>
    <t>G0101</t>
  </si>
  <si>
    <t>Contrato Administrativo nº 63/2026 (Contrato SEI nº 63/2026; documento SEI nº 0603263).</t>
  </si>
  <si>
    <t>Contrato nº 63/2026.</t>
  </si>
  <si>
    <t>SEI 0603263.</t>
  </si>
  <si>
    <t>Título; rodapé (p. 1; 13)</t>
  </si>
  <si>
    <t>1; 13</t>
  </si>
  <si>
    <t>Título; rodapé</t>
  </si>
  <si>
    <t>CONTRATO SEI Nº 63/2026</t>
  </si>
  <si>
    <t>Título.</t>
  </si>
  <si>
    <t>Pontos de atenção derivados da leitura: diferenças entre médias exibidas e totais dos itens 1 e 2; ausência de memória de cálculo; falta de explicação da periodicidade dos 434.000 m²; composição das cotações do Banco de Preços e do BDI não detalhada; necessidade de conferir os documentos citados e a assinatura.</t>
  </si>
  <si>
    <t>G0102</t>
  </si>
  <si>
    <t>Pontos de atenção: validar os totais dos itens 1 e 2; confirmar quantitativos, período de 12 meses e inclusão do BDI; guardar evidências da pesquisa no Banco de Preços; conferir a atualização do contrato usado como referência; e obter registro de elaboração/conferência/aprovação.</t>
  </si>
  <si>
    <t>(1) Discrepância de arredondamento no total do Item 1; (2) ausência de dados de vigência contratual; (3) fundamentação do reajuste baseada em convenção coletiva 2026/2027 vigente a partir de data futura/próxima, cuja aplicabilidade deve ser confirmada; (4) ausência de identificação de comissão responsável.</t>
  </si>
  <si>
    <t>Pesquisa apoiada em apenas duas fontes; média simples que eleva a estimativa acima do preço do contrato vigente (R$ 4,84 contra R$ 4,71); divergência de R$ 43,40 no item 1; ausência de memória de cálculo e de data da coleta; assinatura única, sem manifestação de equipe de planejamento; intervalo entre a autuação do processo (2024) e a data da planilha (2026); e ausência de definição sobre o caráter mensal ou anual das quantidades.</t>
  </si>
  <si>
    <t>A divergência de preço entre o contrato atual e o Banco de Preços (especialmente para os materiais) e o erro na data do apostilamento.</t>
  </si>
  <si>
    <t>Checagem rigorosa da data/ano do Termo de Apostilamento e conformidade com a Convenção Coletiva 2026/2027.</t>
  </si>
  <si>
    <t>Preâmbulo; Referência (p. 1; 14)</t>
  </si>
  <si>
    <t>Preâmbulo; Referência</t>
  </si>
  <si>
    <t>tendo em vista o que consta no Processo nº 23854.000200/2026-64</t>
  </si>
  <si>
    <t>Preâmbulo e rodapé.</t>
  </si>
  <si>
    <t>G0103</t>
  </si>
  <si>
    <t>26/06/2026, data das assinaturas eletrônicas (contratada às 13:33; Reitor às 16:52). O contrato não traz data no corpo.</t>
  </si>
  <si>
    <t>26/06/2026.</t>
  </si>
  <si>
    <t>18/09/2026 (impressão).</t>
  </si>
  <si>
    <t>Bloco de assinaturas (p. 13)</t>
  </si>
  <si>
    <t>13</t>
  </si>
  <si>
    <t>Bloco de assinaturas</t>
  </si>
  <si>
    <t>Datas de assinatura.</t>
  </si>
  <si>
    <t>G0104</t>
  </si>
  <si>
    <t>Conferir os cálculos e o critério de arredondamento; confirmar a quantidade e o período abrangido pelo serviço; verificar a comparabilidade dos preços do contrato atualizado e da pesquisa; conferir o apostilamento e a convenção coletiva citados; verificar a composição do BDI e a autenticidade/autoria da assinatura.</t>
  </si>
  <si>
    <t>Antes da decisão, verificar a memória de cálculo e as divergências de R$ 43,40 e R$ 0,06; a documentação da pesquisa de mercado; a validade e comparabilidade do Contrato nº 113/2024 atualizado; e a coerência dos quantitativos e do prazo de 12 meses.</t>
  </si>
  <si>
    <t>Diretoria de Administração de Contratos (DAC/UFJ) – cabeçalho; a UFJ é representada pelo Reitor, Prof. Dr. Christiano Peres Coelho.</t>
  </si>
  <si>
    <t>DAC/UFJ; Reitor como representante.</t>
  </si>
  <si>
    <t>Cabeçalho; preâmbulo (p. 1)</t>
  </si>
  <si>
    <t>Cabeçalho; preâmbulo</t>
  </si>
  <si>
    <t>Cabeçalho e preâmbulo.</t>
  </si>
  <si>
    <t>A exatidão do cálculo do Item 1, a atualidade e metodologia da pesquisa no Banco de Preços, a validade jurídica do Termo de Apostilamento nº 01/2026 e a autenticidade da assinatura digital do documento.</t>
  </si>
  <si>
    <t>G0105</t>
  </si>
  <si>
    <t>Exatidão dos cálculos e da metragem; atualidade e similaridade dos preços do Banco de Preços; conformidade da metodologia com a IN SEGES/ME nº 65/2021; compatibilidade com os valores apostilados e com a CCT vigente; existência de dotação orçamentária suficiente; e juntada dos comprovantes da pesquisa aos autos.</t>
  </si>
  <si>
    <t>Os comprovantes originais da pesquisa no Banco de Preços, a correta aplicação da Convenção Coletiva 2026/2027 e a data do Termo de Apostilamento.</t>
  </si>
  <si>
    <t>Validade jurídica do termo de apostilamento e exatidão dos valores reajustados.</t>
  </si>
  <si>
    <t>Contratante: Universidade Federal de Jataí (CNPJ 35.840.659/0001-30), representada pelo Reitor Christiano Peres Coelho (SIAPE 1802376). Contratada: EMBRAED Empreendimentos Ltda. (CNPJ 23.505.796/0001-30), com sede em Vitória da Conquista/BA, representada por Elias Jesus Amaral. Também citados: AGU (8.1.9), Receita Federal (9.55), Caixa Econômica Federal (9.53), ANPD (11.11) e Justiça Federal – Subseção de Jataí (foro).</t>
  </si>
  <si>
    <t>UFJ (Reitor) e EMBRAED (Elias Jesus Amaral).</t>
  </si>
  <si>
    <t>Demais órgãos.</t>
  </si>
  <si>
    <t>Preâmbulo; cláusulas 8-11, 19 (p. 1; 5-13)</t>
  </si>
  <si>
    <t>1; 5-13</t>
  </si>
  <si>
    <t>Preâmbulo; cláusulas 8-11, 19</t>
  </si>
  <si>
    <t>Partes e entes citados.</t>
  </si>
  <si>
    <t>G0106</t>
  </si>
  <si>
    <t>Riscos potenciais inferidos do mapa: adotar estimativa sem reproduzir seus cálculos; interpretar incorretamente a quantidade ou a periodicidade do serviço; comparar preços com escopos ou composições diferentes sem detalhamento suficiente; utilizar atualização contratual ou BDI sem conferir sua composição. O documento isolado não comprova dano ou irregularidade.</t>
  </si>
  <si>
    <t>A Cláusula Oitava trata das obrigações do contratante: exigir o cumprimento das obrigações; receber o objeto; notificar falhas; fiscalizar; comunicar a emissão de NF da parcela incontroversa; pagar; aplicar sanções; não praticar ingerência na gestão da contratada (8.1.8, com vedações do art. 48); cientificar a AGU; decidir requerimentos em 30 dias (8.1.10); responder pedidos de reequilíbrio em 30 dias; notificar emitentes de garantias; verificar pendências antes da ordem de serviço (8.3). A Administração não responde por compromissos da contratada com terceiros (8.2).</t>
  </si>
  <si>
    <t>Cláusula 8 = obrigações do contratante.</t>
  </si>
  <si>
    <t>Detalhes.</t>
  </si>
  <si>
    <t>Confundir com as obrigações do contratado (Cláusula 9).</t>
  </si>
  <si>
    <t>Cláusula Oitava (p. 4-5)</t>
  </si>
  <si>
    <t>4-5</t>
  </si>
  <si>
    <t>Cláusula Oitava</t>
  </si>
  <si>
    <t>CLÁUSULA OITAVA – OBRIGAÇÕES DO CONTRATANTE</t>
  </si>
  <si>
    <t>Título e conteúdo.</t>
  </si>
  <si>
    <t>G0107</t>
  </si>
  <si>
    <t>Há risco de estimativa incorreta do valor da contratação se as divergências aritméticas ou os dados de pesquisa estiverem errados; risco de baixa rastreabilidade se as cotações e memórias de cálculo não estiverem juntadas; e risco de aprovação sem validação formal dos responsáveis.</t>
  </si>
  <si>
    <t>Uso de fonte única (Banco de Preços) para a pesquisa de mercado, sem outras cotações comparativas; discrepância de arredondamento no valor total do Item 1; ausência de documentação de comissão formal na assinatura do mapa comparativo.</t>
  </si>
  <si>
    <t>Risco de superestimativa da despesa, uma vez que a média eleva o valor acima do contrato em execução; risco de impugnação ou de apontamento em auditoria pela fragilidade da cesta de preços (duas fontes, sem comprovantes); risco de erro material replicado ao edital em razão da divergência do item 1; risco de defasagem dos preços se a coleta for antiga; e risco de responsabilização por ausência de análise crítica formalizada.</t>
  </si>
  <si>
    <t>A pergunta não indica a informação. Mapa: 1 Objeto e tabela de itens (pp. 1-2); 2 Vigência e prorrogação (pp. 2-3); 3 Modelos de execução e gestão; 4 Subcontratação; 5 Preço (p. 3); 6 Pagamento; 7 Repactuação; 8 Obrigações do contratante (pp. 4-5); 9 Obrigações do contratado (pp. 5-9); 10 Compensação de jornada; 11 LGPD; 12 Garantia; 13 Sanções; 14 Extinção (pp. 11-12); 15 Alterações; 16 Dotação (pp. 12-13); 17 Casos omissos; 18 Publicação; 19 Foro.</t>
  </si>
  <si>
    <t>Estrutura (p. 1-13)</t>
  </si>
  <si>
    <t>1-13</t>
  </si>
  <si>
    <t>G0108</t>
  </si>
  <si>
    <t>Aprovação do termo com erros materiais em referência legal (Apostilamento 2028) ou aprovação sem a devida juntada dos relatórios do Banco de Preços ao processo.</t>
  </si>
  <si>
    <t>Inconsistências de datas (ano 2028) que possam gerar questionamentos em auditorias ou órgãos de controle.</t>
  </si>
  <si>
    <t>R$ 3.352.838,16/ano (valor máximo, considerando o uso integral dos materiais e serviços sob demanda); valor mensal máximo de R$ 279.403,18.</t>
  </si>
  <si>
    <t>R$ 3.352.838,16.</t>
  </si>
  <si>
    <t>Caráter de valor máximo.</t>
  </si>
  <si>
    <t>R$ 3.663.619,80 (valor estimado da licitação).</t>
  </si>
  <si>
    <t>Cláusula 1.2 (total); 5.1 (p. 2-3)</t>
  </si>
  <si>
    <t>2-3</t>
  </si>
  <si>
    <t>Cláusula 1.2 (total); 5.1</t>
  </si>
  <si>
    <t>perfazendo o valor total de R$ 3.352.838,16</t>
  </si>
  <si>
    <t>Tabela e cláusula 5.1.</t>
  </si>
  <si>
    <t>G0109</t>
  </si>
  <si>
    <t>Não consta no documento. O contrato não traz comissão de contratação. As assinaturas são do representante da contratada (26/06/2026, 13:33) e do Reitor (26/06/2026, 16:52).</t>
  </si>
  <si>
    <t>Informar datas de assinatura do TR (02 e 06/04/2026) como se fossem do contrato.</t>
  </si>
  <si>
    <t>G0110</t>
  </si>
  <si>
    <t>1) Mapa comparativo de preços da PROAD/UFJ, datado de 24/08/2026, processo 23854.007448/2024-94; 2) Abrange limpeza e conservação diurna, 44 horas, materiais sob demanda e equipamentos; 3) Compara contrato nº 113/2024 atualizado e pesquisa no Banco de Preços; 4) Apresenta total de R$ 2.350.378,54; 5) As médias exibidas e os totais dos itens 1 e 2 exigem conferência da precisão dos cálculos.</t>
  </si>
  <si>
    <t>1. O documento é um mapa comparativo para serviço de limpeza e conservação da UFJ. 2. O processo indicado é 23854.007448/2024-94. 3. A estimativa total para 12 meses é R$ 2.350.378,54. 4. As referências são o Contrato nº 113/2024 atualizado e pesquisa no Banco de Preços. 5. Os totais dos itens 1 e 2 devem ser conferidos, pois não coincidem exatamente com preços médios e quantidades exibidos.</t>
  </si>
  <si>
    <t>1) Mapa comparativo de preços do Processo SEI 23854.007448/2024-94 (UFJ/PROAD). 2) Compara o valor atualizado do Contrato 113/2024 com a média de mercado do Banco de Preços. 3) Objeto: limpeza/conservação (434.000 m²), material sob demanda e equipamentos, todos com BDI. 4) Valor total anual: R$2.350.378,54. 5) Documento datado de 24/08/2026 e assinado digitalmente por Marcos Paulo Pereira Fagundes.</t>
  </si>
  <si>
    <t>Contrato 63/2026 | SEI 0603263 | Processo 23854.000200/2026-64 | Origem: PE 90017/2026 | Contratante: UFJ (Reitor Christiano Peres Coelho) | Contratada: EMBRAED Empreendimentos Ltda., CNPJ 23.505.796/0001-30, Vitória da Conquista/BA (Elias Jesus Amaral) | Objeto: manutenção predial, áreas urbanas/rurais e apoio técnico-operacional com DEMO | Itens: 15 postos (41 empregados) + 2 itens sob demanda | Valor: até R$ 279.403,18/mês e R$ 3.352.838,16/ano | Vigência: 12 meses da assinatura, prorrogável até 10 anos | Dotação: 26453/156678, fonte 1000000000, PT 231318, ND 339037, PI M20RKQ01PJN, NE 2026NE000212 (0601176) | Foro: Justiça Federal – Jataí | Assinatura: 26/06/2026.</t>
  </si>
  <si>
    <t>Número, partes, valor, vigência, dotação.</t>
  </si>
  <si>
    <t>Documento integral (p. 1-13)</t>
  </si>
  <si>
    <t>1) Mapa comparativo de preços da UFJ/PROAD, processo SEI 23854.007448/2024-94, datado de 24/08/2026. 2) Estima a contratação de limpeza e conservação diurna (44h, categoria A), com material sob demanda e equipamentos, ambos acrescidos de BDI. 3) Compara duas fontes: o contrato 113/2024 atualizado por apostilamento e a média do Banco de Preços. 4) Adota a média aritmética entre elas, chegando a R$ 2.350.378,54. 5) Não apresenta memória de cálculo, data da coleta nem justificativa metodológica, e contém pequena divergência de arredondamento no item 1.</t>
  </si>
  <si>
    <t>G0111</t>
  </si>
  <si>
    <t>1) Mapa Comparativo de Preços. 2) Serviço de Limpeza (UFJ). 3) Compara Contrato 113/2024 x Banco de Preços. 4) Processo: 23854.007448/2024-94. 5) Valor total estimado: R$ 2.350.378,54.</t>
  </si>
  <si>
    <t>1. Mapa comparativo de preços da UFJ; 2. Abrange limpeza diurna 44h, materiais e equipamentos; 3. Valor total anual de R$ 2.350.378,54; 4. Compara contrato atual com média do Banco de Preços; 5. Assinado em 24/08/2026 por Marcos Paulo Pereira Fagundes.</t>
  </si>
  <si>
    <t>Valores por posto (unitário/mensal/anual): Operador de Máquina Agrícola R$ 7.445,11/37.225,55/446.706,60; Trab. Volante R$ 5.586,07/11.172,14/134.065,68; Vaqueiro R$ 5.278,37/21.113,48/253.361,76; Trab. Agropecuário R$ 4.140,87/16.563,48/198.761,76; Jardineiro R$ 5.017,44/40.139,52/481.674,24; Administrativo de Obras R$ 6.100,46/30.502,30/366.027,60; Encarregado R$ 7.473,84/7.473,84/89.686,08; Eletricista R$ 7.930,67/31.722,68/380.672,16; Assist. Técnico R$ 10.063,56/10.063,56/120.762,72; Pedreiro R$ 5.811,04/11.622,08/139.464,96; Pintor R$ 5.856,15/5.856,15/70.273,80; Marceneiro R$ 7.320,75/7.320,75/87.849,00; Téc. Refrigeração R$ 5.877,79/5.877,79/70.533,48; Encanador R$ 5.814,70/5.814,70/69.776,40; Piscineiro R$ 5.584,16/5.584,16/67.009,92; item 16 R$ 11.351,00/mês (136.212,00/ano); item 17 R$ 20.000,00/mês (240.000,00/ano). Total: R$ 279.403,18/mês; R$ 3.352.838,16/ano. Aviso prévio trabalhado: até 1,94% no 1º ano e 0,194% por prorrogação (2.8). Reserva de 8% das vagas (9.57). Reajuste/limite de alteração: 25% (15.2).</t>
  </si>
  <si>
    <t>Tabela e totais.</t>
  </si>
  <si>
    <t>Percentuais.</t>
  </si>
  <si>
    <t>Valores do edital/TR.</t>
  </si>
  <si>
    <t>Cláusulas 1.2, 2.8, 5.1 (p. 1-3)</t>
  </si>
  <si>
    <t>1-3</t>
  </si>
  <si>
    <t>Cláusulas 1.2, 2.8, 5.1</t>
  </si>
  <si>
    <t>G0112</t>
  </si>
  <si>
    <t>Contratante (cláusula 8): exigir o cumprimento das obrigações, receber, notificar, fiscalizar, pagar, aplicar sanções, não praticar ingerência, decidir requerimentos em 30 dias, verificar pendências antes da ordem de serviço. Contratado (cláusula 9): executar conforme o TR; atender à fiscalização; reparar vícios; responder por danos; comprovar regularidade (9.5); cumprir CCT e encargos; manter as condições de habilitação; cotas de PcD/aprendiz; fornecer materiais, EPI e uniformes; manter preposto no local (9.25); vedações de nepotismo (9.26, 9.35); pagar salários em conta na região (9.39); autorizar retenção/pagamento direto (9.40); planejar férias (9.42); políticas contra assédio (9.43-9.49); excluir-se do Simples Nacional (9.55); 8% de vagas para mulheres vítimas de violência (9.57); capital social compatível (9.58). Ambos: LGPD (11).</t>
  </si>
  <si>
    <t>Obrigações centrais de ambas as partes.</t>
  </si>
  <si>
    <t>Cláusulas 8, 9 e 11 (p. 4-10)</t>
  </si>
  <si>
    <t>4-10</t>
  </si>
  <si>
    <t>Cláusulas 8, 9 e 11</t>
  </si>
  <si>
    <t>G0113</t>
  </si>
  <si>
    <t>Não consta no documento. O contrato não possui cláusula 4.1.4; a Cláusula Quarta tem apenas o item 4.1 (subcontratação conforme o TR).</t>
  </si>
  <si>
    <t>G0114</t>
  </si>
  <si>
    <t>Apresentar comparação de preços e estimativa de custo para os serviços de limpeza e conservação e seus componentes na UFJ, subsidiando a instrução do processo administrativo.</t>
  </si>
  <si>
    <t>A principal finalidade é comparar referências de preços e apoiar a estimativa da contratação de limpeza e conservação.</t>
  </si>
  <si>
    <t>Demonstrar, de forma comparativa, que o valor atualizado do contrato vigente está compatível com a média de preços praticados no mercado, subsidiando a decisão administrativa sobre o reajuste/repactuação contratual.</t>
  </si>
  <si>
    <t>Fixar e documentar a estimativa do valor da contratação de serviços de limpeza e conservação, servindo de base para a instrução do processo, a autorização da despesa e a futura análise de propostas.</t>
  </si>
  <si>
    <t>Formalizar o vínculo jurídico entre a UFJ e a EMBRAED resultante do Pregão 90017/2026, fixando objeto, preço, vigência, obrigações, garantias, sanções e dotação.</t>
  </si>
  <si>
    <t>Formalização da contratação.</t>
  </si>
  <si>
    <t>Natureza do contrato.</t>
  </si>
  <si>
    <t>G0115</t>
  </si>
  <si>
    <t>Apurar a estimativa de custos para a contratação, demonstrando a média entre os valores contratados e a cotação de mercado.</t>
  </si>
  <si>
    <t>Subsidiariar a administração da UFJ com o comparativo de preços de mercado e contratuais para serviços de limpeza e conservação.</t>
  </si>
  <si>
    <t>Não consta no documento. O contrato não possui item 4.11 (a Cláusula Quarta tem só o 4.1).</t>
  </si>
  <si>
    <t>G0116</t>
  </si>
  <si>
    <t>Sim: (1) na tabela 1.2, os itens 16 e 17 têm a mesma descrição ('Fornecimento de materiais sob demanda com BDI'), mas o item 17 deveria ser 'serviços sob demanda' (conforme o TR/edital) – com valores diferentes (R$ 11.351,00 x R$ 20.000,00); (2) o 9.57.5 ressalva o 'subitem 9.61.3', inexistente (o correto seria 9.57.3); (3) 'Operador de Máquina Agrícolo' (1.2); (4) o 9.51 anuncia 'as seguintes medidas' e os itens seguintes (9.52-9.54) estão numerados como obrigações autônomas.</t>
  </si>
  <si>
    <t>Itens (3) e (4).</t>
  </si>
  <si>
    <t>Cláusulas 1.2, 9.51-9.54, 9.57.5 (p. 1-2; 8-9)</t>
  </si>
  <si>
    <t>1-2; 8-9</t>
  </si>
  <si>
    <t>Cláusulas 1.2, 9.51-9.54, 9.57.5</t>
  </si>
  <si>
    <t>17 Fornecimento de materiais sob demanda com BDI</t>
  </si>
  <si>
    <t>G0117</t>
  </si>
  <si>
    <t>1) Vinculação ao processo 23854.007448/2024-94 e objeto composto por limpeza/conservação, materiais e equipamentos; 2) Total informado de R$ 2.350.378,54, com diferenças aparentes nos cálculos dos itens 1 e 2 a conferir; 3) Fontes: contrato nº 113/2024 atualizado pelo apostilamento nº 01/2026 e Banco de Preços, com referência à Convenção Coletiva 2026/2027.</t>
  </si>
  <si>
    <t>As três informações prioritárias são: o valor estimado de R$ 2.350.378,54 para 12 meses; a base das duas referências de preço (contrato atualizado e Banco de Preços); e as divergências aritméticas aparentes nos totais dos itens 1 e 2, que precisam de conferência.</t>
  </si>
  <si>
    <t>Sim: descrição duplicada dos itens 16/17 com valores distintos; remissão ao 9.61.3 inexistente. Os valores somam corretamente (R$ 279.403,18/mês; × 12 = R$ 3.352.838,16).</t>
  </si>
  <si>
    <t>Itens 16/17.</t>
  </si>
  <si>
    <t>Confirmação de que os totais conferem.</t>
  </si>
  <si>
    <t>Cláusulas 1.2, 9.57.5 (p. 2; 9)</t>
  </si>
  <si>
    <t>2; 9</t>
  </si>
  <si>
    <t>Cláusulas 1.2, 9.57.5</t>
  </si>
  <si>
    <t>Incompatibilidades.</t>
  </si>
  <si>
    <t>G0118</t>
  </si>
  <si>
    <t>1) O valor total anual do objeto: R$2.350.378,54. 2) A comparação entre o preço contratual atualizado (Preço 01) e a média de mercado (Preço 02), que baliza a razoabilidade do valor. 3) O fundamento do reajuste: Termo de Apostilamento nº 01/2026, motivado pela Convenção Coletiva de Trabalho 2026/2027.</t>
  </si>
  <si>
    <t>1) O valor estimado total de R$ 2.350.378,54, calculado pela média entre o contrato vigente e a média do Banco de Preços. 2) A metodologia utilizada apoia-se em apenas duas fontes, sem comprovantes, data de coleta ou análise crítica, o que exige complementação. 3) Há divergência de R$ 43,40 no total do item 1 em relação ao preço médio exibido, além da indefinição sobre o caráter mensal ou anual dos 434.000 m².</t>
  </si>
  <si>
    <t>1) Valor Total do Objeto (R$ 2.350.378,54); 2) As fontes de composição da média (Contrato atual vs Banco de Preços); 3) Número do processo (23854.007448/2024-94).</t>
  </si>
  <si>
    <t>1. Valor Total Anual (R$ 2.350.378,54); 2. Objeto e quantitativos dos serviços; 3. Ponto de atenção sobre o erro material no ano do Termo de Apostilamento (2028).</t>
  </si>
  <si>
    <t>Sim: o contrato não traz o valor da garantia (remete ao TR, cláusula 12); não indica a data de início da execução nem a ordem de serviço; remete ao TR para pagamento, repactuação, sanções e subcontratação, sem transcrever; não identifica o preposto; não traz data no corpo.</t>
  </si>
  <si>
    <t>Garantia e pagamento remetidos ao TR.</t>
  </si>
  <si>
    <t>Cláusulas 3, 4, 6, 7, 12, 13 (p. 3; 10)</t>
  </si>
  <si>
    <t>3; 10</t>
  </si>
  <si>
    <t>Cláusulas 3, 4, 6, 7, 12, 13</t>
  </si>
  <si>
    <t>Omissões aparentes (válidas por remissão, mas relevantes).</t>
  </si>
  <si>
    <t>G0119</t>
  </si>
  <si>
    <t>Erros materiais: descrição do item 17; 'Agrícolo'; remissão ao 9.61.3; palavras aglutinadas pela conversão ('acada', 'fiscaise', 'integraldo', 'decargos' etc.); 'e conômica' (14.16).</t>
  </si>
  <si>
    <t>Item 17 e remissão 9.61.3.</t>
  </si>
  <si>
    <t>Diversos (p. 1-12)</t>
  </si>
  <si>
    <t>1-12</t>
  </si>
  <si>
    <t>G0120</t>
  </si>
  <si>
    <t>Sim: descrição e valores dos itens 16/17; dotação (ND 339037 e PI M20RKQ01PJN, diferentes da minuta do edital); nota de empenho 2026NE000212 e seu saldo; prestação e valor da garantia; poderes do representante da contratada; preposto (TR 6.7 dispensa a presença no local, e o contrato 9.25 exige); exclusão do Simples Nacional; capital social; reserva de 8%.</t>
  </si>
  <si>
    <t>Cláusulas 1.2, 9.25, 9.55, 9.57, 9.58, 12, 16 (p. 1-13)</t>
  </si>
  <si>
    <t>Cláusulas 1.2, 9.25, 9.55, 9.57, 9.58, 12, 16</t>
  </si>
  <si>
    <t>G0121</t>
  </si>
  <si>
    <t>Pesquisar preços para a contratação de empresa remanescente especializada em serviços continuados de limpeza, conservação e asseio da Universidade Federal de Jataí, com mão de obra, insumos, máquinas e equipamentos. A cotação abrange serviços de limpeza, material sob demanda + BDI e equipamentos BDI. (PDF, pp. 1 e 3.)</t>
  </si>
  <si>
    <t>Possível: a cláusula 9.25 exige preposto 'no local da obra ou do serviço', enquanto o TR (que vincula o contrato pela cláusula 1.3.1) diz, no item 6.7, que o contratado não precisa manter preposto no local; a descrição do item 17 destoa do objeto definido no próprio 1.1 (que inclui serviços eventuais).</t>
  </si>
  <si>
    <t>Preposto; item 17.</t>
  </si>
  <si>
    <t>Cláusulas 1.1, 1.2, 1.3.1, 9.25 (p. 2; 7)</t>
  </si>
  <si>
    <t>2; 7</t>
  </si>
  <si>
    <t>Cláusulas 1.1, 1.2, 1.3.1, 9.25</t>
  </si>
  <si>
    <t>Conflito com requisitos vinculados.</t>
  </si>
  <si>
    <t>G0122</t>
  </si>
  <si>
    <t>Relatório de pesquisa de preços para estimar valores de referência de três itens ligados à limpeza e conservação: serviço de limpeza, materiais sob demanda + BDI e equipamentos + BDI.</t>
  </si>
  <si>
    <t>Relatório de Pesquisa de Preço (cotação de mercado) elaborado pela Diretoria de Compras e Licitações da Universidade Federal de Jataí (UFJ), identificado internamente no sistema como "EMPRESA PRISMA 2026". Abrange 3 itens: 1) Prestação de Serviço de limpeza e conservação; 2) Material Sob Demanda + BDI; 3) Equipamentos BDI. Elaborado em conformidade com a IN SEGES/ME nº 65/2021 (Lei nº 14.133/2021), método da Média Aritmética dos preços obtidos.</t>
  </si>
  <si>
    <t>Relatório de Pesquisa de Preço extraído da ferramenta Banco de Preços, sob o título de cotação "EMPRESA PRISMA 2026", destinado a formar o preço estimado da contratação de empresa remanescente para prestação de serviços continuados de limpeza, conservação e asseio na Universidade Federal de Jataí (UFJ), com fornecimento de mão de obra, insumos, máquinas e equipamentos. A cotação abrange 3 itens: (1) Prestação de serviço de limpeza e conservação (m²); (2) Material sob demanda + BDI; (3) Equipamentos + BDI.</t>
  </si>
  <si>
    <t>Trata-se de um Relatório de Pesquisa/Cotação de Preço para a contratação de empresa especializada na prestação de serviços continuados de limpeza, conservação e asseio, incluindo fornecimento de material sob demanda e equipamentos.</t>
  </si>
  <si>
    <t>Vigência de 12 meses, prorrogável até 10 anos, com requisitos do 2.2; aviso prévio de até 1,94%/0,194%; comprovação de PIS/COFINS não cumulativo; valor máximo e pagamento conforme a execução; vedações de ingerência; decisões em 30 dias; obrigações do 9.x (regularidade, CCT, EPI, preposto, nepotismo, pagamento em conta, férias, assédio, Simples Nacional, 8% de vagas, capital social); LGPD; garantia; extinção e retenções (14.10-14.15); alterações de até 25%; dotação; foro.</t>
  </si>
  <si>
    <t>Relatório de Pesquisa de Preços com base na Instrução Normativa nº 65/2021 (Lei nº 14.133/2021) para contratação de serviços de limpeza, conservação e fornecimento de materiais e equipamentos.</t>
  </si>
  <si>
    <t>Cláusulas 2-19 (p. 2-13)</t>
  </si>
  <si>
    <t>2-13</t>
  </si>
  <si>
    <t>Cláusulas 2-19</t>
  </si>
  <si>
    <t>G0123</t>
  </si>
  <si>
    <t>Valor e modalidade da garantia; data de início; nome do preposto; descrição correta do item 17; prazos de pagamento transcritos.</t>
  </si>
  <si>
    <t>Cláusulas 1.2, 6, 12 (p. 2-10)</t>
  </si>
  <si>
    <t>Cláusulas 1.2, 6, 12</t>
  </si>
  <si>
    <t>G0124</t>
  </si>
  <si>
    <t>Sim. Conflitos Contrato x Edital (minuta – Anexo II – e TR – Anexo I): (1) descrição do item 17 – minuta/TR: 'Fornecimento de serviços sob demanda com BDI'; contrato: 'Fornecimento de materiais sob demanda com BDI'; (2) dotação – minuta: elemento 339039, PI M0000G100N; contrato: elemento 339037, PI M20RKQ01PJN, NE 2026NE000212; (3) preposto – TR 6.7: não precisa ficar no local; contrato 9.25: deve ficar no local da obra ou serviço (a mesma cláusula já constava da minuta); (4) valores – edital: R$ 305.301,65/mês e R$ 3.663.619,80/ano; contrato: R$ 279.403,18/mês e R$ 3.352.838,16/ano (resultado da licitação, não é conflito, mas diferença).</t>
  </si>
  <si>
    <t>Afirmar ausência de conflitos.</t>
  </si>
  <si>
    <t>Cláusulas 1.2, 9.25, 16.1 x minuta e TR 6.7 (p. Contrato 2, 7, 13; Edital 155-168, 24)</t>
  </si>
  <si>
    <t>Contrato 2, 7, 13; Edital 155-168, 24</t>
  </si>
  <si>
    <t>Cláusulas 1.2, 9.25, 16.1 x minuta e TR 6.7</t>
  </si>
  <si>
    <t>Cotejo Contrato x Edital.</t>
  </si>
  <si>
    <t>Comparação definida pelo pesquisador: Contrato x Edital. | Rascunho: conferir no documento original antes de usar como Gold. Viés possível: Claude é ferramenta avaliada.</t>
  </si>
  <si>
    <t>G0125</t>
  </si>
  <si>
    <t>Relatório Resumido de Cotação e Relatório de Cotação: EMPRESA PRISMA 2026. A identificação 0631080 consta no nome do arquivo fornecido; no corpo, há códigos de validação dos relatórios, sem número administrativo próprio explicitado. (PDF, pp. 1–2.)</t>
  </si>
  <si>
    <t>Relatório de Cotação “EMPRESA PRISMA 2026”; o arquivo não informa número SEI ou outro número formal do relatório.</t>
  </si>
  <si>
    <t>O documento não traz um número de identificação/protocolo formal (tipo SEI) em seu conteúdo. Cada página exibe apenas um "Código Validação" (hash), diferente entre o relatório resumido e o relatório detalhado, usado só para autenticação online — não é um número de documento administrativo. (Obs.: o nome do arquivo enviado contém "0631080", possível nº de protocolo/SEI, mas esse número não aparece no corpo do PDF.)</t>
  </si>
  <si>
    <t>Diferenças Contrato x Edital (minuta): preenchimento das partes (EMBRAED, CNPJ, representante Elias Jesus Amaral) e do número do pregão (90017/2026); nome do Reitor corrigido ('Cristiano' na minuta → 'Christiano' no contrato); valores por posto reduzidos após a disputa (ex.: Operador R$ 8.310,87 → R$ 7.445,11; Eletricista R$ 8.152,88 → R$ 7.930,67; Técnico de Refrigeração R$ 6.561,32 → R$ 5.877,79), com materiais e serviços sob demanda mantidos em R$ 11.351,00 e R$ 20.000,00; totais de R$ 305.301,65 → R$ 279.403,18/mês e R$ 3.663.619,80 → R$ 3.352.838,16/ano (redução de ~8,5%); dotação preenchida (339037, M20RKQ01PJN, NE 2026NE000212); descrição do item 17; assinaturas eletrônicas no lugar de testemunhas e campos em branco. As demais cláusulas são textualmente iguais à minuta.</t>
  </si>
  <si>
    <t>Partes; valores; dotação; item 17.</t>
  </si>
  <si>
    <t>Nome do Reitor e percentual de redução.</t>
  </si>
  <si>
    <t>O relatório não possui número próprio impresso no corpo do texto. A identificação disponível é: (a) o número do documento SEI constante do nome do arquivo — 0631080; (b) os Códigos de Validação/token do Banco de Preços, que são distintos para cada relatório: relatório resumido = abrUypjvPRgclBvPbBa6v6YDcE8oOpWgE2HfKlRB3IAqHU8nPtm6WA%3d%3d; relatório detalhado = abrUypjvPRgclBvPbBa6v6YDcE8oOpWgsBHzEjXJCXcqHU8nPtm6WA%3d%3d, ambos verificáveis em bancodeprecos.com.br/CertificadoAutenticidade.</t>
  </si>
  <si>
    <t>Contrato integral x Anexo II do Edital (p. 1-13; Edital 155-168)</t>
  </si>
  <si>
    <t>1-13; Edital 155-168</t>
  </si>
  <si>
    <t>Contrato integral x Anexo II do Edital</t>
  </si>
  <si>
    <t>Cotejo textual.</t>
  </si>
  <si>
    <t>G0126</t>
  </si>
  <si>
    <t>Relatório Pesquisa de Preço - Banco de Preços (0631080).pdf, com códigos de validação de autenticidade (ex: abrUypjvPRgclBvPbBa6v6YDcE8oOpWg...).</t>
  </si>
  <si>
    <t>Relatório Resumido de Cotação: EMPRESA PRISMA 2026 / ID de Validação: abrUypjvPRgclBvPbBa6v6YDcE8oOpWgE2HfKIRB31AqHU8nPtm6WA%3d%3d</t>
  </si>
  <si>
    <t>Em relação ao Edital (minuta), foram alterados: valores unitários, mensais e anuais dos postos e totais (R$ 3.663.619,80 → R$ 3.352.838,16); descrição do item 17 (serviços → materiais, possivelmente por erro); dotação (elemento 339039 → 339037; PI M0000G100N → M20RKQ01PJN; inclusão da NE 2026NE000212); nome do Reitor (Cristiano → Christiano); dados da contratada e do pregão preenchidos.</t>
  </si>
  <si>
    <t>Valores; item 17; dotação.</t>
  </si>
  <si>
    <t>Cláusulas 1.2, 5.1, 16.1; preâmbulo (p. 1-3; 13)</t>
  </si>
  <si>
    <t>1-3; 13</t>
  </si>
  <si>
    <t>Cláusulas 1.2, 5.1, 16.1; preâmbulo</t>
  </si>
  <si>
    <t>Mudanças minuta → contrato.</t>
  </si>
  <si>
    <t>G0127</t>
  </si>
  <si>
    <t>Descrição errada do item 17 (risco no pagamento de serviços sob demanda); elemento de despesa diferente da minuta; preposto (conflito com o TR); garantia de 5% a comprovar; pagamento condicionado a medição, IMR e comprovação trabalhista; saldo de empenho; exclusão do Simples; capital social; reserva de vagas.</t>
  </si>
  <si>
    <t>Cláusulas 1.2, 9.25, 9.55-9.58, 12, 16 (p. 1-13)</t>
  </si>
  <si>
    <t>O número do processo da contratação da UFJ não consta no documento. Os anexos mencionam processos das contratações usadas como referência: 05800032468202617 (Pregão 90006/2026), 25115000123202541 (Pregão 90009/2026) e 642580043212025 (Pregão 90001/2026). Esses números não identificam o processo da UFJ.</t>
  </si>
  <si>
    <t>Cláusulas 1.2, 9.25, 9.55-9.58, 12, 16</t>
  </si>
  <si>
    <t>G0128</t>
  </si>
  <si>
    <t>Não consta no relatório. O mapa comparativo relacionado identifica o processo SEI nº 23854.007448/2024-94.</t>
  </si>
  <si>
    <t>Não consta, no corpo do relatório, um número de processo administrativo da UFJ vinculado a esta pesquisa. Os números de processo/pregão que aparecem (ex.: Processo nº 05800032468202617, nº 25115000123202541, nº 642580043212025) pertencem a OUTROS órgãos e são apenas as fontes de preço utilizadas como referência — não o processo da UFJ.</t>
  </si>
  <si>
    <t>NÃO CONSTA. O relatório não indica o número do processo administrativo da UFJ. Os únicos números de processo citados são os das licitações utilizadas como fonte de preço, pertencentes a outros órgãos: Processo nº 05800032468202617 (Pregão 90006/2026 – SSP/SP, Delegacia Seccional de Marília); Processo nº 25115000123202541 (Pregão 90009/2026 – Funasa/MS); Processo nº 642580043212025 (Pregão 90001/2026 – Colégio Militar do Rio de Janeiro). O processo da UFJ deve ser obtido no SEI.</t>
  </si>
  <si>
    <t>O relatório principal da UFJ não menciona um número de processo. Os documentos anexos de referência indicam Processo nº 05800032468202617 (Pregão 90006/2026) e Processo nº 25115000123202541 (Pregão 90009/2026).</t>
  </si>
  <si>
    <t>Não aplicável / Não especificado no documento principal (menciona processos específicos nos pregões anexos, ex: Processo nº 05800032468202617 e nº 25115000123202541).</t>
  </si>
  <si>
    <t>Correção do item 17 (apostila/aditivo); dotação e saldo do empenho; garantia prestada; regularidade fiscal e trabalhista; poderes do signatário; conformidade dos valores com a proposta vencedora.</t>
  </si>
  <si>
    <t>Cláusulas 1.2, 12, 16 (p. 1-13)</t>
  </si>
  <si>
    <t>Cláusulas 1.2, 12, 16</t>
  </si>
  <si>
    <t>Base para executar e pagar.</t>
  </si>
  <si>
    <t>G0129</t>
  </si>
  <si>
    <t>Pagamento de serviços sob demanda sem cobertura contratual clara (item 17 com descrição errada); execução orçamentária em natureza de despesa inadequada; responsabilização subsidiária por inadimplência trabalhista se a fiscalização falhar; conflito de regras sobre o preposto.</t>
  </si>
  <si>
    <t>Diversos (p. 1-13)</t>
  </si>
  <si>
    <t>G0130</t>
  </si>
  <si>
    <t>24/08/2026. Pesquisa realizada das 07:41:13 às 09:00:20; relatório detalhado gerado às 09:23:33 e relatório resumido às 09:25:10. As atas anexas possuem datas próprias. (PDF, pp. 1–2.)</t>
  </si>
  <si>
    <t>24/08/2026. A pesquisa ocorreu das 07h41min13s às 09h00min20s. O resumo registra geração às 09h25min10s e o relatório detalhado às 09h23min33s.</t>
  </si>
  <si>
    <t>Pesquisa realizada entre 24/08/2026 07:41:13 e 24/08/2026 09:00:20. Relatório resumido gerado em 24/08/2026 09:25:10; relatório detalhado gerado em 24/08/2026 09:23:33 (IP 200.137.253.160).</t>
  </si>
  <si>
    <t>Pesquisa realizada em 24/08/2026, entre 07:41:13 e 09:00:20. Relatório de Cotação (detalhado) gerado em 24/08/2026 às 09:23:33 e Relatório Resumido gerado em 24/08/2026 às 09:25:10, ambos a partir do IP 200.137.253.160. Não há data de assinatura ou de aprovação.</t>
  </si>
  <si>
    <t>O relatório principal foi gerado no dia 24/08/2026, com a pesquisa realizada no mesmo dia.</t>
  </si>
  <si>
    <t>1) O Contrato 63/2026 (processo 23854.000200/2026-64) é firmado entre a UFJ e a EMBRAED Empreendimentos Ltda., a partir do PE 90017/2026. 2) Objeto: manutenção predial, áreas urbanas/rurais e apoio técnico-operacional com DEMO (15 tipos de posto e 2 itens sob demanda). 3) Valor máximo de R$ 279.403,18/mês e R$ 3.352.838,16/ano. 4) Vigência de 12 meses a partir de 26/06/2026, prorrogável até 10 anos. 5) Obrigações extensas da contratada (trabalhistas, assédio, Simples, 8% de vagas, capital social); dotação ND 339037, NE 2026NE000212.</t>
  </si>
  <si>
    <t>Partes; objeto; valor; vigência; obrigações.</t>
  </si>
  <si>
    <t>24/08/2026 (Data da geração do relatório entre 07:41:13 e 09:25:10).</t>
  </si>
  <si>
    <t>G0131</t>
  </si>
  <si>
    <t>Formalizar a contratação resultante do pregão e reger a execução contratual.</t>
  </si>
  <si>
    <t>G0132</t>
  </si>
  <si>
    <t>1) Valor máximo e composição (R$ 279.403,18/mês; R$ 3.352.838,16/ano), com o erro na descrição do item 17. 2) Vigência (12 meses a partir de 26/06/2026, até 10 anos). 3) Obrigações trabalhistas e condições de pagamento/retenção da contratada.</t>
  </si>
  <si>
    <t>Cláusulas 1.2, 2, 9 (p. 1-9)</t>
  </si>
  <si>
    <t>1-9</t>
  </si>
  <si>
    <t>Cláusulas 1.2, 2, 9</t>
  </si>
  <si>
    <t>G0133</t>
  </si>
  <si>
    <t>Universidade Federal de Jataí (UFJ), Pró-Reitoria de Administração e Finanças, Diretoria de Compras e Licitações, vinculada ao Ministério da Educação. CNPJ da UFJ: 35.840.659/0001-30. (PDF, pp. 1–2.)</t>
  </si>
  <si>
    <t>Universidade Federal de Jataí (UFJ), Pró-Reitoria de Administração e Finanças (PROAD), Diretoria de Compras e Licitações.</t>
  </si>
  <si>
    <t>Ministério da Educação – Universidade Federal de Jataí (UFJ) – Pró-Reitoria de Administração e Finanças – Diretoria de Compras e Licitações (CNPJ 35.840.659/0001-30).</t>
  </si>
  <si>
    <t>Termo aditivo ao Contrato nº 19/2025 (UFJ × RG Segurança e Vigilância Ltda) para (1) reduzir a jornada semanal de 44 para 40 horas, sem prejuízo da remuneração (Vigilante Supervisor), e (2) incluir o benefício de reembolso-creche (R$ 526,64 por dependente/mês), com novo valor mensal de R$ 171.952,16.</t>
  </si>
  <si>
    <t>Ministério da Educação – Universidade Federal de Jataí (UFJ), Pró-Reitoria de Administração e Finanças, Diretoria de Compras e Licitações, CNPJ 35.840.659/0001-30 (conforme cabeçalho de todas as páginas do relatório).</t>
  </si>
  <si>
    <t>Redução de jornada 44→40h e inclusão do reembolso-creche no Contrato 19/2025.</t>
  </si>
  <si>
    <t>Novo valor mensal/anual.</t>
  </si>
  <si>
    <t>Tratar como repactuação por CCT ou prorrogação.</t>
  </si>
  <si>
    <t>Título; Cláusula Primeira (1.1) (p. 1)</t>
  </si>
  <si>
    <t>Título; Cláusula Primeira (1.1)</t>
  </si>
  <si>
    <t>PARA REDUÇÃO DE JORNADA DE 44 PARA 40 HORAS SEMANAIS E INCLUSÃO DO BENEFÍCIO DE REEMBOLSO-CRECHE</t>
  </si>
  <si>
    <t>Título e cláusula 1.1.</t>
  </si>
  <si>
    <t>G0134</t>
  </si>
  <si>
    <t>Ministério da Educação, Universidade Federal de Jataí (UFJ) - DCL UFJ Pró Reitoria de Administração e Finanças, Diretoria de Compras e Licitações.</t>
  </si>
  <si>
    <t>Diretoria de Compras e Licitações (DCL) da Pró-Reitoria de Administração e Finanças da Universidade Federal de Jataí (UFJ).</t>
  </si>
  <si>
    <t>Termo Aditivo nº 02/2026 ao Contrato nº 19/2025 (SEI nº 0640621).</t>
  </si>
  <si>
    <t>TA 02/2026.</t>
  </si>
  <si>
    <t>SEI 0640621; Contrato 19/2025.</t>
  </si>
  <si>
    <t>Confundir com o Termo de Apostilamento 01/2026.</t>
  </si>
  <si>
    <t>Título; rodapé (p. 1; 4)</t>
  </si>
  <si>
    <t>1; 4</t>
  </si>
  <si>
    <t>Termo Aditivo nº 02/2026</t>
  </si>
  <si>
    <t>G0135</t>
  </si>
  <si>
    <t>Processo Administrativo nº 23854.004591/2024-24.</t>
  </si>
  <si>
    <t>23854.004591/2024-24.</t>
  </si>
  <si>
    <t>Cabeçalho; rodapé (p. 1; 4)</t>
  </si>
  <si>
    <t>Processo Administrativo nº 23854.004591/2024-24</t>
  </si>
  <si>
    <t>G0136</t>
  </si>
  <si>
    <t>09/09/2026 – data das assinaturas (contratada às 10:12; Reitor às 15:24). O corpo não traz data própria.</t>
  </si>
  <si>
    <t>09/09/2026.</t>
  </si>
  <si>
    <t>01/09/2026 (início dos efeitos financeiros do reembolso-creche) ou 18/09/2026 (impressão).</t>
  </si>
  <si>
    <t>Assinaturas (p. 4)</t>
  </si>
  <si>
    <t>Assinaturas</t>
  </si>
  <si>
    <t>Instituição demandante: UFJ/MEC. EMPRESA PRISMA 2026 aparece no título, sem qualificação contratual. Fontes e órgãos pesquisados: IFPB/Campus João Pessoa, IFCE, Governo de São Paulo/SSP/Delegacia Seccional de Marília, Município de São José do Rio Pardo, Ministério da Saúde/Funasa, municípios de Darcinópolis e Caldas Novas, Ministério da Defesa/Exército/Colégio Militar do Rio de Janeiro; PNCP, Compras.gov.br e Banco de Preços. O mapa identifica ZELO, A1 Serviços, ROSCH, COMDERP, 51.722.124 Carla Alessandra Barbosa Perez, D G de Sousa, JL E Sousa Produtos Químicos e BRASIDAS; os anexos incluem outros participantes. (PDF, pp. 3–23.)</t>
  </si>
  <si>
    <t>G0137</t>
  </si>
  <si>
    <t>Instituição responsável: Universidade Federal de Jataí (UFJ), vinculada ao Ministério da Educação (MEC). O relatório também menciona o Banco de Preços e órgãos públicos e fornecedores usados como fontes de comparação; há diversas entidades nos registros detalhados.</t>
  </si>
  <si>
    <t>UFJ (solicitante). Como fontes das cotações: Instituto Federal da Paraíba, Instituto Federal do Ceará, Governo do Estado de São Paulo/Secretaria de Segurança Pública, Município de São José do Rio Pardo, Município de Darcinópolis, entre outros órgãos; e dezenas de empresas fornecedoras citadas nas propostas/atas anexadas (ex.: Zelo Locação de Mão de Obra, A1 Serviços, DR Soluções, Embraed Empreendimentos, EBCS, Fortline Serviços, Brasidas Ltda, entre muitas outras ao longo das 259 páginas).</t>
  </si>
  <si>
    <t>Órgão demandante: UFJ/MEC. Ferramenta/meio: Banco de Preços (bancodeprecos.com.br). Fontes: Compras.gov.br e Portal Nacional de Contratações Públicas (PNCP). Órgãos cujas licitações foram usadas como paradigma: IFPB (Campus João Pessoa), IFCE, Governo do Estado de SP / SSP / Delegacia Seccional de Marília, Município de São José do Rio Pardo/SP, Fundação Nacional de Saúde – Funasa/MS, Município de Darcinópolis/TO, Município de Caldas Novas/GO e Colégio Militar do Rio de Janeiro (Comando do Exército / Ministério da Defesa). Fornecedores citados: dezenas, entre os quais Zelo Locação de Mão de Obra, A1 Serviços, Rosch Serviços Terceirizados, GRN Distribuidora, Comderp, Carla Alessandra Barbosa Perez (CNPJ 51.722.124/0001-11), D G de Sousa, JL e Sousa Produtos Químicos e Brasidas Ltda.</t>
  </si>
  <si>
    <t>Diretoria de Administração de Contratos (DAC/UFJ); UFJ representada pelo Reitor Christiano Peres Coelho.</t>
  </si>
  <si>
    <t>DAC/UFJ.</t>
  </si>
  <si>
    <t>Universidade Federal de Jataí (solicitante), Banco de Preços (sistema), além de instituições utilizadas como fontes de cotação (ex: IFPB, IFCE, Governo de SP, Funasa) e diversas empresas licitantes (ex: Empresa Prisma 2026, Rosch, Unicca).</t>
  </si>
  <si>
    <t>G0138</t>
  </si>
  <si>
    <t>Universidade Federal de Jataí (UFJ), Ministério da Educação, além de diversos órgãos públicos e fornecedores participantes das cotações.</t>
  </si>
  <si>
    <t>Contratante: Universidade Federal de Jataí (CNPJ 35.840.659/0001-30), pelo Reitor Christiano Peres Coelho. Contratada: RG Segurança e Vigilância Ltda (CNPJ 13.019.295/0001-90), Goiânia/GO, representada por Glauco Sebastian Tavares de Oliveira. Mencionados também os trabalhadores beneficiários, instituições de educação infantil e o sistema Contratos.gov.br.</t>
  </si>
  <si>
    <t>UFJ e RG Segurança e Vigilância Ltda com representantes.</t>
  </si>
  <si>
    <t>Partes.</t>
  </si>
  <si>
    <t>G0139</t>
  </si>
  <si>
    <t>A Cláusula Oitava (Ratificação) mantém e ratifica as demais cláusulas e condições do contrato original, no que não contrariem o termo aditivo (item 8.1).</t>
  </si>
  <si>
    <t>Cláusula Oitava = Ratificação.</t>
  </si>
  <si>
    <t>Inventar conteúdo diverso da ratificação.</t>
  </si>
  <si>
    <t>Cláusula Oitava (p. 4)</t>
  </si>
  <si>
    <t>Se interpretada como 'Cláusula Oitava', o conteúdo é a ratificação (8.1).</t>
  </si>
  <si>
    <t>G0140</t>
  </si>
  <si>
    <t>não consta no documento uma seção intitulada 08. A página interna 8/22 do relatório detalhado, correspondente à página 9 do PDF, trata do Item 2: Material Sob Demanda + BDI, estimado em R$ 20.231,97; página e seção não são equivalentes.</t>
  </si>
  <si>
    <t>Não consta seção 08 numerada no relatório. O documento apresenta pesquisa de preços, método de cálculo e referências de mercado.</t>
  </si>
  <si>
    <t>Não consta — o documento não possui uma "Seção 08" ou numeração de seções nesse formato; sua estrutura é: capa/resumo, detalhamento por item e anexos com as fontes de cada cotação.</t>
  </si>
  <si>
    <t>A pergunta não indica qual informação é solicitada; a resposta adequada aponta a indeterminação ou apresenta o mapa do documento: Cl. 1 Objeto (redução de jornada – 1.2/1.3; reembolso-creche – 1.4); Cl. 2 Preço (tabela, R$ 171.952,16/mês); Cl. 3 Dotação; Cl. 4 Garantia; Cl. 5 Operacionalização do reembolso-creche; Cl. 6 Vedações da redução de jornada; Cl. 7 Produção de efeitos; Cl. 8 Ratificação; Cl. 9 Publicação.</t>
  </si>
  <si>
    <t>Reconhecer a indeterminação da pergunta.</t>
  </si>
  <si>
    <t>NÃO APLICÁVEL. O documento não é organizado em seções numeradas, portanto não existe "seção 08". Se a referência for à página 8 do Relatório de Cotação (numeração 8/22), essa página inicia o detalhamento do Item 2 – Material Sob Demanda + BDI, com o preço estimado de R$ 20.231,97 e o primeiro preço-fonte (Município de São José do Rio Pardo/SP, Dispensa, R$ 17.590,22).</t>
  </si>
  <si>
    <t>Inventar a 'informação solicitada'.</t>
  </si>
  <si>
    <t>Estrutura (p. 1-4)</t>
  </si>
  <si>
    <t>1-4</t>
  </si>
  <si>
    <t>G0141</t>
  </si>
  <si>
    <t>Não há uma "seção 08" estruturada no relatório principal. Contudo, no histórico de chat do Pregão 90006/2026, o "Item 8 do Edital" é citado como o referente à fase de envio de documentos de habilitação.</t>
  </si>
  <si>
    <t>O documento apresenta o detalhamento do item 2 (Material Sob Demanda + BDI) e cotações específicas de órgãos governamentais nas páginas correspondentes.</t>
  </si>
  <si>
    <t>R$ 2.063.425,92 (valor anual do contrato após o aditivo; mensal R$ 171.952,16). O documento não trata de 'objeto licitado', mas do valor contratual alterado.</t>
  </si>
  <si>
    <t>R$ 2.063.425,92.</t>
  </si>
  <si>
    <t>Esclarecer que é valor contratual, não licitado.</t>
  </si>
  <si>
    <t>R$ 2.026.454,88 (valor da Tabela III do Apostilamento 01/2026).</t>
  </si>
  <si>
    <t>Cláusula 2.1 e tabela (p. 2)</t>
  </si>
  <si>
    <t>Cláusula 2.1 e tabela</t>
  </si>
  <si>
    <t>perfazendo o valor anual de R$ 2.063.425,92</t>
  </si>
  <si>
    <t>Cláusula 2.1.</t>
  </si>
  <si>
    <t>G0142</t>
  </si>
  <si>
    <t>Não consta no documento. Não há comissão de contratação; assinam o representante da contratada (09/09/2026, 10:12) e o Reitor (09/09/2026, 15:24).</t>
  </si>
  <si>
    <t>A informação solicitada não foi especificada na pergunta. Localização dos principais dados: identificação e datas nas pp. 1–2; Detalhamento dos Itens nas pp. 3–20; Mapa Comparativo de Preços nas pp. 21–22; Extrato de fontes na p. 23; Anexo 1 — Memorial de Cálculo nas pp. 24–27. Referências à paginação física do PDF.</t>
  </si>
  <si>
    <t>G0143</t>
  </si>
  <si>
    <t>O relatório não tem seção 08 numerada. Os preços consolidados estão no “Relatório Resumido de Cotação”, página 1; os registros e preços de referência aparecem no detalhamento dos itens, a partir da página 2 do relatório de cotação.</t>
  </si>
  <si>
    <t>Não aplicável — a pergunta pressupõe uma seção numerada que não existe neste documento.</t>
  </si>
  <si>
    <t>NÃO APLICÁVEL – não há seções numeradas. A estrutura efetiva do documento (259 páginas no total) é: (i) Relatório Resumido de Cotação – 1 página; (ii) Relatório de Cotação, com "Detalhamento dos Itens" – 22 páginas, incluindo ao final o "Extrato de fontes utilizadas neste relatório"; (iii) Anexo 1 – Memorial de Cálculo – 4 páginas; (iv) anexos com 4 Termos de Homologação das licitações-fonte (46 + 89 + 89 + 8 páginas).</t>
  </si>
  <si>
    <t>A citação ao item 8 do edital encontra-se na transcrição do chat do Pregão 90006/2026 (Mensagem do Sistema às 14:02:09).</t>
  </si>
  <si>
    <t>Seção de detalhamento dos itens e Mapa Comparativo de Preços.</t>
  </si>
  <si>
    <t>TA 02/2026 | Contrato 19/2025 | Processo 23854.004591/2024-24 | SEI 0640621 | Partes: UFJ × RG Segurança e Vigilância Ltda | Objeto: redução de jornada 44→40h (Vigilante Supervisor, CBO 5103-10) + reembolso-creche | Reembolso: R$ 526,64/dependente/mês; incidência 20% dos 25 empregados; CCT sem benefício congênere | Valor: R$ 171.952,16/mês; R$ 2.063.425,92/ano | Dotação: ND 339037; PI M20RKQ01VON; NE 2026NE000061 | Garantia: ajustar a 5% em 10 dias | Efeitos: jornada a partir da assinatura; creche com efeitos financeiros a partir de 01/09/2026 | Fundamentos: Decreto 12.174/2024 (red. Decreto 12.926/2026), IN SEGES/MGI 147/2026, IN 190/2024 (red. IN 148/2026) | Assinatura: 09/09/2026.</t>
  </si>
  <si>
    <t>Número, contrato, objeto, valor, efeitos.</t>
  </si>
  <si>
    <t>Documento integral (p. 1-4)</t>
  </si>
  <si>
    <t>G0144</t>
  </si>
  <si>
    <t>Reembolso-creche R$ 526,64 por dependente/mês; valor mensal R$ 171.952,16; anual R$ 2.063.425,92; por posto (mensal): Vig. Diurno Armado R$ 12.796,00 (3 postos – R$ 38.388,00); Vig. Noturno Armado R$ 13.852,58 (R$ 41.557,74); Vig. Diurno Armado Motorizado R$ 13.967,62 (R$ 27.935,24); Vig. Noturno Armado Motorizado R$ 15.021,62 (R$ 30.043,24); Vig. Diurno Desarmado R$ 12.712,94; Vig. Noturno Desarmado R$ 13.679,38; Vigilante Supervisor R$ 7.635,62; totais anuais por item conforme tabela da Cláusula 2.1. Garantia de 5% do novo valor global.</t>
  </si>
  <si>
    <t>R$ 526,64; R$ 171.952,16; R$ 2.063.425,92.</t>
  </si>
  <si>
    <t>Valores por posto.</t>
  </si>
  <si>
    <t>Itens 1.4.2, 2.1, 4.1 (p. 1-2)</t>
  </si>
  <si>
    <t>Itens 1.4.2, 2.1, 4.1</t>
  </si>
  <si>
    <t>G0145</t>
  </si>
  <si>
    <t>não consta no documento o Valor Total Anual do Objeto licitado. Consta Valor Global de R$ 23.700,41, composto por R$ 4,97 + R$ 20.231,97 + R$ 3.463,47, com quantidade 1 em cada item; o relatório não o qualifica como anual. (PDF, p. 1.)</t>
  </si>
  <si>
    <t>Não consta valor total anual no relatório. O valor global nele apresentado é R$ 23.700,41, calculado para quantidade 1 de cada item; não deve ser interpretado como total anual.</t>
  </si>
  <si>
    <t>Contratada: manter e atualizar documentação dos beneficiários (5.1); registrar/atualizar dados no Contratos.gov.br (5.2); colher declaração anual do empregado sobre benefício de outra fonte (5.3); apresentar relatórios mensais (5.4); comprovar mensalmente o desembolso do reembolso (2.4); não se apropriar de saldo não utilizado (2.5); pagar o benefício mesmo com atraso de repasse (5.7); ajustar a garantia em 10 dias (4.1); observar LGPD (5.8); não usar o saldo de horas da redução para outras atividades, banco de horas ou realocação (6.2); não aumentar intervalo intrajornada (6.1). Contratante: registrar habilitação enquanto o sistema não evoluir (5.2); fiscalizar semestralmente por amostragem (5.5); glosar/restituir em caso de irregularidade (5.6); ajustar valores se insuficientes (2.6); publicar no PNCP (9.1).</t>
  </si>
  <si>
    <t>Comprovação mensal; Contratos.gov.br; vedação de uso do saldo de horas; garantia.</t>
  </si>
  <si>
    <t>Cláusulas 2, 4, 5, 6, 9 (p. 2-4)</t>
  </si>
  <si>
    <t>2-4</t>
  </si>
  <si>
    <t>Cláusulas 2, 4, 5, 6, 9</t>
  </si>
  <si>
    <t>G0146</t>
  </si>
  <si>
    <t>Não há um campo rotulado "Valor Total Anual do Objeto licitado". O relatório indica apenas o "Valor Global" da pesquisa: R$ 23.700,41 (soma dos 3 itens: R$ 4,97 + R$ 20.231,97 + R$ 3.463,47).</t>
  </si>
  <si>
    <t>NÃO CONSTA. O documento não apresenta "Valor Total Anual do Objeto licitado". O único valor consolidado é o Valor Global de R$ 23.700,41, que corresponde à soma dos preços unitários estimados dos 3 itens (R$ 4,97 + R$ 20.231,97 + R$ 3.463,47), considerando quantidade 1 para cada item. Esse valor NÃO representa o custo anual do contrato e não deve ser utilizado como tal.</t>
  </si>
  <si>
    <t>O documento indica o "Valor Global" estimado da contratação em R$ 23.700,41. Não especifica se é um valor anual.</t>
  </si>
  <si>
    <t>Valor Global de R$ 23.700,41.</t>
  </si>
  <si>
    <t>Não consta no documento. Não há item 4.1.4; a Cláusula Quarta tem apenas o item 4.1 (ajuste da garantia).</t>
  </si>
  <si>
    <t>G0147</t>
  </si>
  <si>
    <t>Formalizar alteração contratual bilateral para implementar, no Contrato 19/2025, as novas regras federais de redução de jornada dos terceirizados e do reembolso-creche, ajustando preço, dotação, garantia e regras de comprovação.</t>
  </si>
  <si>
    <t>Alteração do contrato para aplicar Decreto 12.174/2024 (red. 12.926/2026) e INs.</t>
  </si>
  <si>
    <t>Preâmbulo; Cláusulas 1-2 (p. 1-2)</t>
  </si>
  <si>
    <t>Preâmbulo; Cláusulas 1-2</t>
  </si>
  <si>
    <t>Finalidade.</t>
  </si>
  <si>
    <t>G0148</t>
  </si>
  <si>
    <t>Não consta no documento. Não há item 4.11 (a Cláusula Quarta contém apenas o item 4.1).</t>
  </si>
  <si>
    <t>G0149</t>
  </si>
  <si>
    <t>Sim: (1) o item 1.4.4 afirma que o contrato 'contempla 25 postos de trabalho', mas a tabela mostra 13 postos e 25 empregados; (2) o 2.2 diz que a redução de jornada mantém inalterado o preço do posto e o 2.3 que a linha de creche = R$ 526,64 × beneficiários potenciais (20% de 25 = 5 → R$ 2.633,20/mês), porém o valor mensal sobe R$ 3.080,92 em relação à Tabela III do Apostilamento (R$ 168.871,24 → R$ 171.952,16) – diferença de R$ 447,72 não explicada; todos os postos aumentaram (inclusive os 12x36 sem redução de jornada); (3) o 7.2 diz que o reembolso produz efeitos 'a partir da data de sua assinatura, em caráter retroativo', fixando efeitos financeiros em 01/09/2026 (anterior à assinatura de 09/09/2026); (4) o 1.4.5 mantém instrução de modelo ('assinale uma das hipóteses'); (5) o 1.1 mantém texto de modelo ('cumulativamente ou isoladamente, conforme assinalado').</t>
  </si>
  <si>
    <t>Itens (3)–(5).</t>
  </si>
  <si>
    <t>Afirmar ausência de inconsistência.</t>
  </si>
  <si>
    <t>Itens 1.1, 1.4.4, 1.4.5, 2.1-2.3, 7.2 (p. 1-4)</t>
  </si>
  <si>
    <t>Itens 1.1, 1.4.4, 1.4.5, 2.1-2.3, 7.2</t>
  </si>
  <si>
    <t>o Contrato nº 19/2025 contempla 25 (vinte e cinco) postos de trabalho</t>
  </si>
  <si>
    <t>Divergências internas e aritméticas (o item 2 exige cotejo com o Apostilamento 01/2026).</t>
  </si>
  <si>
    <t>G0150</t>
  </si>
  <si>
    <t>não consta no documento a data de assinatura de todos os membros da comissão de contratação da UFJ. As datas de geração dos relatórios e de homologação das atas anexas não correspondem a essa assinatura.</t>
  </si>
  <si>
    <t>Não consta no relatório data de assinatura nem identificação ou assinatura dos membros da comissão de contratação.</t>
  </si>
  <si>
    <t>Sim: 25 'postos' × 13 postos/25 empregados; acréscimo mensal (R$ 3.080,92) incompatível com a composição declarada (R$ 2.633,20 de creche + preço de posto inalterado); efeitos 'a partir da assinatura' × efeitos financeiros em 01/09/2026 (antes da assinatura).</t>
  </si>
  <si>
    <t>Postos x empregados; acréscimo não explicado.</t>
  </si>
  <si>
    <t>Itens 1.4.4, 2.1-2.3, 7.2 (p. 1-4)</t>
  </si>
  <si>
    <t>Itens 1.4.4, 2.1-2.3, 7.2</t>
  </si>
  <si>
    <t>G0151</t>
  </si>
  <si>
    <t>Não consta — este relatório não é um documento de comissão de contratação e não possui página de assinaturas; é gerado automaticamente pelo sistema Banco de Preços.</t>
  </si>
  <si>
    <t>NÃO CONSTA. O documento não contém assinaturas — nem de membros de comissão de contratação, nem de agente de contratação, nem do responsável pela pesquisa. A autenticidade é atestada apenas por código de validação eletrônico do Banco de Preços. Eventual assinatura existirá no documento SEI que encaminha ou aprova este relatório, não neste PDF.</t>
  </si>
  <si>
    <t>Essa informação está ausente no documento fornecido.</t>
  </si>
  <si>
    <t>Não consta data de assinatura dos membros da comissão no relatório gerado por sistema eletrônico.</t>
  </si>
  <si>
    <t>Sim: a planilha/memória de cálculo (0631123) é apenas referida; não se demonstra a composição do acréscimo por posto; não se identifica o número de beneficiários reais; ausência do valor atualizado da garantia; indefinição de quais cargos têm hora-homem recomposta (2.2).</t>
  </si>
  <si>
    <t>Memória de cálculo não integrada; composição do acréscimo.</t>
  </si>
  <si>
    <t>Cláusula 2 (p. 2)</t>
  </si>
  <si>
    <t>Cláusula 2</t>
  </si>
  <si>
    <t>G0152</t>
  </si>
  <si>
    <t>'ENTRE SI A A UNIVERSIDADE' (duplicação no título); 'reembolsocreche' sem hífen; texto de modelo não removido (1.1 e 1.4.5); '25 postos' no lugar de 25 empregados.</t>
  </si>
  <si>
    <t>'25 postos'; texto de modelo.</t>
  </si>
  <si>
    <t>Duplicação 'a a'.</t>
  </si>
  <si>
    <t>Título; 1.1; 1.4.4; 1.4.5 (p. 1-2)</t>
  </si>
  <si>
    <t>Título; 1.1; 1.4.4; 1.4.5</t>
  </si>
  <si>
    <t>G0153</t>
  </si>
  <si>
    <t>Sim: memória de cálculo (0631123) e composição do novo preço por posto; nº de empregados/beneficiários; base legal e datas de efeitos (retroatividade); saldo da NE 2026NE000061; ajuste da garantia; enquadramento do Vigilante Supervisor na redução (CBO 5103-10) e não aplicação aos 12x36.</t>
  </si>
  <si>
    <t>Cláusulas 1-4, 7 (p. 1-4)</t>
  </si>
  <si>
    <t>Cláusulas 1-4, 7</t>
  </si>
  <si>
    <t>G0154</t>
  </si>
  <si>
    <t>Documento: Relatório de Cotação EMPRESA PRISMA 2026; identificação no arquivo: 0631080; órgão: UFJ; CNPJ: 35.840.659/0001-30; unidade: Diretoria de Compras e Licitações/Pró-Reitoria de Administração e Finanças; pesquisa: 24/08/2026, 07:41:13–09:00:20; método: média aritmética de três preços selecionados por item, com referências apresentadas como medianas de propostas finais; item 1: 1 m², R$ 4,97; item 2: 1 unidade, R$ 20.231,97; item 3: 1 unidade, R$ 3.463,47; global: R$ 23.700,41; fontes: PNCP e Compras.gov.br; processo da UFJ e total anual: não consta no documento. (PDF, pp. 1–27.)</t>
  </si>
  <si>
    <t>Título: Relatório de Cotação “EMPRESA PRISMA 2026”. Órgão: UFJ/PROAD/Diretoria de Compras e Licitações. Pesquisa: 24/08/2026, das 07h41min13s às 09h00min20s. Método: média aritmética dos preços selecionados. Item 1: serviço de limpeza e conservação, R$ 4,97/unidade. Item 2: materiais sob demanda + BDI, R$ 20.231,97/unidade. Item 3: equipamentos + BDI, R$ 3.463,47/unidade. Valor global do resumo: R$ 23.700,41 para quantidade 1 de cada item.</t>
  </si>
  <si>
    <t>Órgão: UFJ/Diretoria de Compras e Licitações | Identificação interna: "EMPRESA PRISMA 2026" | Base legal: IN 65/2021 e Lei 14.133/2021 | Método: Média Aritmética | Itens: 3 | Valor Global: R$ 23.700,41 | Cotações por item: mínimo 3 (Art. 5º, Inc. I) | Datas: pesquisa em 24/08/2026 | Extensão: 259 páginas (inclui anexos-fonte de cada cotação).</t>
  </si>
  <si>
    <t>Sim: o próprio 2.2 estabelece que a redução de jornada não altera o preço do posto, mas os preços de todos os postos foram alterados; o 2.3 define a linha de creche (5 × R$ 526,64), valor inferior ao acréscimo total.</t>
  </si>
  <si>
    <t>2.2/2.3 x tabela.</t>
  </si>
  <si>
    <t>Cláusulas 2.1-2.3 (p. 2)</t>
  </si>
  <si>
    <t>Órgão: UFJ/MEC – PROAF/Diretoria de Compras e Licitações, CNPJ 35.840.659/0001-30 | Título da cotação: EMPRESA PRISMA 2026 | Período da pesquisa: 24/08/2026, 07:41:13 a 09:00:20 | Geração: 24/08/2026 09:23:33 (detalhado) e 09:25:10 (resumido) | Fundamento: Lei 14.133/2021 e IN SEGES/ME nº 65/2021, art. 5º, inc. I (contratações públicas similares) | Método: média aritmética dos preços obtidos | Quantidade de preços: 3 por item | ITEM 1 – Prestação de serviço de limpeza e conservação, 1 m², preço estimado R$ 4,97/m², preços-fonte R$ 4,98 (IFPB), R$ 4,93 (IFCE) e R$ 5,00 (SSP/SP) | ITEM 2 – Material sob demanda + BDI, 1 unidade, preço estimado R$ 20.231,97, preços-fonte R$ 17.590,22 (São José do Rio Pardo), R$ 20.773,80 e R$ 22.331,88 (ambos Funasa, Pregão 90009/2026) | ITEM 3 – Equipamentos BDI, 1 unidade, preço estimado R$ 3.463,47, preços-fonte R$ 3.712,00 (Darcinópolis/TO), R$ 3.849,40 (Caldas Novas/GO) e R$ 2.829,00 (CMRJ) | Valor Global: R$ 23.700,41 | Participação: Item 2 = 85,4% e Item 3 = 14,6% | Fontes: Compras.gov.br (acesso 24/08/2026 07:55:09) e PNCP (acesso 24/08/2026 07:54:59) | Anexos: Memorial de Cálculo e 4 Termos de Homologação.</t>
  </si>
  <si>
    <t>Cláusulas 2.1-2.3</t>
  </si>
  <si>
    <t>Desconformidade com a regra do próprio aditivo.</t>
  </si>
  <si>
    <t>G0155</t>
  </si>
  <si>
    <t>Órgão: UFJ. Metodologia: Média Aritmética (IN 65/2021). Valor Global Estimado: R$ 23.700,41. Itens Cotados: 1) Limpeza (R$ 4,97/m²), 2) Material/BDI (R$ 20.231,97/un), 3) Equipamentos/BDI (R$ 3.463,47/un).</t>
  </si>
  <si>
    <t>Itens cotados: 1) Prestação de Serviço de limpeza e conservação (R$ 4,97 un); 2) Material Sob Demanda BDI (R$ 20.231,97 un); 3) Equipamentos BDI (R$ 3.463,47 un).</t>
  </si>
  <si>
    <t>Redução 44→40h sem redução salarial; vedação de aumento do intervalo intrajornada e de uso do saldo de horas; beneficiários com filho/enteado/guarda até 5 anos e 11 meses; valor R$ 526,64; incidência 20%; precedência da mãe (art. 18 IN 147); comprovação mensal do desembolso; vedação de apropriação de saldo; registro no Contratos.gov.br; declaração do empregado; relatórios mensais; fiscalização semestral por amostragem; glosa/restituição; ajuste da garantia (5%, 10 dias); LGPD; publicação no PNCP.</t>
  </si>
  <si>
    <t>Cláusulas 1-9 (p. 1-4)</t>
  </si>
  <si>
    <t>Cláusulas 1-9</t>
  </si>
  <si>
    <t>G0156</t>
  </si>
  <si>
    <t>Memória de cálculo integrada; composição do acréscimo; número real de beneficiários; valor da garantia ajustada.</t>
  </si>
  <si>
    <t>G0157</t>
  </si>
  <si>
    <t>Valores centrais: limpeza — referências R$ 4,98, R$ 4,93 e R$ 5,00; média R$ 4,97. Material sob demanda + BDI — R$ 17.590,22, R$ 20.773,80 e R$ 22.331,88; média R$ 20.231,97. Equipamentos BDI — R$ 3.712,00, R$ 3.849,40 e R$ 2.829,00; média R$ 3.463,47. Valor global R$ 23.700,41. Há ainda propostas iniciais, finais, lances e totais nos anexos; a aba Valores do PDF lista as ocorrências monetárias explícitas em R$, com página e trecho, preservando repetições. Esses valores não devem ser somados indiscriminadamente. (PDF, pp. 1–259.)</t>
  </si>
  <si>
    <t>Não há par de comparação definido para este documento; com base exclusivamente nele, não é possível afirmar conflito com outro documento. Para o pesquisador: o cotejo natural é com o Termo de Apostilamento 01/2026 (mesmo contrato): o acréscimo em relação à Tabela III (R$ 3.080,92/mês) excede a linha de reembolso-creche (R$ 2.633,20).</t>
  </si>
  <si>
    <t>Declarar que a comparação exige outro documento.</t>
  </si>
  <si>
    <t>Cotejo com o documento relacionado indicado, se fornecido.</t>
  </si>
  <si>
    <t>Afirmar conflito com documento não fornecido como se constasse do texto.</t>
  </si>
  <si>
    <t>Pergunta comparativa sem par definido.</t>
  </si>
  <si>
    <t>Valores estimados consolidados: R$ 4,97 (item 1), R$ 20.231,97 (item 2), R$ 3.463,47 (item 3) e R$ 23.700,41 (global para uma unidade de cada item). O detalhamento contém também diversos preços de propostas/fontes, incluindo, por exemplo, R$ 4,98, R$ 4,93 e R$ 5,00 para o item 1; os preços de referência de cada fonte estão discriminados nas páginas dos itens.</t>
  </si>
  <si>
    <t>Sem par de comparação definido pelo pesquisador. | Rascunho: conferir no documento original antes de usar como Gold. Viés possível: Claude é ferramenta avaliada.</t>
  </si>
  <si>
    <t>G0158</t>
  </si>
  <si>
    <t>Item 1 (limpeza/conservação): R$ 4,97 — 3 cotações entre R$ 4,93 e R$ 5,00. Item 2 (Material Sob Demanda + BDI): R$ 20.231,97 — 3 cotações entre R$ 17.590,22 e R$ 22.331,88. Item 3 (Equipamentos BDI): R$ 3.463,47 — 3 cotações entre R$ 2.829,00 e R$ 3.849,40. Valor Global do relatório: R$ 23.700,41.</t>
  </si>
  <si>
    <t>ITEM 1 – preço estimado R$ 4,97/m²; preços coletados R$ 4,98; R$ 4,93; R$ 5,00 (propostas individuais variando de R$ 3,60 a R$ 5,05, com propostas iniciais de até R$ 50,00 e R$ 1.000,00). ITEM 2 – preço estimado R$ 20.231,97; preços coletados R$ 17.590,22; R$ 20.773,80; R$ 22.331,88 (propostas vencedoras de R$ 20.722,00 e R$ 22.331,00). ITEM 3 – preço estimado R$ 3.463,47; preços coletados R$ 3.712,00; R$ 3.849,40; R$ 2.829,00 (propostas de R$ 2.728,99 a R$ 2.851,99). VALOR GLOBAL: R$ 23.700,41. Percentuais de composição: Item 2 = 85,4%; Item 3 = 14,6%; Item 1 = 0% (arredondamento). Valores citados nos Termos de Homologação anexos, como R$ 4.112,20, R$ 3.584,17 e R$ 2.570,60, referem-se a licitações de terceiros e não integram a estimativa da UFJ.</t>
  </si>
  <si>
    <t>Não há par de comparação definido para este documento; com base exclusivamente nele, não é possível afirmar conflito com outro documento. Para o pesquisador: frente ao Apostilamento 01/2026 (Tabela III), mudam os valores de todos os 7 postos, o total mensal (R$ 168.871,24 → R$ 171.952,16) e anual (R$ 2.026.454,88 → R$ 2.063.425,92); dotação (NE 2026NE000061 incluída).</t>
  </si>
  <si>
    <t>G0159</t>
  </si>
  <si>
    <t>Valor global: R$ 23.700,41. Valores estimados por item: Item 1 (R$ 4,97), Item 2 (R$ 20.231,97), Item 3 (R$ 3.463,47). O anexo lista dezenas de lances de pregões, variando de centavos (R$ 0,20) a milhares de reais (R$ 775.000,00).</t>
  </si>
  <si>
    <t>Alterados pelo aditivo: jornada do Vigilante Supervisor (44h → 40h); inclusão do reembolso-creche (R$ 526,64/dependente, incidência 20%); valor mensal (R$ 171.952,16) e anual (R$ 2.063.425,92) do contrato; valores por posto; exigência de ajuste da garantia.</t>
  </si>
  <si>
    <t>Jornada; creche; valores.</t>
  </si>
  <si>
    <t>Cláusulas 1-2, 4 (p. 1-2)</t>
  </si>
  <si>
    <t>Cláusulas 1-2, 4</t>
  </si>
  <si>
    <t>R$ 4,97, R$ 20.231,97, R$ 3.463,47 e Valor Global de R$ 23.700,41 (além de diversas propostas de fornecedores listadas no corpo do documento).</t>
  </si>
  <si>
    <t>Alterações expressas.</t>
  </si>
  <si>
    <t>G0160</t>
  </si>
  <si>
    <t>Acréscimo sem composição demonstrada; retroatividade do benefício; erro '25 postos'; comprovação mensal do reembolso sob pena de glosa; vedação de uso do saldo de horas; garantia a ajustar; tratamento de dados de menores (LGPD).</t>
  </si>
  <si>
    <t>Cláusulas 1, 2, 4, 5, 7 (p. 1-4)</t>
  </si>
  <si>
    <t>Cláusulas 1, 2, 4, 5, 7</t>
  </si>
  <si>
    <t>G0161</t>
  </si>
  <si>
    <t>Planilha 0631123; quantidade de beneficiários habilitados; saldo orçamentário; garantia ajustada; conformidade com os parâmetros da IN 147/2026 e IN 190/2024.</t>
  </si>
  <si>
    <t>Cláusulas 2-5 (p. 2-3)</t>
  </si>
  <si>
    <t>Cláusulas 2-5</t>
  </si>
  <si>
    <t>Antes de pagar/atestar.</t>
  </si>
  <si>
    <t>G0162</t>
  </si>
  <si>
    <t>Pagamento a maior (acréscimo não justificado); pagamento de creche sem comprovação; efeitos retroativos questionáveis; descumprimento da vedação de realocação de horas; dano por exposição de dados de dependentes.</t>
  </si>
  <si>
    <t>Diversos (p. 1-4)</t>
  </si>
  <si>
    <t>G0163</t>
  </si>
  <si>
    <t>1) Aditivo 02/2026 ao Contrato 19/2025 (UFJ × RG Segurança e Vigilância). 2) Reduz a jornada do Vigilante Supervisor de 44h para 40h sem redução salarial. 3) Inclui reembolso-creche de R$ 526,64/dependente, com incidência de 20%, pago mediante comprovação. 4) Novo valor: R$ 171.952,16/mês e R$ 2.063.425,92/ano. 5) Efeitos: jornada a partir da assinatura (09/09/2026); creche com efeitos financeiros a partir de 01/09/2026.</t>
  </si>
  <si>
    <t>Objeto; valores; efeitos.</t>
  </si>
  <si>
    <t>O objeto prevê prestação continuada de limpeza, conservação e asseio, com fornecimento de mão de obra, insumos, máquinas e equipamentos necessários à UFJ. O relatório declara a materialização da pesquisa e a indicação do método matemático, citando a IN 65/2021. Nos anexos, há exigências próprias dos certames de referência, como envio de proposta ajustada e documentos; não estão automaticamente estabelecidas como obrigações da contratação da UFJ. (PDF, pp. 2–3 e 259.)</t>
  </si>
  <si>
    <t>G0164</t>
  </si>
  <si>
    <t>O relatório não estabelece obrigações contratuais ou responsabilidades de execução. Registra que a pesquisa foi feita conforme a IN nº 65/2021 e informa o método matemático e as fontes dos preços.</t>
  </si>
  <si>
    <t>O relatório não estabelece obrigações ou responsabilidades contratuais — é apenas um levantamento de preços de mercado (fase de planejamento da contratação). Eventuais obrigações das partes constarão do Termo de Referência/Edital/Contrato, documentos distintos deste relatório, não incluídos no arquivo enviado.</t>
  </si>
  <si>
    <t>O documento NÃO estabelece obrigações ou responsabilidades contratuais — trata-se de peça instrutória da fase preparatória, sem cláusulas, sem partes contratantes e sem eficácia obrigacional. As únicas exigências presentes são de natureza metodológica e decorrem da norma invocada (Lei 14.133/2021 e IN SEGES/ME nº 65/2021, arts. 3º e 5º): materializar a pesquisa em documento; indicar o método matemático aplicado; caracterizar as fontes; apresentar a série de preços. Observe-se que o próprio relatório não cumpre integralmente os incisos II e VI do art. 3º da IN 65/2021 (ver respostas 19 e 22).</t>
  </si>
  <si>
    <t>Alterar o Contrato 19/2025 para reduzir jornada e incluir reembolso-creche.</t>
  </si>
  <si>
    <t>G0165</t>
  </si>
  <si>
    <t>Fornecimento de mão de obra (com dedicação exclusiva), insumos, máquinas e equipamentos necessários para a limpeza e conservação contínua nas dependências da instituição.</t>
  </si>
  <si>
    <t>Realização de pesquisa de preços em conformidade com a IN nº 65/2021 e Lei nº 14.133/2021 para estimativa de custos.</t>
  </si>
  <si>
    <t>1) Novo valor contratual (R$ 171.952,16/mês) e a falta de demonstração do acréscimo. 2) Regras de comprovação/glosa do reembolso-creche. 3) Datas de efeitos (09/09/2026 e 01/09/2026).</t>
  </si>
  <si>
    <t>Cláusulas 2, 5, 7 (p. 2-4)</t>
  </si>
  <si>
    <t>Cláusulas 2, 5, 7</t>
  </si>
  <si>
    <t>G0166</t>
  </si>
  <si>
    <t>Repactuar os valores do Contrato nº 19/2025 (UFJ × RG Segurança e Vigilância Ltda) em razão do reajuste da folha de salários pela CCT 2026/2027 (data-base 01/01/2026; registro MTE GO000996/2025 em 16/12/2025), com valores válidos de 01/01 a 31/03/2026 (R$ 170.873,14/mês) e de 01/04/2026 a 31/03/2027 (R$ 168.871,24/mês).</t>
  </si>
  <si>
    <t>Repactuação do Contrato 19/2025 pela CCT 2026/2027.</t>
  </si>
  <si>
    <t>Dois períodos de valores.</t>
  </si>
  <si>
    <t>Tratar como aditivo de acréscimo de objeto.</t>
  </si>
  <si>
    <t>O objeto do presente instrumento é REPACTUAR os valores do Contrato nº 19/2025</t>
  </si>
  <si>
    <t>G0167</t>
  </si>
  <si>
    <t>Termo de Apostilamento nº 01/2026 ao Contrato nº 19/2025 (SEI nº 0568349). Obs.: o arquivo/cadastro menciona 'nºs 01 e 02/2026', mas o documento contém apenas o Apostilamento 01/2026.</t>
  </si>
  <si>
    <t>Apostilamento 01/2026.</t>
  </si>
  <si>
    <t>Apontar que não há apostilamento 02 no texto.</t>
  </si>
  <si>
    <t>Afirmar existência de Apostilamento 02 no documento.</t>
  </si>
  <si>
    <t>Título (p. 1)</t>
  </si>
  <si>
    <t>Título</t>
  </si>
  <si>
    <t>TERMO DE APOSTILAMENTO Nº 01/2026 AO CONTRATO Nº 19/2025</t>
  </si>
  <si>
    <t>G0168</t>
  </si>
  <si>
    <t>não consta no documento o texto da cláusula/seção 4.1.4.; não é possível explicar seu significado com base no arquivo fornecido.</t>
  </si>
  <si>
    <t>Não consta cláusula ou seção 4.1.4 no relatório.</t>
  </si>
  <si>
    <t>Processo nº 23854.004591/2024-24.</t>
  </si>
  <si>
    <t>Preâmbulo; rodapé (p. 1; 3)</t>
  </si>
  <si>
    <t>1; 3</t>
  </si>
  <si>
    <t>Preâmbulo.</t>
  </si>
  <si>
    <t>Não aplicável — não existe cláusula ou seção "4.1.4" neste documento. Não há numeração de cláusulas nesse relatório (ele não é um contrato/TR/edital).</t>
  </si>
  <si>
    <t>G0169</t>
  </si>
  <si>
    <t>NÃO EXISTE. O documento não possui cláusula, item ou seção 4.1.4 — a numeração em questão não aparece em nenhuma das 259 páginas. A única menção semelhante está em mensagem de chat de licitação de terceiro anexada ao documento (Pregão 90001/2026 – CMRJ), que cita "item 4.1.6 do termo de referência" daquele órgão, sem qualquer relação com a UFJ. A pergunta parece ter sido formulada para outro tipo de documento (Termo de Referência, ETP ou minuta de contrato).</t>
  </si>
  <si>
    <t>Cláusula 4.1.4 ausente no documento fornecido.</t>
  </si>
  <si>
    <t>Assinado em 06/04/2026 (contratada, 16:44) e 07/04/2026 (Reitor, 16:51); sem data no corpo.</t>
  </si>
  <si>
    <t>06 e 07/04/2026.</t>
  </si>
  <si>
    <t>01/01/2026 (data-base) ou 16/12/2025 (registro da CCT).</t>
  </si>
  <si>
    <t>Assinaturas (p. 3)</t>
  </si>
  <si>
    <t>3</t>
  </si>
  <si>
    <t>Datas das assinaturas.</t>
  </si>
  <si>
    <t>G0170</t>
  </si>
  <si>
    <t>Cláusula/seção não aplicável diretamente ao relatório de pesquisa de preços estruturado (trata-se de relatório sistêmico do Banco de Preços).</t>
  </si>
  <si>
    <t>Diretoria de Administração de Contratos (DAC/UFJ).</t>
  </si>
  <si>
    <t>G0171</t>
  </si>
  <si>
    <t>UFJ (Reitor Christiano Peres Coelho) e RG Segurança e Vigilância Ltda (CNPJ 13.019.295/0001-90, representada por Glauco Sebastian Tavares de Oliveira); menção ao MTE (registro da CCT) e ao PNCP.</t>
  </si>
  <si>
    <t>UFJ e RG Segurança.</t>
  </si>
  <si>
    <t>G0172</t>
  </si>
  <si>
    <t>Documentar a pesquisa de preços e apresentar estimativas e referências para subsidiar a contratação de empresa remanescente de limpeza e conservação da UFJ, com método estatístico, fontes e memória de cálculo. (PDF, pp. 1–3 e 21–27.)</t>
  </si>
  <si>
    <t>Documentar a pesquisa de preços e fornecer valores de referência para estimar a contratação de serviços de limpeza, materiais e equipamentos.</t>
  </si>
  <si>
    <t>Não consta no documento. Não há seção 08; o apostilamento tem 4 cláusulas.</t>
  </si>
  <si>
    <t>Subsidiar, na fase interna do planejamento da contratação, a estimativa/valor de referência dos itens pesquisados pela UFJ, conforme art. 3º, inciso V, da IN SEGES/ME nº 65/2021 (Lei nº 14.133/2021), que exige registro do método matemático aplicado na definição do valor estimado.</t>
  </si>
  <si>
    <t>G0173</t>
  </si>
  <si>
    <t>Instruir a fase preparatória da contratação, formando o preço estimado do objeto, nos termos do art. 23 da Lei nº 14.133/2021 e da IN SEGES/ME nº 65/2021. Serve de base para: definição do valor estimado da contratação, juízo de adequação orçamentária, aferição de exequibilidade e de sobrepreço das propostas, e eventual negociação. É documento obrigatório de instrução do processo de contratação.</t>
  </si>
  <si>
    <t>Materializar e formalizar a pesquisa de preços de mercado para compor o valor estimado de uma futura contratação pública, cumprindo as exigências da Instrução Normativa Nº 65/2021 e da Lei nº 14.133.</t>
  </si>
  <si>
    <t>Materializar a pesquisa de preços para fins de instrução de procedimento licitatório ou contratação direta.</t>
  </si>
  <si>
    <t>A pergunta não indica qual informação é solicitada; a resposta adequada aponta a indeterminação ou apresenta o mapa do documento: Cl. 1 Objeto (1.1 fundamento; 1.2.1 Tabelas I – contrato original, II – 01/01 a 31/03/2026, III – 01/04/2026 a 31/03/2027; 1.3 novos valores mensais); Cl. 2 Dotação; Cl. 3 Ratificação; Cl. 4 Publicação.</t>
  </si>
  <si>
    <t>Estrutura (p. 1-3)</t>
  </si>
  <si>
    <t>G0174</t>
  </si>
  <si>
    <t>O documento não trata de objeto licitado. Valores anuais apresentados: Tabela I (original) R$ 1.926.370,44; Tabela II R$ 2.050.477,68 (anualizado, embora válida só por 3 meses); Tabela III R$ 2.026.454,88.</t>
  </si>
  <si>
    <t>Informar os valores anuais das tabelas e que não há 'valor do objeto licitado'.</t>
  </si>
  <si>
    <t>Indicar um único valor como 'valor do objeto licitado'.</t>
  </si>
  <si>
    <t>Tabelas I-III (p. 1-2)</t>
  </si>
  <si>
    <t>Tabelas I-III</t>
  </si>
  <si>
    <t>Valores do documento.</t>
  </si>
  <si>
    <t>G0175</t>
  </si>
  <si>
    <t>não consta no documento o texto da seção 4.11; não é possível identificar a consequência solicitada.</t>
  </si>
  <si>
    <t>Não consta item ou seção 4.11 no relatório.</t>
  </si>
  <si>
    <t>Não consta no documento. Não há comissão; assinam o representante da contratada (06/04/2026) e o Reitor (07/04/2026).</t>
  </si>
  <si>
    <t>G0176</t>
  </si>
  <si>
    <t>Não aplicável — não existe item "4.11" neste documento.</t>
  </si>
  <si>
    <t>NÃO EXISTE. O documento não possui item, cláusula ou seção 4.11, de modo que não há consequência a ser extraída. As ocorrências da sequência "4.11" no arquivo correspondem apenas a fragmentos de valores monetários de licitações anexas (ex.: R$ 4.112,2000). A pergunta parece ter sido formulada para outro documento.</t>
  </si>
  <si>
    <t>Cláusula 4.11 ausente no documento fornecido.</t>
  </si>
  <si>
    <t>Apostilamento 01/2026 | Contrato 19/2025 | Processo 23854.004591/2024-24 | SEI 0568349 | Partes: UFJ × RG Segurança e Vigilância | Fundamento: CCT 2026/2027, data-base 01/01/2026, registro MTE GO000996/2025 (16/12/2025) | 7 itens, 13 postos, 25 empregados | Valor mensal original R$ 160.530,87 → R$ 170.873,14 (01/01-31/03/2026) → R$ 168.871,24 (01/04/2026-31/03/2027, redução do aviso prévio de 1,94% para 0,194% com a prorrogação) | Dotação ND 339037, PI M20RKQ01VON | Assinaturas 06 e 07/04/2026.</t>
  </si>
  <si>
    <t>Contrato; fundamento; valores por período.</t>
  </si>
  <si>
    <t>Documento integral (p. 1-3)</t>
  </si>
  <si>
    <t>G0177</t>
  </si>
  <si>
    <t>Item não aplicável ou não especificado na estrutura do relatório.</t>
  </si>
  <si>
    <t>Tabela I (original): mensal R$ 160.530,87; anual R$ 1.926.370,44 (postos de R$ 7.123,73 a R$ 14.060,08). Tabela II: mensal R$ 170.873,14; 'total' R$ 2.050.477,68 (postos de R$ 7.595,60 a R$ 14.939,84). Tabela III: mensal R$ 168.871,24; anual R$ 2.026.454,88 (postos de R$ 7.506,74 a R$ 14.768,36). Percentuais de aviso prévio 1,94% e 0,194%.</t>
  </si>
  <si>
    <t>Totais das 3 tabelas.</t>
  </si>
  <si>
    <t>Tabelas I-III; item 1.3 (p. 1-2)</t>
  </si>
  <si>
    <t>Tabelas I-III; item 1.3</t>
  </si>
  <si>
    <t>G0178</t>
  </si>
  <si>
    <t>Contratante: divulgar o apostilamento no PNCP e no sítio oficial (4.1); pagar conforme medição (valores são estimativas máximas – 1.3.2). Mantidas as demais obrigações do contrato original (3.1).</t>
  </si>
  <si>
    <t>Publicação no PNCP; ratificação.</t>
  </si>
  <si>
    <t>Itens 1.3.2, 3.1, 4.1 (p. 2-3)</t>
  </si>
  <si>
    <t>Itens 1.3.2, 3.1, 4.1</t>
  </si>
  <si>
    <t>G0179</t>
  </si>
  <si>
    <t>Não consta no documento. Não há item 4.1.4.</t>
  </si>
  <si>
    <t>G0180</t>
  </si>
  <si>
    <t>Registrar por apostila a repactuação dos preços decorrente da nova CCT, sem necessidade de termo aditivo, preservando o equilíbrio econômico-financeiro.</t>
  </si>
  <si>
    <t>Registro da repactuação.</t>
  </si>
  <si>
    <t>Cláusula 1 (p. 1)</t>
  </si>
  <si>
    <t>Cláusula 1</t>
  </si>
  <si>
    <t>G0181</t>
  </si>
  <si>
    <t>Sim, há aparentes inconsistências de apresentação a verificar: o critério de preço excessivo é descrito como superior a 30% da média, mas todas as referências são marcadas VÁLIDO; o mapa associa a ROSCH R$ 5,00 e à BRASIDAS R$ 2.829,00, embora suas propostas finais sejam R$ 3,70 e R$ 2.728,99. O memorial mostra que R$ 5,00 e R$ 2.829,00 são medianas, portanto não há erro aritmético demonstrado nessas diferenças. (PDF, pp. 4, 19 e 21–27.)</t>
  </si>
  <si>
    <t>Não foi identificada divergência aritmética evidente nos três valores estimados e no valor global. O resumo e o relatório detalhado registram horários de geração diferentes (09h25min10s e 09h23min33s) e códigos de validação distintos; convém confirmar qual versão deve instruir o processo.</t>
  </si>
  <si>
    <t>Sim, pelo menos duas: (a) no Item 3 ("Equipamentos BDI"), a 3ª cotação usada tem como Objeto "Aquisição de materiais esportivos" — sem relação aparente com equipamentos de limpeza; (b) a descrição do próprio Item 3 aparece cortada no sistema: "(como lavadoras de alta pressão, aspiradores profissionais etc" — sem fechamento da frase/parênteses.</t>
  </si>
  <si>
    <t>Não consta no documento. Não há item 4.11.</t>
  </si>
  <si>
    <t>G0182</t>
  </si>
  <si>
    <t>SIM. Principais inconsistências: (a) o Item 2 apresenta 3 preços, mas 2 deles vêm do MESMO pregão (Funasa, Pregão 90009/2026, UASG 255000, itens 11 e 12) e têm o MESMO fornecedor vencedor (CNPJ 51.722.124/0001-11), reduzindo a cesta a apenas 2 fontes efetivamente independentes; (b) ainda no Item 2, o primeiro preço (R$ 17.590,22) refere-se a "custos variáveis mensais" com unidade MÊS, enquanto os outros dois se referem a "Conjunto para limpeza" com unidade UNIDADE — grandezas distintas sendo somadas e promediadas; (c) o Item 3 usa como terceiro preço uma enceradeira adquirida em pregão cujo objeto é "Aquisição de materiais esportivos" (CMRJ); (d) o Item 1 mistura preços de áreas internas (IFPB/IFCE) com preço de áreas externas, 12 horas diurnas (SSP/SP); (e) na página resumo, a legenda do gráfico lista os itens em ordem distinta (1-Material, 2-Equipamentos, 3-Prestação) da ordem da tabela (1-Prestação, 2-Material, 3-Equipamentos); (f) o Termo de Homologação do Pregão 90009/2026 (Funasa) está anexado DUAS VEZES, integralmente, com 89 páginas cada.</t>
  </si>
  <si>
    <t>Aparentemente não no cálculo principal, pois segue o saneamento estatístico da IN 65/2021. Porém, nota-se imensa discrepância nas licitações de referência, onde fornecedores deram lances irrisórios (R$ 0,20) ou absurdos (R$ 280.000,00) para o mesmo metro quadrado.</t>
  </si>
  <si>
    <t>Não foram identificadas inconsistências aparentes nos cálculos apresentados, baseados na média aritmética/mediana conforme metodologia do STJ e IN 65/2021.</t>
  </si>
  <si>
    <t>Sim: (1) a Tabela II é válida só de 01/01 a 31/03/2026, mas sua coluna 'Valor total' anualiza (×12) os valores (total R$ 2.050.477,68); (2) a Cláusula 2.1 fala em 'presente termo aditivo', embora o instrumento seja apostilamento; (3) o título do cadastro cita 'nºs 01 e 02/2026', mas só há o 01; (4) numeração 1.2.1 sem item 1.2; (5) a redução de 1,94% para 0,194% é atribuída à 'prorrogação do contrato', sem indicação do termo de prorrogação.</t>
  </si>
  <si>
    <t>Tabela II; itens 1.2.1, 1.3.2, 2.1 (p. 1-3)</t>
  </si>
  <si>
    <t>Tabela II; itens 1.2.1, 1.3.2, 2.1</t>
  </si>
  <si>
    <t>G0183</t>
  </si>
  <si>
    <t>Sim: 'R$ 358.556.16' (ponto no lugar da vírgula, Tabela II item 4) e 'R$ 168,871,24' (Tabela III total); Tabela II anualizada para período de 3 meses. Os somatórios conferem (R$ 160.530,87; R$ 170.873,14; R$ 168.871,24).</t>
  </si>
  <si>
    <t>Erros de formatação; anualização da Tabela II.</t>
  </si>
  <si>
    <t>Confirmação dos totais.</t>
  </si>
  <si>
    <t>Tabelas II e III (p. 2)</t>
  </si>
  <si>
    <t>Tabelas II e III</t>
  </si>
  <si>
    <t>Checagem aritmética.</t>
  </si>
  <si>
    <t>G0184</t>
  </si>
  <si>
    <t>Há aparente incompatibilidade de bases: o item 2 reúne custos variáveis mensais, em MÊS, com conjuntos de limpeza em Unidade; o item 3 reúne lavadora/secadora de pisos e enceradeiras; o item 1 reúne serviços com condições distintas de áreas e produtividade. A soma global combina 1 m² e duas unidades sem demonstrar anualização. As médias dos três itens e a soma R$ 23.700,41 são aritmeticamente coerentes após arredondamento. (PDF, pp. 1, 3–4, 9–10 e 18–22.)</t>
  </si>
  <si>
    <t>Sim: planilhas de custos da repactuação e memória de cálculo não integradas; pedido da contratada e data do pedido; percentual de reajuste da CCT; termo de prorrogação que justificaria a redução do aviso prévio; nota de empenho.</t>
  </si>
  <si>
    <t>Planilha/memória de cálculo.</t>
  </si>
  <si>
    <t>G0185</t>
  </si>
  <si>
    <t>Não há incompatibilidade numérica demonstrada entre os preços estimados e o total de R$ 23.700,41, que corresponde à soma dos três itens para quantidade 1. O total não equivale ao valor anual do objeto; as quantidades anuais aparecem no mapa comparativo relacionado, não neste relatório. As duas partes do relatório têm horários e códigos de validação diferentes.</t>
  </si>
  <si>
    <t>A coluna "Percentual" aparece vazia ("-") nos 3 itens, enquanto a coluna "% Valor Global" está preenchida (0%; 85,4%; 14,6%) — possível campo não utilizado no cadastro. Não foram encontradas inconsistências aritméticas: a soma dos 3 itens (R$ 4,97 + R$ 20.231,97 + R$ 3.463,47) confere exatamente com o Valor Global informado (R$ 23.700,41).</t>
  </si>
  <si>
    <t>SIM. (a) Quantidade de 1 (uma) unidade/metro quadrado para todos os itens — não reflete a demanda real da UFJ, o que torna o Valor Global de R$ 23.700,41 uma soma de preços unitários heterogêneos, sem significado econômico; (b) mistura de unidades no Item 2 (MÊS x UNIDADE); (c) propostas iniciais discrepantes na série do Item 1 — R$ 50,00 e R$ 1.000,00 para item cujo valor final é de cerca de R$ 5,00 — sem qualquer justificativa de desconsideração; (d) no 3º preço do Item 1, adotou-se a mediana das propostas finais (R$ 5,00) enquanto o valor do vencedor foi de R$ 3,70, diferença de aproximadamente 35%; (e) os dois relatórios (resumido e detalhado) têm horários de geração diferentes (09:25:10 e 09:23:33) e códigos de validação distintos, embora apresentem os mesmos dados; (f) o Item 1 aparece com participação de 0% no Valor Global, o que é efeito da quantidade fictícia 1.</t>
  </si>
  <si>
    <t>'358.556.16'; '168,871,24'; 'termo aditivo' em apostilamento; '2012..' (ponto duplo na Cl. 4.1); 1.2.1 sem 1.2.</t>
  </si>
  <si>
    <t>Erros de formatação de valores.</t>
  </si>
  <si>
    <t>Tabelas; Cl. 2.1; Cl. 4.1 (p. 2-3)</t>
  </si>
  <si>
    <t>Tabelas; Cl. 2.1; Cl. 4.1</t>
  </si>
  <si>
    <t>G0186</t>
  </si>
  <si>
    <t>Sim, nas transcrições dos pregões de referência, há empresas desclassificadas por apresentarem propostas com preços inexequíveis (ex: R$ 0,20) ou excessivamente altos (R$ 1.000,00 por m²).</t>
  </si>
  <si>
    <t>Não detectadas incompatibilidades evidentes entre valores e datas informadas.</t>
  </si>
  <si>
    <t>Sim: registro e vigência da CCT (GO000996/2025); planilhas de custos da repactuação; valores de cada período; prorrogação que fundamenta o 0,194%; retroatividade a 01/01/2026 e pagamento de diferenças; dotação.</t>
  </si>
  <si>
    <t>Itens 1.1-1.3; Cl. 2 (p. 1-2)</t>
  </si>
  <si>
    <t>Itens 1.1-1.3; Cl. 2</t>
  </si>
  <si>
    <t>G0187</t>
  </si>
  <si>
    <t>Possível: o 1.3.2 condiciona os valores à medição ('estimativas máximas'), mas não há regra de medição no instrumento; a Cl. 2.1 trata o ato como 'termo aditivo'. Não há outra desconformidade evidente.</t>
  </si>
  <si>
    <t>Itens 1.3.2, 2.1 (p. 2)</t>
  </si>
  <si>
    <t>Itens 1.3.2, 2.1</t>
  </si>
  <si>
    <t>Análise interna.</t>
  </si>
  <si>
    <t>G0188</t>
  </si>
  <si>
    <t>Repactuação com base na CCT 2026/2027 (data-base 01/01/2026); valores por período; redução do aviso prévio a 0,194% após prorrogação; dotação; ratificação das demais cláusulas; publicação no PNCP e sítio oficial (art. 94 e 91 da Lei 14.133; LAI).</t>
  </si>
  <si>
    <t>Cláusulas 1-4 (p. 1-3)</t>
  </si>
  <si>
    <t>Cláusulas 1-4</t>
  </si>
  <si>
    <t>G0189</t>
  </si>
  <si>
    <t>Planilhas; pedido; percentual de reajuste; termo de prorrogação; NE.</t>
  </si>
  <si>
    <t>G0190</t>
  </si>
  <si>
    <t>Sim. No relatório da UFJ, não consta no documento: número de seu processo, identificação e assinatura da equipe responsável, valor anual, dimensionamento total da área e do período de execução, composição/taxa do BDI e justificativa explícita da equivalência das referências heterogêneas. São ausências no arquivo, sem conclusão de que estejam ausentes de todo o processo.</t>
  </si>
  <si>
    <t>Não constam neste relatório o número do processo SEI, a quantidade anual prevista de cada item, o valor anual da contratação, a data de assinatura dos responsáveis ou da comissão e uma identificação formal numerada do documento.</t>
  </si>
  <si>
    <t>Não há par de comparação definido para este documento; com base exclusivamente nele, não é possível afirmar conflito com outro documento. Para o pesquisador: o cotejo natural é com o Termo Aditivo 02/2026 (mesmo contrato), cujo valor mensal (R$ 171.952,16) parte do valor da Tabela III (R$ 168.871,24).</t>
  </si>
  <si>
    <t>G0191</t>
  </si>
  <si>
    <t>Sim: não há número de processo/protocolo da UFJ vinculado; não há identificação do servidor responsável pela pesquisa (só consta o IP da estação); não há data de validade da pesquisa; e o relatório resumido não detalha se houve exclusão de preços inexequíveis/atípicos, conforme exige a metodologia da IN 65/2021.</t>
  </si>
  <si>
    <t>SIM. Ausentes: identificação do agente ou da equipe responsável pela pesquisa (IN 65/2021, art. 3º, II); justificativas para a metodologia adotada e para a desconsideração de valores inexequíveis, inconsistentes ou excessivamente elevados (art. 3º, VI); número do processo administrativo da UFJ; quantitativos reais do objeto (área em m², nº de postos, quantidade de materiais e equipamentos); memória de cálculo do BDI, embora dois dos três itens o mencionem no título; prazo de vigência e data-base dos preços; valor mensal e valor total anual estimados; assinatura e data de aprovação; e análise crítica sobre a compatibilidade dos paradigmas com o objeto da UFJ.</t>
  </si>
  <si>
    <t>O próprio documento compara três situações: Tabela I (contrato original, R$ 160.530,87/mês) × Tabela II (CCT 2026/2027, 01/01-31/03/2026, R$ 170.873,14/mês) × Tabela III (a partir de 01/04/2026, R$ 168.871,24/mês, com aviso prévio reduzido). Comparação com outros documentos não tem par definido.</t>
  </si>
  <si>
    <t>Diferenças entre as tabelas.</t>
  </si>
  <si>
    <t>Comparação interna.</t>
  </si>
  <si>
    <t>Sim. Faltam as assinaturas do servidor responsável pela pesquisa e a indicação explícita do Termo de Referência ou número do processo administrativo da UFJ no relatório principal.</t>
  </si>
  <si>
    <t>Sem par externo definido. | Rascunho: conferir no documento original antes de usar como Gold. Viés possível: Claude é ferramenta avaliada.</t>
  </si>
  <si>
    <t>G0192</t>
  </si>
  <si>
    <t>Algumas descrições de fabricantes e marcas constam como 'não informado', padrão para relatórios de cotação pública.</t>
  </si>
  <si>
    <t>Alterados os valores por posto e totais do Contrato 19/2025: mensal de R$ 160.530,87 para R$ 170.873,14 (01/01-31/03/2026) e R$ 168.871,24 (01/04/2026-31/03/2027); anual de R$ 1.926.370,44 para R$ 2.050.477,68 (anualizado) e R$ 2.026.454,88.</t>
  </si>
  <si>
    <t>Valores repactuados.</t>
  </si>
  <si>
    <t>Tabelas; item 1.3 (p. 1-2)</t>
  </si>
  <si>
    <t>Tabelas; item 1.3</t>
  </si>
  <si>
    <t>Alterações.</t>
  </si>
  <si>
    <t>G0193</t>
  </si>
  <si>
    <t>Retroatividade a 01/01/2026 (pagamento de diferenças); apostila chamada de 'termo aditivo'; ausência de memória de cálculo; valores 'estimados máximos'; redução do aviso prévio vinculada a prorrogação não identificada; erros de digitação em valores.</t>
  </si>
  <si>
    <t>Diversos (p. 1-3)</t>
  </si>
  <si>
    <t>G0194</t>
  </si>
  <si>
    <t>Planilhas e CCT; prorrogação; cálculo das diferenças retroativas; disponibilidade orçamentária.</t>
  </si>
  <si>
    <t>Cláusulas 1-2 (p. 1-2)</t>
  </si>
  <si>
    <t>Cláusulas 1-2</t>
  </si>
  <si>
    <t>Antes de pagar.</t>
  </si>
  <si>
    <t>G0195</t>
  </si>
  <si>
    <t>Possíveis erros materiais: redação do limite de preços excessivos como superiores a 30% da média, a esclarecer; descrição do item 3 iniciada por parêntese e sem fechamento, '(como lavadoras de alta pressão, aspiradores profissionais etc'; uso do código 25194 nos três itens, inclusive materiais e equipamentos, a conferir. A associação de medianas a fornecedores vencedores no mapa também merece ajuste de identificação. Não foi constatado erro nas médias finais ou na soma global. (PDF, pp. 18 e 21–22.)</t>
  </si>
  <si>
    <t>Não é possível confirmar erro material apenas com o relatório. Recomenda-se conferir a divergência de horário/código de validação entre o resumo e o relatório detalhado e confirmar a vinculação do arquivo ao processo correto.</t>
  </si>
  <si>
    <t>Pagamento incorreto de diferenças retroativas; valores divergentes por erro de digitação; repactuação sem comprovação adequada.</t>
  </si>
  <si>
    <t>Diversos (p. 1-2)</t>
  </si>
  <si>
    <t>G0196</t>
  </si>
  <si>
    <t>A descrição do Item 3 está truncada ("...aspiradores profissionais etc" sem fechar a frase), sugerindo erro de digitação/corte no cadastro do item no sistema Banco de Preços.</t>
  </si>
  <si>
    <t>(a) Descrição do Item 1 truncada, encerrando com "...Universidade Federal de Jataí (UFJ),"; (b) descrição do Item 3 truncada e iniciada por parêntese sem abertura de frase: "(como lavadoras de alta pressão, aspiradores profissionais etc"; (c) descrição do Item 2 lançada de forma informal e com erro de grafia: "Materiais pra limpeza"; (d) erro de grafia "Multifunçional" na descrição CatMat reproduzida; (e) coluna "Observação" em branco nos três itens; (f) inversão da ordem dos itens na legenda do gráfico da página resumo; (g) duplicação integral de 89 páginas do Termo de Homologação do Pregão 90009/2026; (h) o título da cotação identifica uma empresa ("EMPRESA PRISMA 2026"), o que é impróprio para uma pesquisa de preços que deve ser referenciada ao objeto e ao processo.</t>
  </si>
  <si>
    <t>Não foram identificados erros matemáticos nos cálculos do relatório, já que as médias e medianas estão detalhadamente justificadas no "Memorial de Cálculo" e mapas comparativos.</t>
  </si>
  <si>
    <t>1) Apostilamento 01/2026 ao Contrato 19/2025 (UFJ × RG Segurança e Vigilância). 2) Repactua os preços pela CCT 2026/2027 (data-base 01/01/2026). 3) De 01/01 a 31/03/2026: R$ 170.873,14/mês. 4) De 01/04/2026 a 31/03/2027: R$ 168.871,24/mês, com aviso prévio reduzido para 0,194%. 5) Dotação ND 339037; demais cláusulas ratificadas.</t>
  </si>
  <si>
    <t>Nenhum erro material evidente identificado na compilação do relatório.</t>
  </si>
  <si>
    <t>G0197</t>
  </si>
  <si>
    <t>Registrar a repactuação dos preços do Contrato 19/2025.</t>
  </si>
  <si>
    <t>Cl. 1.1 (p. 1)</t>
  </si>
  <si>
    <t>Cl. 1.1</t>
  </si>
  <si>
    <t>G0198</t>
  </si>
  <si>
    <t>1) Valores por período (R$ 170.873,14 e R$ 168.871,24). 2) Fundamento na CCT 2026/2027 (GO000996/2025). 3) Redução do aviso prévio (1,94% → 0,194%).</t>
  </si>
  <si>
    <t>Cl. 1 (p. 1-2)</t>
  </si>
  <si>
    <t>Cl. 1</t>
  </si>
  <si>
    <t>G0661</t>
  </si>
  <si>
    <t>P34</t>
  </si>
  <si>
    <t>Sim. Verificar a equivalência de objetos, unidades, periodicidades, áreas e produtividades; distinguir mediana de propostas finais do preço efetivamente vencedor; conferir o critério de 30%, o código 25194, a composição do BDI, o dimensionamento da UFJ e a vinculação ao seu processo. As referências e os cálculos constam nas pp. 3–27.</t>
  </si>
  <si>
    <t>Sim. Confirmar a autenticidade/versão pelo código de validação, a vinculação ao processo, a comparabilidade das fontes com o objeto, os valores médios selecionados e a aplicação das quantidades corretas para chegar ao valor anual.</t>
  </si>
  <si>
    <t>Sim: (a) confirmar se a cotação do Item 3 originada de "Aquisição de materiais esportivos" é de fato comparável ao equipamento pretendido; (b) confirmar se a cotação 1 do Item 2 (oriunda de contrato de manutenção de velório/cemitério) é um parâmetro válido; (c) confirmar se houve exclusão de preços inexequíveis conforme a IN 65/2021 antes de aceitar a média; (d) validar o Valor Global antes de usá-lo como estimativa oficial.</t>
  </si>
  <si>
    <t>SIM. Devem ser verificados por servidor antes do uso: a compatibilidade de cada preço-fonte com o objeto efetivamente pretendido pela UFJ (especialmente o Item 3, oriundo de pregão de materiais esportivos, e o Item 1, que mistura áreas internas e externas); a independência das fontes do Item 2 (dois preços do mesmo pregão e do mesmo fornecedor); a validade e a vigência dos links do PNCP e do Compras.gov.br; a aderência dos quantitativos reais, já que a planilha usa quantidade 1; a composição e o percentual de BDI, não demonstrados; a suficiência da fundamentação exclusivamente no inciso I do art. 5º da IN 65/2021; e a inclusão, no processo, da identificação e da assinatura do agente responsável pela pesquisa.</t>
  </si>
  <si>
    <t>Objeto: 17 itens (15 postos DEMO – Operador de Máquina Agrícola 5, Trabalhador Volante 2, Vaqueiro 4, Trabalhador Agropecuário 4, Jardineiro 8, Administrativo de Obras 5, Encarregado de Obras 1, Eletricista 4, Assistente Técnico N. II 1, Pedreiro 2, Pintor 1, Marceneiro 1, Técnico de Refrigeração 1, Encanador 1, Piscineiro 1 –, mais materiais e serviços sob demanda com BDI). Serviço comum (1.2) e continuado (1.3). Vigência de 12 meses, até 10 anos (1.4). Requisitos: sustentabilidade (4.1); marca Stihl para óleo 2T (4.2); subcontratação de até 5% (C e D); garantia de 5%; vistoria. Execução: início em 5 dias úteis; Campi Jatobá e Riachuelo; 06h-22h, 44h semanais (40h para Jardineiro e Administrativo de Obras); atribuições e qualificações por cargo (ex.: operadores com habilitação; eletricista com qualificação profissionalizante; assistente técnico em edificações); materiais por OFM com SINAPI-GO e BDI e estoque mínimo; serviços eventuais por OS com profissionais distintos dos postos; uniformes/EPIs; laudos de insalubridade/periculosidade.</t>
  </si>
  <si>
    <t>Itens/postos; natureza; vigência; requisitos de execução (jornada, locais, materiais/serviços).</t>
  </si>
  <si>
    <t>Qualificações por cargo e requisitos de sustentabilidade.</t>
  </si>
  <si>
    <t>Incluir requisitos do Contrato ausentes no TR.</t>
  </si>
  <si>
    <t>Seções 1, 4 e 5 (p. 1-24)</t>
  </si>
  <si>
    <t>1-24</t>
  </si>
  <si>
    <t>Sim. Deve-se verificar se os itens paradigmas encontrados no Banco de Preços (as contratações de outros órgãos) possuem quantitativos, convenções coletivas e exigências técnicas idênticas ao Termo de Referência da UFJ.</t>
  </si>
  <si>
    <t>Seções 1, 4 e 5</t>
  </si>
  <si>
    <t>Requisitos e especificações do objeto.</t>
  </si>
  <si>
    <t>G0662</t>
  </si>
  <si>
    <t>P35</t>
  </si>
  <si>
    <t>Sim, o servidor deve verificar a validade das atas e a compatibilidade das especificações dos itens com o Termo de Referência da unidade.</t>
  </si>
  <si>
    <t>Alternativas consideradas: (a) execução direta por servidores, afastada porque os cargos não existem no plano de carreira da UFJ (2.2); (b) aquisição de materiais por licitações próprias/SRP, afastada pelo custo administrativo e pelos itens desertos ou fracassados (4.3.2); (c) parcelamento com múltiplos fornecedores, afastado pelo risco operacional e pela ociosidade das equipes sem insumos (4.1 e 9); (d) postos avulsos ou prestação eventual, considerada inviável dado o grau de responsabilidade das funções (8.10). Solução escolhida: contrato único de terceirização com DEMO (41 postos), com fornecimento de materiais e serviços sob demanda (SINAPI + BDI), em lote único com 4 grupos, substituindo os Contratos 22/2023 e 06/2025. Motivos: economicidade, continuidade, redução de licitações, pronta disponibilidade de insumos e gestão centralizada (5.2, 9, 12). Observação: o levantamento de mercado (item 5) não compara alternativas de forma estruturada, e o 5.5 está vazio.</t>
  </si>
  <si>
    <t>Solução escolhida (DEMO + materiais/serviços sob demanda, lote único) e motivos; alternativas afastadas.</t>
  </si>
  <si>
    <t>Apontar a fragilidade do item 5.</t>
  </si>
  <si>
    <t>Afirmar comparação formal de alternativas inexistente.</t>
  </si>
  <si>
    <t>Itens 2.2, 4.1, 4.3.2, 5, 8.10, 9, 12 (p. 1-5; 12-15)</t>
  </si>
  <si>
    <t>1-5; 12-15</t>
  </si>
  <si>
    <t>Itens 2.2, 4.1, 4.3.2, 5, 8.10, 9, 12</t>
  </si>
  <si>
    <t>Alternativas e escolha extraídas do texto.</t>
  </si>
  <si>
    <t>G0663</t>
  </si>
  <si>
    <t>P36</t>
  </si>
  <si>
    <t>Habilitação (edital 8 + TR 9.5-9.36): jurídica (atos constitutivos conforme o tipo societário); fiscal, social e trabalhista (CNPJ, certidão conjunta RFB/PGFN, FGTS, CNDT, inscrição e regularidade municipal/distrital); econômico-financeira (certidão de falência; balanço dos 2 últimos exercícios com LG, LC e SG &gt; 1; CCL ≥ 16,66% e PL ≥ 10% do valor anual; declaração de compromissos com DRE); técnica (declaração de conhecimento do local/vistoria; atestados de 3 anos em DEMO; ≥ 20 postos; parcelas relevantes: 10 postos rurais/áreas verdes, 2 administrativos, 3 de construção/manutenção); declarações de reserva de cargos e de custos trabalhistas; documentos sindicais (7.27-7.31); verificação via SICAF; prazo mínimo de 2 horas para documentos complementares. Julgamento: menor preço global por grupo (grupo único de 17 itens, lances por valor unitário), modo aberto e fechado, sem tratamento favorecido a ME/EPP; aceitabilidade: preço máximo do TR, custos mínimos relevantes (salários, auxílio-alimentação e benefícios da CCT), exequibilidade (indício abaixo de 50% do orçado), readequação em 2 horas; desempate pelo art. 60 da Lei 14.133.</t>
  </si>
  <si>
    <t>Grupos de habilitação com índices e atestados; critério menor preço global por grupo; aberto e fechado.</t>
  </si>
  <si>
    <t>Aceitabilidade e desempate.</t>
  </si>
  <si>
    <t>Critério técnica e preço ou maior desconto.</t>
  </si>
  <si>
    <t>Quadro-resumo; itens 6-8; TR 9 (p. 1; 5-10; TR 41-47)</t>
  </si>
  <si>
    <t>1; 5-10; TR 41-47</t>
  </si>
  <si>
    <t>Quadro-resumo; itens 6-8; TR 9</t>
  </si>
  <si>
    <t>Condições de habilitação e julgamento.</t>
  </si>
  <si>
    <t>G0664</t>
  </si>
  <si>
    <t>P37</t>
  </si>
  <si>
    <t>Vigência: 12 meses contados da assinatura (26/06/2026), prorrogável sucessivamente por até 10 anos (arts. 106-107 da Lei 14.133), condicionada à vantajosidade e a requisitos (2.2), sem direito subjetivo à prorrogação. Valor: até R$ 279.403,18/mês e R$ 3.352.838,16/ano (valores máximos; pagamento conforme o efetivamente executado – 5.3). Principais obrigações: contratante – exigir o cumprimento, receber, fiscalizar, pagar, aplicar sanções, não praticar ingerência (art. 48), decidir requerimentos em 30 dias, verificar pendências antes da ordem de serviço; contratado – executar conforme o TR, atender à fiscalização, reparar vícios, responder por danos, cumprir obrigações trabalhistas e previdenciárias e a CCT, manter a habilitação, fornecer materiais, EPIs e uniformes, manter preposto, pagar salários em conta na região, autorizar pagamento direto e retenções, planejar férias, combater assédio, sair do Simples Nacional, reservar 8% das vagas e manter capital social compatível.</t>
  </si>
  <si>
    <t>Vigência 12 meses/até 10 anos; R$ 3.352.838,16; obrigações de ambas as partes.</t>
  </si>
  <si>
    <t>Detalhes de prorrogação e ingerência.</t>
  </si>
  <si>
    <t>Valor do edital (R$ 3.663.619,80).</t>
  </si>
  <si>
    <t>Cláusulas 2, 5, 8 e 9 (p. 2-9)</t>
  </si>
  <si>
    <t>2-9</t>
  </si>
  <si>
    <t>Cláusulas 2, 5, 8 e 9</t>
  </si>
  <si>
    <t>Dados explícitos.</t>
  </si>
  <si>
    <t>G0665</t>
  </si>
  <si>
    <t>P38</t>
  </si>
  <si>
    <t>Há indício de desconformidade interna na redação do critério de preços excessivos: a leitura literal de superiores a 30% da média é incompatível com a classificação VÁLIDO de todas as cotações. O limite efetivamente pretendido não está esclarecido. A média aritmética declarada é compatível com os três preços selecionados em cada item; o uso de medianas para formar esses preços está demonstrado no memorial. (PDF, pp. 21–27.)</t>
  </si>
  <si>
    <t>O relatório declara conformidade com a IN nº 65/2021 e informa a média aritmética e as fontes consultadas. Não foi identificada, apenas pelo texto, desconformidade inequívoca com esses critérios; a adequação das fontes e da formação do valor deve ser conferida no processo.</t>
  </si>
  <si>
    <t>Em relação ao contrato original (e ao Apostilamento 01/2026): (1) jornada do Vigilante Supervisor (CBO 5103-10) reduzida de 44h para 40h semanais, sem redução salarial; (2) inclusão do reembolso-creche (R$ 526,64/dependente/mês; incidência 20%; CCT sem benefício congênere); (3) novos valores por posto e total mensal de R$ 171.952,16 (antes R$ 168.871,24 na Tabela III do apostilamento) e anual R$ 2.063.425,92 (antes R$ 2.026.454,88); (4) obrigação de ajustar a garantia a 5% do novo valor; (5) novas obrigações de comprovação e registro no Contratos.gov.br. Demais cláusulas ratificadas.</t>
  </si>
  <si>
    <t>Jornada; creche; valores; garantia.</t>
  </si>
  <si>
    <t>Comparação com o valor anterior.</t>
  </si>
  <si>
    <t>Afirmar repactuação por CCT ou prorrogação.</t>
  </si>
  <si>
    <t>Cláusulas 1, 2, 4, 5, 8 (p. 1-4)</t>
  </si>
  <si>
    <t>Cláusulas 1, 2, 4, 5, 8</t>
  </si>
  <si>
    <t>Alterações efetivas.</t>
  </si>
  <si>
    <t>Valor anterior extraído do Apostilamento 01/2026 (doc 6). | Rascunho: conferir no documento original antes de usar como Gold. Viés possível: Claude é ferramenta avaliada.</t>
  </si>
  <si>
    <t>G0666</t>
  </si>
  <si>
    <t>P39</t>
  </si>
  <si>
    <t>Sim: para os Itens 2 e 3, ao menos uma das três referências de preço usadas no cálculo da média tem objeto de contratação diverso do item pesquisado (ex.: materiais esportivos para "Equipamentos BDI"), o que pode não atender ao requisito de pesquisa ampla e efetivamente comparável exigido pela IN 65/2021/Lei 14.133/2021.</t>
  </si>
  <si>
    <t>SIM. O relatório declara conformidade com a IN SEGES/ME nº 65/2021 e com a Lei 14.133/2021, mas: (a) não identifica o agente ou a equipe responsável pela pesquisa, exigência do art. 3º, II; (b) não apresenta justificativas para a metodologia nem para a desconsideração de valores inexequíveis, inconsistentes ou excessivamente elevados, exigência do art. 3º, VI, embora existam na série valores como R$ 50,00 e R$ 1.000,00 para item de aproximadamente R$ 5,00; (c) no Item 2, dois dos três preços vêm do mesmo pregão e do mesmo fornecedor vencedor, o que fragiliza a exigência de cesta de, no mínimo, três preços de fontes idôneas e distintas (art. 6º); (d) o art. 5º condiciona o uso de contratações similares à similaridade do objeto, requisito questionável no Item 3 (enceradeira adquirida em pregão de materiais esportivos) e no Item 1 (áreas externas x internas).</t>
  </si>
  <si>
    <t>Alteração registrada: repactuação dos valores do Contrato 19/2025 (novos preços por posto e totais mensais: R$ 170.873,14 de 01/01 a 31/03/2026; R$ 168.871,24 de 01/04/2026 a 31/03/2027). Fundamento: reajuste da folha de salários pela Convenção Coletiva de Trabalho 2026/2027 (data-base 01/01/2026, registro MTE GO000996/2025 em 16/12/2025), com redução do aviso prévio trabalhado de 1,94% para 0,194% a partir da prorrogação; observância da Lei 14.133/2021 (apostilamento – art. 136).</t>
  </si>
  <si>
    <t>Repactuação de valores; fundamento na CCT 2026/2027.</t>
  </si>
  <si>
    <t>Redução do aviso prévio; art. 136.</t>
  </si>
  <si>
    <t>Afirmar reajuste por índice ou alteração de objeto.</t>
  </si>
  <si>
    <t>Cl. 1.1-1.3 (p. 1-2)</t>
  </si>
  <si>
    <t>Cl. 1.1-1.3</t>
  </si>
  <si>
    <t>em razão do reajuste da folha de salários, com base na Convenção Coletiva do Trabalho 2026/2027</t>
  </si>
  <si>
    <t>Cláusula 1.</t>
  </si>
  <si>
    <t>O art. 136 não é citado expressamente no documento; é enquadramento legal usual. | Rascunho: conferir no documento original antes de usar como Gold. Viés possível: Claude é ferramenta avaliada.</t>
  </si>
  <si>
    <t>G0667</t>
  </si>
  <si>
    <t>Não de forma evidente. O sistema aplicou os filtros estatísticos da IN 65/2021, excluindo valores 30% superiores ou 70% inferiores à média.</t>
  </si>
  <si>
    <t>P40</t>
  </si>
  <si>
    <t>Não há elementos de desconformidade com os requisitos da IN 65/2021 declarados no documento.</t>
  </si>
  <si>
    <t>Recebimento DEFINITIVO (termo circunstanciado de recebimento definitivo pelo gestor). Condições/ressalvas: IMR aferido em 95% (R$ 94.948,15) e glosa por faltas de R$ 6.106,47, resultando valor a faturar de R$ 88.841,68; o atesto marcado é o de que o serviço foi prestado conforme o TR. Observação: o item 8 indica 'Ajuste do Pagamento: NÃO', em contradição com o ajuste efetivamente aplicado.</t>
  </si>
  <si>
    <t>Definitivo; IMR 95%; glosa R$ 6.106,47; valor R$ 88.841,68.</t>
  </si>
  <si>
    <t>Contradição do item 8.</t>
  </si>
  <si>
    <t>Afirmar recebimento provisório ou sem ressalvas.</t>
  </si>
  <si>
    <t>Título; quadro; conclusão (p. 1)</t>
  </si>
  <si>
    <t>Título; quadro; conclusão</t>
  </si>
  <si>
    <t>Termo e quadro.</t>
  </si>
  <si>
    <t>G0668</t>
  </si>
  <si>
    <t>P41</t>
  </si>
  <si>
    <t>Conclusão: conhecer do recurso da Globo Administração Ltda (tempestivo) e, no mérito, NEGAR-LHE PROVIMENTO, mantendo a habilitação e a condição de vencedora da EMBRAED no PE 90017/2026, com envio à autoridade competente. Fundamentação: a certidão do MTE é mero indício e não basta, isoladamente, para inabilitar quem apresentou a declaração do art. 63, IV (Acórdão TCU 523/2025 – verdade material); ausência de prova de fraude, dolo ou má-fé; natureza dinâmica das cotas; porte da empresa não prova irregularidade; inabilitação exige prova inequívoca; arts. 68 VI, 92 XVII, 116, 155 §5º e 156 não autorizam exclusão ou sanção sem comprovação e devido processo; Portaria MTE 547/2025 dá natureza informativa às certidões.</t>
  </si>
  <si>
    <t>Negar provimento; manter habilitação; certidão MTE insuficiente (TCU 523/2025); ausência de prova de fraude.</t>
  </si>
  <si>
    <t>Demais argumentos.</t>
  </si>
  <si>
    <t>Afirmar provimento ou inabilitação.</t>
  </si>
  <si>
    <t>II; III; Conclusão (p. 1-3)</t>
  </si>
  <si>
    <t>II; III; Conclusão</t>
  </si>
  <si>
    <t>NEGAR-LHE PROVIMENTO, mantendo integralmente a decisão que declarou habilitada e vencedora a empresa EMBRAED</t>
  </si>
  <si>
    <t>Conclusão e fundamentos.</t>
  </si>
  <si>
    <t>G0669</t>
  </si>
  <si>
    <t>P42</t>
  </si>
  <si>
    <t>Aspectos avaliados: exequibilidade e compatibilidade do regime tributário com os custos (PIS/COFINS – Lucro Real x Presumido), alíquota do SAT/FAP, qualificação técnica (atestados nas parcelas de maior relevância – TR 13.33 e 13.34.2; art. 67, II, Lei 14.133), encargos sociais (férias + 1/3), quantitativos de diárias (com/sem pernoite) e somatórios da planilha. Recomendações: PHOENIX – desclassificação (Lucro Real 9,25% com custos de 3,65% sem lastro); MAXCLEAN – inabilitação (quantitativo válido zero para Encarregado Administrativo); ANGRA – desclassificação (PIS/COFINS 0,96% x 3,65% obrigatório no Lucro Presumido; SAT sem FAP comprovado); Globo – aceitação da proposta e prosseguimento para habilitação/adjudicação.</t>
  </si>
  <si>
    <t>Aspectos avaliados e recomendação por empresa.</t>
  </si>
  <si>
    <t>Afirmar que todas foram aprovadas ou inverter resultados.</t>
  </si>
  <si>
    <t>Análises e conclusões (p. 1-12)</t>
  </si>
  <si>
    <t>Análises e conclusões</t>
  </si>
  <si>
    <t>Conteúdo dos pareceres.</t>
  </si>
  <si>
    <t>G0670</t>
  </si>
  <si>
    <t>P43</t>
  </si>
  <si>
    <t>Entendimento: o procedimento tem regularidade jurídica, COM RESSALVAS, condicionada ao atendimento das recomendações (itens 4, 15, 25, 46, 52, 54, 57, 59, 63, 83, 84, 85, 92, 93, 99, 109, 111, 113, 119, 130 e 132), ressalvado o mérito e os aspectos técnicos. Principais ressalvas/recomendações: segregação de funções; retificar ETP 5.4.1; declarar uso do modelo de PCFP; manifestação técnica conclusiva sobre preços e formalização da pesquisa (IN 65/2021); comprovação de benefícios para pagamento; justificar agrupamento; posicionamento conclusivo do ETP; definir conta vinculada ou fato gerador no mapa de riscos; Caderno de Logística de limpeza; justificar não uso do catálogo; ajustes no TR (jornada 40h, aviso prévio, insalubridade, escritório, regime, habilitação, produtividade); natureza da ação orçamentária; vedação a cooperativas e cláusulas de sustentabilidade nas minutas; LGPD.</t>
  </si>
  <si>
    <t>Regularidade com ressalvas; principais recomendações.</t>
  </si>
  <si>
    <t>Afirmar regularidade sem ressalvas ou irregularidade.</t>
  </si>
  <si>
    <t>III – Conclusão; recomendações (p. 1-22)</t>
  </si>
  <si>
    <t>1-22</t>
  </si>
  <si>
    <t>III – Conclusão; recomendações</t>
  </si>
  <si>
    <t>o parecer é pela REGULARIDADE JURÍDICA, COM RESSALVAS</t>
  </si>
  <si>
    <t>§138.</t>
  </si>
  <si>
    <t>G0671</t>
  </si>
  <si>
    <t>P44</t>
  </si>
  <si>
    <t>Estão explícitos: serviço continuado de limpeza, conservação e asseio com mão de obra, insumos, máquinas e equipamentos; três referências por item; quantidades de 1 m² para serviços e 1 unidade para cada um dos outros itens; média aritmética; identificação de fontes e datas; referências à IN 65/2021, art. 3º, V, e art. 5º, I; critérios estatísticos de 30% e 70% e classificação de validade. As especificações técnicas detalhadas de equipamentos e exigências das atas referem-se às contratações pesquisadas. (PDF, pp. 1–3, 18 e 21–27.)</t>
  </si>
  <si>
    <t>O relatório informa pesquisa realizada entre 24/08/2026 07h41min13s e 09h00min20s, adoção da média aritmética dos preços selecionados, preços de referência por item, fontes/registros consultados e referência à IN nº 65/2021 (arts. 3º, inciso V, e 5º, inciso I).</t>
  </si>
  <si>
    <t>Item 1 – Prestação de serviço de limpeza e conservação diurna 44h (A): 434.000 m²; Preço 01 R$ 4,71; Preço 02 R$ 4,97; média R$ 4,84; total R$ 2.100.603,40. Item 2 – Material sob demanda + BDI: 12 meses; R$ 15.295,00 / R$ 20.231,97; média R$ 17.763,49; total R$ 213.161,82. Item 3 – Equipamentos BDI: 12 meses; R$ 2.638,75 / R$ 3.463,47; média R$ 3.051,11; total R$ 36.613,32. Total: R$ 2.350.378,54.</t>
  </si>
  <si>
    <t>Itens, quantidades, preços unitários e médias.</t>
  </si>
  <si>
    <t>Apontar a divergência do item 1.</t>
  </si>
  <si>
    <t>Valores de outros documentos.</t>
  </si>
  <si>
    <t>Tabela (p. 1)</t>
  </si>
  <si>
    <t>Tabela</t>
  </si>
  <si>
    <t>Tabela.</t>
  </si>
  <si>
    <t>G0672</t>
  </si>
  <si>
    <t>P45</t>
  </si>
  <si>
    <t>Estão explícitos: base legal (IN SEGES/ME nº 65/2021, art. 3º e art. 5º, Inc. I; Lei nº 14.133/2021); método matemático declarado (Média Aritmética); mínimo de 3 preços por item; identificação de cada fonte (CNPJ, órgão, modalidade, data, objeto, fonte/link).</t>
  </si>
  <si>
    <t>Explicitamente presentes: (a) declaração de conformidade com a IN nº 65, de 07/07/2021, e com a Lei nº 14.133/2021; (b) indicação do método matemático aplicado — média aritmética dos preços obtidos —, com citação do art. 3º, inc. V, da IN 65/2021; (c) fundamento de cada preço no art. 5º, inc. I, da IN 65/2021 (contratações similares de outros entes públicos), com adoção da mediana das propostas finais; (d) caracterização das fontes consultadas, em "Extrato de fontes utilizadas" — Compras.gov.br e PNCP, com data e hora de acesso; (e) série de preços coletados, com CNPJ, órgão, objeto, modalidade, data de homologação, quantidade, unidade e UF; (f) Anexo 1 – Memorial de Cálculo, demonstrando aritmeticamente cada valor; (g) código de validação eletrônica do relatório; (h) Termos de Homologação das licitações-fonte, como documentação comprobatória.</t>
  </si>
  <si>
    <t>Atendimento à Instrução Normativa Nº 65 de 07 de Julho de 2021 (Lei nº 14.133), aplicando o método matemático de Média Aritmética.</t>
  </si>
  <si>
    <t>Observância à Lei nº 14.133/2021, Instrução Normativa nº 65/2021 e aplicação de critérios estatísticos (média/mediana).</t>
  </si>
  <si>
    <t>Fontes/parâmetros: art. 5º, I, da IN SEGES/ME 65/2021 (contratações similares da Administração), consultadas via Banco de Preços nas bases Compras.gov.br e PNCP (acessadas em 24/08/2026); usada a mediana das propostas finais de cada certame como preço de cada fonte; três preços por item (IFPB, IFCE e SP/Marília no item 1; São José do Rio Pardo e Funasa – 2 preços – no item 2; Darcinópolis, Caldas Novas e Ministério da Defesa no item 3); método matemático: média aritmética; critérios estatísticos: excluir valores &gt; 30% acima e &lt; 70% da média.</t>
  </si>
  <si>
    <t>Art. 5º, I, IN 65; Compras.gov.br e PNCP; média aritmética; 3 preços/item.</t>
  </si>
  <si>
    <t>Mediana das propostas finais; critérios 30%/70%.</t>
  </si>
  <si>
    <t>Citar cotação direta com fornecedores ou contrato vigente como fonte.</t>
  </si>
  <si>
    <t>Resumo; detalhamento; extrato de fontes (p. 1-22)</t>
  </si>
  <si>
    <t>Resumo; detalhamento; extrato de fontes</t>
  </si>
  <si>
    <t>Metodologia declarada.</t>
  </si>
  <si>
    <t>G0673</t>
  </si>
  <si>
    <t>P46</t>
  </si>
  <si>
    <t>Período: 01/03/2026 a 31/03/2026. Percentual executado: não consta no documento (o boletim registra quantidades, não percentual). Valor apurado: R$ 2.861,34 (476,890 kg excedentes × R$ 6,00/kg; mensalidade R$ 0,00).</t>
  </si>
  <si>
    <t>Período; 'percentual não consta'; R$ 2.861,34.</t>
  </si>
  <si>
    <t>Base de cálculo.</t>
  </si>
  <si>
    <t>Inventar percentual executado (ex.: 100%).</t>
  </si>
  <si>
    <t>Cabeçalho; resumo financeiro (p. 1; 3-4)</t>
  </si>
  <si>
    <t>1; 3-4</t>
  </si>
  <si>
    <t>Cabeçalho; resumo financeiro</t>
  </si>
  <si>
    <t>Dados do boletim.</t>
  </si>
  <si>
    <t>G0674</t>
  </si>
  <si>
    <t>P47</t>
  </si>
  <si>
    <t>Para transpor os resultados à contratação da UFJ, não consta no documento a demonstração de equivalência técnica e temporal entre as cotações, a composição e taxa do BDI, a área e os quantitativos reais da contratação, a periodicidade dos custos, a memória do valor anual e a identificação/assinatura dos responsáveis pela pesquisa. A necessidade de verificação decorre das diferenças observáveis entre as referências.</t>
  </si>
  <si>
    <t>Número: NFS-e 119.235. Valor: R$ 2.861,34 (líquido R$ 2.476,50). Data de emissão: 14/04/2026. Serviço: coleta de resíduos perigosos (coleta, transporte, tratamento e destinação final) – 476,89 kg de quantidade excedente a R$ 6,00, referente a março (OS 367341, 367342, 367343, 367345, 367346, 367347, 367350).</t>
  </si>
  <si>
    <t>119.235; R$ 2.861,34; 14/04/2026; coleta de resíduos.</t>
  </si>
  <si>
    <t>Líquido e OS.</t>
  </si>
  <si>
    <t>Data de março como emissão.</t>
  </si>
  <si>
    <t>Cabeçalho; descrição; valores (p. 1)</t>
  </si>
  <si>
    <t>Cabeçalho; descrição; valores</t>
  </si>
  <si>
    <t>Dados da nota.</t>
  </si>
  <si>
    <t>Para apurar o valor total anual a partir deste relatório, faltam nele as quantidades anuais de cada item e a memória de cálculo anual. Também não constam o número SEI do processo, a identificação formal numerada do documento e as assinaturas dos responsáveis.</t>
  </si>
  <si>
    <t>G0675</t>
  </si>
  <si>
    <t>P48</t>
  </si>
  <si>
    <t>As mesmas da pergunta 19: identificação/nº de processo da UFJ, responsável técnico pela pesquisa, data de validade, e evidência de tratamento de preços inexequíveis/discrepantes antes do cálculo da média.</t>
  </si>
  <si>
    <t>Identificação e assinatura do agente ou da equipe de planejamento responsável pela pesquisa; justificativa da metodologia e do tratamento dado a valores atípicos; número do processo administrativo da UFJ; quantitativos reais do objeto e a consequente estimativa mensal e anual da contratação; memória de composição do BDI aplicado aos itens 2 e 3; descrições completas e não truncadas dos itens; data-base e prazo de validade dos preços; análise de similaridade entre os paradigmas e o objeto da UFJ; e justificativa para o uso de apenas uma das fontes previstas no art. 5º da IN 65/2021.</t>
  </si>
  <si>
    <t>Número do processo administrativo interno da UFJ e assinatura do pesquisador que emitiu o relatório no sistema.</t>
  </si>
  <si>
    <t>Valor empenhado: R$ 1.245.999,81 (após reforços). Dotação: esfera 1; PTRES 231318; fonte 1000000000; natureza da despesa 339039 (Outros Serviços de Terceiros – Pessoa Jurídica), subelemento 78 (Limpeza e Conservação); UGR 156812; plano interno M20RKQ01PJN. Finalidade: serviço especializado de limpeza e conservação – prestação de serviço, material sob demanda + BDI e serviço especializado (Prisma Consultoria Ambiental Ltda), Prefeitura Universitária – PREUNI.</t>
  </si>
  <si>
    <t>R$ 1.245.999,81; ND 339039/78; PTRES; fonte; PI; finalidade limpeza.</t>
  </si>
  <si>
    <t>Valor de apenas um reforço.</t>
  </si>
  <si>
    <t>Detalhamento pormenorizado de todas as propostas individuais de alguns fornecedores cujos links remetem a anexos externos.</t>
  </si>
  <si>
    <t>Célula orçamentária; valor; itens; descrição (p. 1-2)</t>
  </si>
  <si>
    <t>Célula orçamentária; valor; itens; descrição</t>
  </si>
  <si>
    <t>Campos da NE.</t>
  </si>
  <si>
    <t>G0676</t>
  </si>
  <si>
    <t>P49</t>
  </si>
  <si>
    <t>Valor pago: R$ 42.164,80. Favorecido: Banco do Brasil S.A. (CNPJ 00.000.000/0001-91) – pagamento do instrumento de cobrança nº 9727 cujo credor é o Instituto Interamericano de Desenvolvimento Humano – Bem Brasil (CNPJ 10.427.965/0001-19). Referências: empenho 2026NE000082 (ND 33903701); processo 23854.003091/2026-37; Contrato 00022/2023; serviços de 03/2026; documento de origem 2026NP000162.</t>
  </si>
  <si>
    <t>R$ 42.164,80; Banco do Brasil/Bem Brasil; 2026NE000082; processo 23854.003091/2026-37.</t>
  </si>
  <si>
    <t>Contrato e competência.</t>
  </si>
  <si>
    <t>Informar outro empenho (ex.: 2026NE000070).</t>
  </si>
  <si>
    <t>Valor; favorecido; observação; eventos (p. 1-2)</t>
  </si>
  <si>
    <t>Valor; favorecido; observação; eventos</t>
  </si>
  <si>
    <t>Campos da OB.</t>
  </si>
  <si>
    <t>G0677</t>
  </si>
  <si>
    <t>P50</t>
  </si>
  <si>
    <t>Encaminha à PREUNI, ao ICA e à DAC a informação da autuação do processo de gestão e fiscalização do Contrato nº 63/2026. Determina que gestores e fiscais registrem ciência no despacho e mantenham o processo instruído e atualizado, juntando os documentos pertinentes. Também pede que os gestores e fiscais técnicos anexem certificado de curso de fiscalização e que os registros sejam lançados no Compras.gov Contratos.</t>
  </si>
  <si>
    <t>Ciência + manter o processo instruído; autuação do processo.</t>
  </si>
  <si>
    <t>Certificado e Compras.gov.</t>
  </si>
  <si>
    <t>Afirmar que o despacho decide pagamento ou designa fiscais.</t>
  </si>
  <si>
    <t>Fecho (p. 3)</t>
  </si>
  <si>
    <t>Fecho</t>
  </si>
  <si>
    <t>solicitamos aos gestores e fiscais do contrato que registrem ciência no presente despacho e mantenham o processo devidamente instruído e atualizado</t>
  </si>
  <si>
    <t>O encaminhamento está no parágrafo final.</t>
  </si>
  <si>
    <t>G0678</t>
  </si>
  <si>
    <t>P51</t>
  </si>
  <si>
    <t>Entre o relatório e as peças anexas, as diferenças de valores identificadas não comprovam conflito: R$ 2.829,00 é a mediana da referência de equipamentos, enquanto R$ 2.728,99 é o valor vencedor da BRASIDAS; o memorial explica a diferença. A apresentação do mapa pode induzir à confusão entre esses conceitos. Conflito com outro documento da contratação da UFJ: não consta no documento, pois esse outro documento não foi fornecido. (PDF, pp. 19, 22, 27 e 254–259.)</t>
  </si>
  <si>
    <t>Não foi identificado conflito nos preços do Banco de Preços: R$ 4,97, R$ 20.231,97 e R$ 3.463,47 coincidem com o “Preço 02” do mapa comparativo. Os totais diferem porque o relatório soma uma unidade de cada item (R$ 23.700,41), enquanto o mapa aplica quantidades e combina esses preços com valores do contrato vigente para calcular médias e total anual.</t>
  </si>
  <si>
    <t>Remetente: Diretoria de Administração de Contratos (DAC/UFJ), assinado por Guilherme Azevedo Oliveira, Vice-Diretor. Destinatário: Carlos Augusto Cardoso Lima, representante legal da Carplan Engenharia e Projetos Ltda (Av. Raul Lopes, nº 880, Jóquei, Sala 615, CEP 64.048-065, Teresina-PI). Assunto: resposta ao Ofício nº 08/2026 (pedido de acesso a processos, certidão e prazos).</t>
  </si>
  <si>
    <t>Remetente, destinatário e assunto.</t>
  </si>
  <si>
    <t>Endereço.</t>
  </si>
  <si>
    <t>Inverter remetente e destinatário.</t>
  </si>
  <si>
    <t>Endereçamento; assunto; assinatura (p. 1; 7)</t>
  </si>
  <si>
    <t>1; 7</t>
  </si>
  <si>
    <t>Endereçamento; assunto; assinatura</t>
  </si>
  <si>
    <t>Assunto: Resposta ao Ofício nº 08/2026.</t>
  </si>
  <si>
    <t>G0679</t>
  </si>
  <si>
    <t>P52</t>
  </si>
  <si>
    <t>Não é possível avaliar — nenhum outro documento foi enviado nesta consulta para comparação.</t>
  </si>
  <si>
    <t>NÃO É POSSÍVEL AFIRMAR com base no material disponível: foi fornecido apenas este documento, sem o Estudo Técnico Preliminar, o Termo de Referência, o contrato original ou a planilha de custos da contratação remanescente, que seriam os documentos de cotejo natural. Internamente, há divergências entre as peças que compõem o próprio arquivo: o Relatório Resumido e o Relatório de Cotação foram gerados em horários distintos (09:25:10 e 09:23:33) e possuem códigos de validação diferentes, e há um Termo de Homologação anexado em duplicidade. Recomenda-se confrontar este relatório com o ETP/TR e com a planilha da contratação remanescente antes de qualquer decisão.</t>
  </si>
  <si>
    <t>Apenas um documento foi fornecido (o relatório e seus anexos nativos), impossibilitando a comparação externa.</t>
  </si>
  <si>
    <t>Não há confronto direto com outros documentos no escopo deste relatório isolado.</t>
  </si>
  <si>
    <t>Ato: designação de Gabriel Fernandes Sousa (SIAPE 1067984, PREUNI); Lázaro Rubens Araújo Pinto (1193829, PREUNI); Claudinei Alves de Ávila (3387672, PREUNI); Heitor Carvalho Luz Gautier (1250795, PREUNI); Leruama Pena Leal (1362501, DAC); Guilherme Azevedo Oliveira (3389822, DAC); Marcos Paulo Pereira Fagundes (1141036, DAC), para a possível contratação de empresa especializada em engenharia/arquitetura para reformas nas Centrais de Aulas 1 e 2 (Campus Jatobá), na Central de Aulas 3 (Campus Riachuelo) e em telhados e coberturas de edificações e laboratórios. Vigência: não consta expressamente. A portaria é datada de 15/09/2026 e publicada no Boletim de Serviço Eletrônico em 15/09/2026, mas não há cláusula de vigência nem prazo da designação.</t>
  </si>
  <si>
    <t>Designação e objeto; declarar que a vigência não consta expressamente.</t>
  </si>
  <si>
    <t>Data de 15/09/2026 como data de publicação.</t>
  </si>
  <si>
    <t>Inventar prazo de vigência.</t>
  </si>
  <si>
    <t>Item I; carimbo do Boletim (p. 1)</t>
  </si>
  <si>
    <t>Item I; carimbo do Boletim</t>
  </si>
  <si>
    <t>Não há cláusula de vigência.</t>
  </si>
  <si>
    <t>G0680</t>
  </si>
  <si>
    <t>P53</t>
  </si>
  <si>
    <t>Participantes: EMBRAED (contratosembraedc@gmail.com), contratada; Lázaro Rubens Araújo Pinto (Eletrotécnico, Coordenação de Manutenção Predial, PREUNI/UFJ); Vania Klein Garollo (UFJ); Alexandre Choupina (UFJ). Assunto: 'NOVA MEDIÇÃO COM MATERIAIS - JULHO/2026 - UFJ', com envio da documentação da medição de julho/2026 do Contrato 063/2026 e coleta de assinaturas do IMR 07-2026.</t>
  </si>
  <si>
    <t>Os quatro participantes e o assunto.</t>
  </si>
  <si>
    <t>Omitir Alexandre ou Vania; atribuir-lhes cargos.</t>
  </si>
  <si>
    <t>Cabeçalhos das mensagens (p. 1-2)</t>
  </si>
  <si>
    <t>Cabeçalhos das mensagens</t>
  </si>
  <si>
    <t>NOVA MEDIÇÃO COM MATERIAIS - JULHO/2026 - UFJ</t>
  </si>
  <si>
    <t>Legenda: colunas 'Documento' e 'Pergunta' são preenchidas automaticamente por fórmula a partir de ID_Documento e ID_Pergunta. O pesquisador deve preencher Resposta Gold, elementos obrigatórios/aceitáveis/incorretos e, obrigatoriamente, a evidência documental (página/seção/trecho) que sustenta a resposta, garantindo rastreabilidade ao documento original. Linhas correspondentes a combinações não aplicáveis (ex.: pergunta geral que não se aplica a determinado tipo documental) podem ser marcadas como 'Não aplicável' na coluna Resposta Gold.</t>
  </si>
  <si>
    <t>No próprio PDF, o relatório resumido apresenta três estimativas e o global; o detalhado apresenta fornecedores, fontes e critérios; o memorial demonstra medianas; as atas anexas registram propostas, lances, julgamento e homologação dos certames de referência. O resumido foi gerado às 09:25:10 e o detalhado às 09:23:33 em 24/08/2026. Diferenças com outro documento da contratação da UFJ: não consta no documento.</t>
  </si>
  <si>
    <t>O relatório detalha a pesquisa no Banco de Preços e os preços unitários estimados. O mapa comparativo adiciona o valor atualizado do contrato nº 113/2024, calcula a média entre esse preço e o preço do Banco de Preços, aplica 434.000 m² e 12 meses aos itens pertinentes e apresenta total anual de R$ 2.350.378,54.</t>
  </si>
  <si>
    <t>Não aplicável — apenas um documento foi fornecido.</t>
  </si>
  <si>
    <t>Entre as peças internas: (a) o Relatório Resumido (1 página) traz apenas o quadro-síntese dos 3 itens, o Valor Global e os gráficos, enquanto o Relatório de Cotação (22 páginas) traz o detalhamento completo de cada preço, com fornecedores, propostas e fontes; (b) diferem em horário de geração e código de validação; (c) a legenda do gráfico do resumo apresenta os itens em ordem invertida em relação à tabela. Entre os anexos: são 4 Termos de Homologação — Pregão 90006/2026 (SSP/SP, 46 páginas), Pregão 90009/2026 (Funasa, 89 páginas), o MESMO Pregão 90009/2026 repetido integralmente (89 páginas) e Pregão 90001/2026 (CMRJ, 8 páginas). A comparação com documentos externos do processo não pôde ser feita, pois não foram fornecidos.</t>
  </si>
  <si>
    <t>O conjunto contém o relatório final da UFJ e os anexos que são as transcrições das fontes (Pregões da Secretaria de Segurança de SP e da Funasa). A diferença é que os anexos são a matéria-prima utilizada para extrair os preços que embasam o relatório final.</t>
  </si>
  <si>
    <t>Alterações entre versões do relatório da UFJ: não consta no documento, pois não há histórico de versões. Nas propostas dos certames de referência, o memorial registra mudanças entre valores inicial e final: BRASIDAS de R$ 2.848,99 para R$ 2.728,99 e GRM Máquinas e Locações de R$ 2.848,99 para R$ 2.749,99. São alterações nas propostas pesquisadas, não no contrato da UFJ. (PDF, p. 27.)</t>
  </si>
  <si>
    <t>Não consta histórico de versões ou registro de alterações. A diferença entre os documentos reflete escopo e cálculo distintos; não permite afirmar que algum preço tenha sido alterado.</t>
  </si>
  <si>
    <t>Não aplicável — não há versão anterior deste documento disponível para comparação.</t>
  </si>
  <si>
    <t>NÃO É POSSÍVEL IDENTIFICAR ALTERAÇÕES. O documento não possui controle de versão, histórico de revisões, campo de "versão" ou marcas de alteração, e não foi fornecida versão anterior para cotejo. O único indício de retrabalho é a geração de duas peças em horários distintos no mesmo dia (09:23:33 e 09:25:10), com tokens de validação diferentes — o que é comportamento normal da ferramenta ao emitir relatórios distintos, não evidência de alteração de conteúdo. Eventual histórico de alterações deverá ser consultado no SEI.</t>
  </si>
  <si>
    <t>Ao longo das transcrições dos pregões, as propostas iniciais de centenas de empresas foram alteradas na etapa de lances sucessivos até chegarem aos valores finais adjudicados.</t>
  </si>
  <si>
    <t>Nenhuma informação foi alterada no relatório gerado pelo sistema.</t>
  </si>
  <si>
    <t>Pontos de atenção: comparabilidade de objetos e unidades; duas referências do item 2 provenientes de itens do mesmo Pregão 90009/2026 da Funasa; distinção entre medianas e preços vencedores; redação do limite estatístico; código 25194 nos três itens; ausência de composição do BDI e de dimensionamento anual. O global do relatório não está identificado como valor anual da contratação. (PDF, pp. 1, 9–17 e 21–27.)</t>
  </si>
  <si>
    <t>O relatório não informa quantidades anuais nem processo SEI; o valor global de R$ 23.700,41 usa quantidade 1 por item; resumo e relatório detalhado têm códigos de validação e horários de geração diferentes; é necessário confirmar se as fontes são comparáveis ao objeto e à especificação da contratação.</t>
  </si>
  <si>
    <t>Legenda: linhas de exemplo pré-carregadas (3 primeiras perguntas gerais para cada um dos 20 documentos) para orientar o preenchimento; ID_Documento e ID_Pergunta possuem lista suspensa e as colunas Grupo/Tipo/Nome/SEI/Processo/Categoria/Nível/Pergunta/Prompt são calculadas automaticamente por fórmula. Para novas execuções, copie uma linha, ajuste ID_Documento/ID_Pergunta/Ferramenta/Modalidade/Plano/Modelo/Versão e preencha Resposta Produzida, Tempo, Observações e Controle. Cada linha representa uma unidade experimental (Documento + Pergunta + Configuração de IA).</t>
  </si>
  <si>
    <t>(1) Ausência de nº de processo/protocolo vinculado da UFJ; (2) referências de preço com objeto de contratação distinto do item cotado nos Itens 2 e 3; (3) descrição truncada no Item 3; (4) ausência de identificação do responsável/assinatura; (5) necessidade de checar a exclusão de preços atípicos conforme a metodologia da IN 65/2021.</t>
  </si>
  <si>
    <t>(1) O Valor Global de R$ 23.700,41 não é o valor da contratação: resulta de quantidade 1 para cada item e não pode ser usado como estimativa contratual; (2) ausência de identificação e assinatura do responsável pela pesquisa; (3) ausência de justificativas metodológicas e de tratamento de valores atípicos; (4) fragilidade da cesta de preços do Item 2 (duas cotações do mesmo pregão e do mesmo fornecedor); (5) baixa similaridade de alguns paradigmas com o objeto (Item 3 oriundo de pregão de materiais esportivos; Item 1 mesclando áreas internas e externas); (6) BDI mencionado no título dos itens 2 e 3 sem qualquer memória de composição; (7) o título da cotação nomeia uma empresa específica ("EMPRESA PRISMA 2026"), o que pode sugerir direcionamento e deve ser corrigido para referência ao objeto/processo; (8) descrições de itens truncadas e informais; (9) duplicação de 89 páginas de anexo, onerando o processo; (10) uso de fonte única (inciso I do art. 5º), sem justificativa para não ampliação da pesquisa.</t>
  </si>
  <si>
    <t>O alto valor do Item 2 (Material Sob Demanda - R$ 20.231,97 por unidade) exige atenção redobrada para certificar que a composição e o quantitativo do kit correspondem exatamente ao exigido pela UFJ.</t>
  </si>
  <si>
    <t>Atenção à seleção adequada dos preços válidos e desclassificação de propostas inexequíveis ou excessivas conforme parâmetros estatísticos (30% e 70%).</t>
  </si>
  <si>
    <t>Antes de decidir, conferir a vinculação da pesquisa ao processo da UFJ, a identificação dos responsáveis, a adequação das especificações e quantidades, a normalização de unidades e períodos, a composição do BDI, a justificativa da seleção das referências e a interpretação dos limites estatísticos. Confirmar que o uso de medianas está compreendido e que R$ 23.700,41 não seja tratado como valor anual sem memória de cálculo. (PDF, pp. 1–27.)</t>
  </si>
  <si>
    <t>Confirmar a versão autêntica do relatório e seu vínculo ao processo; validar as fontes e a comparabilidade dos itens; conferir os preços médios; confirmar quantidades anuais e a memória de cálculo que forma o total anual.</t>
  </si>
  <si>
    <t>Verificar: comparabilidade real das fontes de preço usadas nos Itens 2 e 3; correção do Valor Global antes de vinculá-lo ao processo de contratação; cumprimento do mínimo de 3 cotações válidas (Art. 5º, Inc. I, IN 65/2021); e se este relatório é a versão final ou preliminar a ser anexada ao ETP/Termo de Referência.</t>
  </si>
  <si>
    <t>O processo administrativo e o ETP/TR a que este relatório se vincula; os quantitativos reais do objeto e a conversão dos preços unitários em valor mensal e anual; a similaridade entre cada preço-fonte e o objeto da UFJ; a independência e a idoneidade das fontes do Item 2; a vigência dos preços (todos de 2026, dentro do prazo de 1 ano do art. 5º, §1º, da IN 65/2021, o que deve ser reconfirmado na data da decisão); a composição do BDI; a existência de justificativa escrita para a metodologia e para a manutenção de valores atípicos na série; a identificação e a assinatura do agente responsável; e a compatibilidade do valor estimado com a disponibilidade orçamentária e com a planilha da contratação remanescente.</t>
  </si>
  <si>
    <t>A conformidade e equivalência das especificações técnicas dos serviços e produtos cotados em outros órgãos em relação às necessidades reais da Universidade Federal de Jataí.</t>
  </si>
  <si>
    <t>A verificação da conformidade das propostas obtidas nas compras governamentais com a realidade dos serviços pretendidos pela instituição.</t>
  </si>
  <si>
    <t>Riscos administrativos inferidos do conteúdo: estimativa inadequada por combinação de objetos e períodos não equivalentes; uso do global como total anual sem base; atribuição de medianas como se fossem preços vencedores; aplicação equivocada do limite de 30%; possível duplicidade de custos ao combinar serviço com insumos/equipamentos incluídos e itens separados de materiais/equipamentos. São riscos a verificar, não constatações de dano ou irregularidade consumada. (PDF, pp. 1, 3, 9–10 e 18–27.)</t>
  </si>
  <si>
    <t>Usar R$ 23.700,41 como se fosse o valor anual, embora seja a soma de uma unidade de cada item; adotar fontes que não sejam comparáveis ao objeto; ou instruir a decisão com versão/código de validação diferente do documento autenticado. São riscos de uso e conferência, não irregularidades comprovadas.</t>
  </si>
  <si>
    <t>Risco de questionamento em auditoria (TCU/CGU/Controle Interno) por utilizar, como parâmetro de preço do Item 3 ("Equipamentos BDI"), uma cotação oriunda de processo de "Aquisição de materiais esportivos" — objeto sem relação direta —, o que pode exigir revisão do valor estimado antes do prosseguimento da contratação.</t>
  </si>
  <si>
    <t>(a) Risco de estimativa inadequada e de sobrepreço ou de preço inexequível, pela agregação de preços de objetos e unidades não homogêneos e pelo uso de quantidade fictícia 1; (b) risco de nulidade ou de glosa por descumprimento do art. 3º, II e VI, da IN 65/2021 (ausência de identificação do responsável e de justificativas); (c) risco de questionamento por órgãos de controle quanto à cesta de preços do Item 2, com duas cotações do mesmo certame e do mesmo fornecedor; (d) risco de impugnação por direcionamento, dado o título da cotação nomear empresa específica; (e) risco de responsabilização do agente que utilizar o Valor Global como valor da contratação; (f) risco de repactuação ou de aditivo indevido por ausência de memória de BDI; (g) risco de insegurança probatória se os links das fontes deixarem de estar acessíveis, já que não há cópia integral de todos os editais; (h) risco de atraso e retrabalho caso o documento precise ser refeito após a publicação do edital.</t>
  </si>
  <si>
    <t>Utilizar como preço base cotações cujos editais originários possuam especificações, produtividade ou regimes de trabalho divergentes dos da UFJ, o que pode levar a um orçamento inexequível ou a sobrepreço.</t>
  </si>
  <si>
    <t>Risco de utilização de preços inexequíveis ou que não reflitam o mercado local da unidade contratante.</t>
  </si>
  <si>
    <t>1) Pesquisa EMPRESA PRISMA 2026 para serviços de limpeza da UFJ, realizada em 24/08/2026. 2) Três itens, com três referências cada, provenientes de PNCP e Compras.gov.br. 3) Médias: R$ 4,97/m², R$ 20.231,97 para materiais e R$ 3.463,47 para equipamentos. 4) Global de R$ 23.700,41, sem qualificação como anual. 5) Arquivo reúne detalhamento, mapa, memorial e atas; equivalência das referências e redação do critério estatístico merecem verificação.</t>
  </si>
  <si>
    <t>1) Pesquisa de preços da UFJ para limpeza, materiais sob demanda e equipamentos. 2) Pesquisa feita em 24/08/2026. 3) Método declarado: média aritmética dos preços selecionados. 4) Estimativas unitárias: R$ 4,97, R$ 20.231,97 e R$ 3.463,47. 5) Total do resumo: R$ 23.700,41 para uma unidade de cada item; não é valor anual.</t>
  </si>
  <si>
    <t>(1) Pesquisa de preços da UFJ para 3 itens (limpeza, material sob demanda + BDI, equipamentos BDI); (2) Valor Global de R$ 23.700,41; (3) metodologia: média aritmética de 3 cotações por item, conforme IN 65/2021; (4) documento gerado automaticamente pelo sistema Banco de Preços, sem nº de processo/assinatura; (5) há pelo menos uma referência de preço (Item 3) com objeto de contratação aparentemente não equivalente, que merece verificação.</t>
  </si>
  <si>
    <t>(1) É um relatório de pesquisa de preços emitido pelo Banco de Preços em 24/08/2026 para a UFJ (PROAF/Diretoria de Compras e Licitações), sob o título "EMPRESA PRISMA 2026", referente à contratação de empresa remanescente de limpeza, conservação e asseio. (2) Pesquisa fundamentada na Lei 14.133/2021 e na IN 65/2021, art. 5º, inc. I, com 3 preços por item, oriundos de contratações públicas similares (Compras.gov.br e PNCP), e método de média aritmética. (3) Resultados: Item 1 – limpeza e conservação, R$ 4,97/m²; Item 2 – material sob demanda + BDI, R$ 20.231,97; Item 3 – equipamentos + BDI, R$ 3.463,47; Valor Global de R$ 23.700,41, calculado sobre quantidade 1 de cada item. (4) Acompanham memorial de cálculo e Termos de Homologação das licitações-fonte, totalizando 259 páginas, com um termo repetido. (5) O documento não identifica o responsável pela pesquisa, não apresenta justificativas metodológicas e não contém assinaturas, exigindo complementação antes do uso.</t>
  </si>
  <si>
    <t>1. É um Relatório de Cotação da UFJ. 2. Estima preços para limpeza, materiais e equipamentos. 3. O Valor Global é de R$ 23.700,41. 4. Utilizou o Banco de Preços e média aritmética (IN 65/2021). 5. Documenta fontes e lances extraídos do Compras.gov.br e PNCP.</t>
  </si>
  <si>
    <t>1. Fundamentação na IN nº 65/2021 e Lei nº 14.133/2021; 2. Apresentação de 3 itens principais (Limpeza, Material e Equipamentos); 3. Valor global estimado em R$ 23.700,41; 4. Utilização de média aritmética e mediana como métodos matemáticos; 5. Geração via sistema Banco de Preços em 24/08/2026.</t>
  </si>
  <si>
    <t>Subsidiar a estimativa de preços e a análise administrativa da contratação de empresa remanescente para serviços continuados de limpeza, conservação e asseio da UFJ, documentando fontes, preços e método de cálculo. (PDF, pp. 1–3 e 21–27.)</t>
  </si>
  <si>
    <t>Registrar a pesquisa de mercado e os preços de referência usados para subsidiar a estimativa administrativa da contratação.</t>
  </si>
  <si>
    <t>Servir de base para a estimativa de valor de uma futura contratação de serviços de limpeza/conservação (incluindo material sob demanda e equipamentos) pela UFJ, na fase de planejamento, em cumprimento à exigência legal de pesquisa de preços fundamentada (IN 65/2021, Lei 14.133/2021).</t>
  </si>
  <si>
    <t>Servir de base técnica para a definição do valor estimado da contratação, instruindo obrigatoriamente a fase preparatória do processo de contratação da UFJ, nos termos do art. 23 da Lei nº 14.133/2021 e da IN SEGES/ME nº 65/2021.</t>
  </si>
  <si>
    <t>Fundamentar a estimativa de preços de mercado que servirá de baliza (valor de referência) para o procedimento licitatório da Universidade.</t>
  </si>
  <si>
    <t>Servir de suporte documental para a estimativa de despesas em processo de contratação pública.</t>
  </si>
  <si>
    <t>1) Objeto e alcance: limpeza continuada da UFJ com mão de obra, insumos, máquinas e equipamentos. 2) Referências financeiras: R$ 4,97/m², R$ 20.231,97 para materiais e R$ 3.463,47 para equipamentos; global R$ 23.700,41 sem indicação anual. 3) Base e limitações: pesquisa de 24/08/2026, três preços por item, média de referências apresentadas como medianas, exigindo conferência da comparabilidade das unidades/especificações e do critério de 30%. (PDF, pp. 1–3 e 21–27.)</t>
  </si>
  <si>
    <t>1) Os preços unitários estimados são R$ 4,97, R$ 20.231,97 e R$ 3.463,47. 2) O total global de R$ 23.700,41 considera quantidade 1 de cada item, não o custo anual. 3) Antes de decidir, validar a autenticidade/versão, a comparabilidade das fontes e as quantidades/memória de cálculo no processo.</t>
  </si>
  <si>
    <t>(1) Valor Global estimado: R$ 23.700,41, distribuído em 3 itens; (2) metodologia declarada: média aritmética de no mínimo 3 cotações por item; (3) necessidade de verificar a comparabilidade das fontes de preço dos Itens 2 e 3 (uma delas com objeto aparentemente não relacionado) antes de validar o valor como estimativa oficial.</t>
  </si>
  <si>
    <t>(1) O Valor Global de R$ 23.700,41 é soma de preços unitários apurados com quantidade 1 por item e NÃO corresponde ao valor mensal nem ao valor anual da contratação — usá-lo como valor estimado é o erro mais grave possível neste documento. (2) A composição da cesta de preços é frágil em pontos específicos: no Item 2, dois dos três preços vêm do mesmo pregão (Funasa 90009/2026) e do mesmo fornecedor vencedor (CNPJ 51.722.124/0001-11), e no Item 3 um dos preços vem de pregão cujo objeto é "aquisição de materiais esportivos". (3) O relatório não atende integralmente ao art. 3º da IN 65/2021: faltam a identificação do agente responsável pela pesquisa (inciso II) e as justificativas da metodologia e do tratamento de valores atípicos (inciso VI), o que deve ser suprido por documento complementar assinado antes de qualquer decisão.</t>
  </si>
  <si>
    <t>1) O Valor Global Estimado (R$ 23.700,41). 2) A correta aplicação do método matemático legal (Média Aritmética). 3) A equivalência das descrições dos serviços cotados nas fontes externas com o Termo de Referência interno.</t>
  </si>
  <si>
    <t>1. Objeto e quantificação dos itens; 2. Valor estimado (unitário e global); 3. Fontes e parâmetros das cotações governamentais utilizadas.</t>
  </si>
  <si>
    <t>Registrar as ordens de serviço de coleta de resíduos da Universidade Federal de Jataí no período de 01/03/2026 a 31/03/2026, com quantidades por ponto e tipo de resíduo e total financeiro.</t>
  </si>
  <si>
    <t>Registro da coleta de resíduos da Universidade Federal de Jataí, por ponto de coleta e tipo de resíduo, no período de 01/03/2026 a 31/03/2026, com apuração do excedente e do valor correspondente.</t>
  </si>
  <si>
    <t>O documento é o "Boletim/Impressão de Ordem de Serviço de Resíduos" da empresa Bio Resíduos, que registra e totaliza os resíduos coletados na Universidade Federal de Jataí (UFJ) no período de 01/03/2026 a 31/03/2026, para fins de medição e cobrança do serviço de coleta.</t>
  </si>
  <si>
    <t>Relatório mensal de coleta de resíduos emitido pela empresa Bio Resíduos (Soluções Ambientais) para a UNIVERSIDADE FEDERAL DE JATAÍ (cliente 13838), intitulado 'IMPRESSÃO ORDEM DE SERVIÇO RESÍDUOS', referente ao período de 01/03/2026 a 31/03/2026. Consolida as ordens de serviço de coleta executadas em 10 pontos do campus, as quantidades por tipo de resíduo e a apuração do valor a pagar (R$ 2.861,34). Pelo nome do arquivo, está sendo utilizado como boletim de medição mensal do contrato.</t>
  </si>
  <si>
    <t>Boletim de medição / Impressão de Ordem de Serviço de coleta de resíduos.</t>
  </si>
  <si>
    <t>Boletim de medição e ordem de serviço de coleta e destinação de resíduos perigosos/especiais (período de 01/03/2026 a 31/03/2026).</t>
  </si>
  <si>
    <t>Título: IMPRESSÃO ORDEM DE SERVICO RESÍDUOS. Constam as O.S. 367.341 a 367.350 e o código de cliente 13838. O identificador 0572838 aparece no nome do arquivo; número único do boletim no corpo: não consta no documento.</t>
  </si>
  <si>
    <t>“Impressão Ordem de Serviço Resíduos”; não há número único do relatório. Constam as O.S. 367.341 a 367.350.</t>
  </si>
  <si>
    <t>O documento não traz um número de boletim próprio. Constam apenas os números individuais das Ordens de Serviço (O.S.): 367.341, 367.342, 367.343, 367.344, 367.345, 367.346, 367.347, 367.348, 367.349 e 367.350.</t>
  </si>
  <si>
    <t>O documento NÃO possui número próprio de boletim ou de relatório. Identifica-se por: cliente 13838 (UFJ); período 01/03/2026 a 31/03/2026; data/hora de emissão 01/04/2026 16:48:37; e pelas 10 Ordens de Serviço O.S. 367.341 a 367.350. O número 0572838, presente no nome do arquivo (Boletim_medição_(0572838)), aparenta ser o número do documento no sistema SEI da UFJ — deve ser confirmado no processo, pois não consta no corpo do PDF.</t>
  </si>
  <si>
    <t>O.S 367.341, 367.343, 367.344, 367.345, 367.346, 367.347, 367.348, 367.349, 367.350 e 367.342.</t>
  </si>
  <si>
    <t>Documento ID 0572838 / Relatório de Medição de Resíduos.</t>
  </si>
  <si>
    <t>não consta no documento</t>
  </si>
  <si>
    <t>não consta no documento.</t>
  </si>
  <si>
    <t>Não consta número de processo administrativo ou licitatório em nenhuma parte do documento.</t>
  </si>
  <si>
    <t>NÃO CONSTA. O documento não menciona número de processo administrativo (SEI), número de contrato, termo de referência, nota de empenho nem número de nota fiscal. Essa vinculação precisa ser obtida no processo de contratação.</t>
  </si>
  <si>
    <t>A informação não consta no documento.</t>
  </si>
  <si>
    <t>Não consta explicitamente no documento analisado.</t>
  </si>
  <si>
    <t>Emissão/impressão: 01/04/2026, às 16:48:37. Período de referência: 01/03/2026 a 31/03/2026. Datas registradas nas O.S.: 23/03/2026 e 25/03/2026.</t>
  </si>
  <si>
    <t>Relatório impresso/gerado em 01/04/2026 às 16:48:37. Período: 01/03/2026 a 31/03/2026. Coletas registradas em 23/03/2026 e 25/03/2026.</t>
  </si>
  <si>
    <t>Data/hora de impressão do documento: 01/04/2026 às 16:48:37. Período de referência dos dados: 01/03/2026 a 31/03/2026. As coletas ocorreram em 23/03/2026 e 25/03/2026.</t>
  </si>
  <si>
    <t>Emissão/impressão: 01/04/2026, às 16:48:37. Período de referência: 01/03/2026 a 31/03/2026. Datas efetivas das coletas registradas: 23/03/2026 (O.S. 367.344, 367.348 e 367.349) e 25/03/2026 (demais sete O.S.). Não há data de assinatura, pois o documento não é assinado.</t>
  </si>
  <si>
    <t>Período de coleta: 01/03/2026 a 31/03/2026 (documento gerado em 01/04/2026).</t>
  </si>
  <si>
    <t>01/04/2026 (data de emissão do relatório).</t>
  </si>
  <si>
    <t>Universidade Federal de Jataí. Pontos: Anatomia Veterinária, Biomedicina, Engenharia Florestal, Medicina, Microbiologia, Ciências da Saúde, Ciências Exatas, Laboratórios Multiusuários, Departamento de Manutenção/Patrimônio e Hospital Veterinário.</t>
  </si>
  <si>
    <t>Universidade Federal de Jataí (UFJ), cliente 13838; pontos de coleta incluem blocos da Anatomia Veterinária, Biomedicina, Engenharia Florestal, Medicina, Microbiologia, Ciências da Saúde, Ciências Exatas, Laboratórios Multiusuários, Departamento de Manutenção/Patrimônio e Hospital Veterinário.</t>
  </si>
  <si>
    <t>Cliente: Universidade Federal de Jataí (código 13838). Pontos de coleta internos: Bloco de Anatomia Veterinária, Bloco da Biomedicina, Bloco da Engenharia Florestal, Bloco da Medicina, Bloco da Microbiologia, Bloco de Ciências da Saúde, Bloco de Ciências Exatas, Bloco dos Laboratórios Multiusuários, Departamento de Manutenção/Patrimônio e Hospital Veterinário.</t>
  </si>
  <si>
    <t>Cliente: Universidade Federal de Jataí (código 13838). São 10 pontos de coleta: 8.541 Bloco Anatomia Veterinária; 8.542 Hospital Veterinário; 8.543 Bloco da Biomedicina; 8.544 Bloco da Medicina; 8.545 Bloco de Ciências da Saúde; 8.546 Bloco da Engenharia Florestal; 8.547 Bloco da Microbiologia; 8.548 Bloco dos Laboratórios Multiusuários; 8.549 Bloco de Ciências Exatas; 8.550 Departamento de Manutenção/Patrimônio. O setor administrativo responsável pela fiscalização não é identificado no documento.</t>
  </si>
  <si>
    <t>Universidade Federal de Jataí (diversos blocos: Anatomia Veterinária, Biomedicina, Engenharia Florestal, etc.).</t>
  </si>
  <si>
    <t>Universidade Federal de Jataí (UFJ) e seus diversos blocos e departamentos (Anatomia Veterinária, Biomedicina, Engenharia Florestal, Medicina, Microbiologia, Ciências da Saúde, Ciências Extas, Laboratórios Multiusuários, Manutenção/Patrimônio e Hospital Veterinário).</t>
  </si>
  <si>
    <t>Universidade Federal de Jataí, identificada como cliente 13838, e Bio Resíduos – soluções ambientais, identificada pelo logotipo. Razão social completa e CNPJ da empresa: não consta no documento.</t>
  </si>
  <si>
    <t>A Universidade Federal de Jataí é identificada como cliente. O prestador/contratada não é identificado no relatório.</t>
  </si>
  <si>
    <t>Bio Resíduos (soluções ambientais) — empresa prestadora do serviço de coleta; Universidade Federal de Jataí — cliente/contratante.</t>
  </si>
  <si>
    <t>Duas partes: (a) BIO RESÍDUOS – Soluções Ambientais, empresa contratada emitente do relatório; (b) UNIVERSIDADE FEDERAL DE JATAÍ, contratante, identificada como cliente 13838. Não constam CNPJ, endereço, representantes legais, fiscal do contrato nem responsáveis pela entrega/recebimento em cada ponto.</t>
  </si>
  <si>
    <t>Bio Resíduos soluções ambientais (prestadora) e Universidade Federal de Jataí (cliente).</t>
  </si>
  <si>
    <t>Bio Resíduos Soluções Ambientais (empresa contratada) e Universidade Federal de Jataí - UFJ (cliente).</t>
  </si>
  <si>
    <t>não consta no documento. O relatório não contém seção 08 nem seções numeradas.</t>
  </si>
  <si>
    <t>Não aplicável. O documento não é organizado em seções numeradas (não existe "seção 08"); sua estrutura é por "Ponto de Coleta" ao longo de 4 páginas.</t>
  </si>
  <si>
    <t>NÃO SE APLICA. O documento não é estruturado em seções, cláusulas ou itens numerados — é um relatório operacional organizado por ponto de coleta. Observação: os pontos de coleta usam a numeração 8.541 a 8.550, o que pode ter gerado a referência a '08'; se a pergunta visa o 'grupo 8', trata-se do conjunto de pontos de coleta da UFJ. Se a pergunta se refere a um item 08 de um Termo de Referência ou Contrato, esse documento não foi fornecido.</t>
  </si>
  <si>
    <t>O documento não possui uma 'seção 08'.</t>
  </si>
  <si>
    <t>O documento não possui divisões formais em 'seção 08', mas lista pontos de coleta numerados (como o ponto 8.541 a 8.550).</t>
  </si>
  <si>
    <t>A pergunta não especifica qual informação deve ser localizada. O documento não possui seções numeradas: os registros por ponto estão em Identificação dos Resíduos Coletados (páginas 1 a 3), os dados de cobrança na página 3 e os totais consolidados nas páginas 3 e 4.</t>
  </si>
  <si>
    <t>não consta no documento. Não há seções numeradas; as informações estão distribuídas nas páginas 1 a 4 do relatório.</t>
  </si>
  <si>
    <t>Não aplicável. O documento não possui numeração de seções/cláusulas; está estruturado por blocos de "Ponto de Coleta", cada um com sua Ordem de Serviço e tabela de resíduos.</t>
  </si>
  <si>
    <t>NÃO SE APLICA (documento sem seções numeradas). A estrutura é: páginas 1 a 3 — blocos por ponto de coleta, cada um com nº da O.S., data da coleta, lista de tipos de resíduo com quantidade e o subtotal 'Qtdade total do ponto'; página 3 (rodapé) — quadro financeiro (mensalidade, qtd. contratada, qtd. excedente, valor unitário e total); páginas 3 e 4 — quadros 'Total do Cliente' e 'Total Geral' por tipo de resíduo.</t>
  </si>
  <si>
    <t>Não aplicável; o documento é estruturado por Ordens de Serviço (O.S.) e Pontos de Coleta.</t>
  </si>
  <si>
    <t>não consta no documento. O valor de R$ 2.861,34 refere-se ao período de março de 2026, e não é identificado como valor total anual do objeto licitado.</t>
  </si>
  <si>
    <t>não consta no documento. O arquivo não trata de objeto licitado nem informa valor total anual; registra R$ 2.861,34 como total do serviço/excedente no período informado.</t>
  </si>
  <si>
    <t>Não consta. Não é um instrumento de licitação nem apresenta "Valor Total Anual do Objeto". O único valor financeiro apresentado é o valor total do período (mês de março/2026): R$ 2.861,34.</t>
  </si>
  <si>
    <t>NÃO CONSTA. O documento é mensal e apresenta apenas o valor do período de março/2026: R$ 2.861,34. Não há valor anual, valor global do contrato nem valor licitado. Qualquer anualização a partir deste documento seria estimativa sem respaldo — o valor anual deve ser extraído do contrato/termo de referência.</t>
  </si>
  <si>
    <t>O documento não informa o Valor Total Anual. Apresenta apenas o valor total do período (mensal) de R$ 2.861,34.</t>
  </si>
  <si>
    <t>Não consta no documento (apresenta apenas o valor total excedente de R$ 2.861,34).</t>
  </si>
  <si>
    <t>não consta no documento. Não há comissão de contratação nem assinaturas registradas.</t>
  </si>
  <si>
    <t>Não consta. O documento não menciona comissão de contratação nem campo de assinatura.</t>
  </si>
  <si>
    <t>NÃO CONSTA. O documento não possui campo de assinatura, não identifica comissão de contratação, agente de contratação, fiscal ou gestor do contrato, e não contém atesto de recebimento do serviço. A única data de processamento é a da emissão: 01/04/2026.</t>
  </si>
  <si>
    <t>Não consta no documento.</t>
  </si>
  <si>
    <t>Cliente: Universidade Federal de Jataí, código 13838; período: 01 a 31/03/2026; emissão: 01/04/2026 16:48:37; O.S.: 367.341 a 367.350; 10 pontos listados; totais por ponto: Anatomia Veterinária 159,600 kg, Biomedicina 58,200 kg, Engenharia Florestal 14,590 kg, Medicina 0,000 kg, Microbiologia 28,300 kg, Ciências da Saúde 23,500 kg, Ciências Exatas 0,000 kg, Laboratórios Multiusuários 0,000 kg, Manutenção/Patrimônio 0,000 kg e Hospital Veterinário 192,700 kg; total: 476,890 kg; preço unitário do excedente: R$ 6,00/kg; total financeiro: R$ 2.861,34.</t>
  </si>
  <si>
    <t>Cliente: Universidade Federal de Jataí (cód. 13838); período: 01–31/03/2026; emissão: 01/04/2026 16:48:37; quantidade coletada: 476,890 kg; quantidade contratada: 0,00 kg; excedente: 476,890 kg; valor unitário do excedente: R$ 6,00; total: R$ 2.861,34; ordens de serviço: 367.341–367.350.</t>
  </si>
  <si>
    <t>Cliente: Universidade Federal de Jataí (nº 13838) | Período: 01/03/2026 a 31/03/2026 | Pontos de coleta: 10 | Total geral coletado: 476,890 KG | Qtd. contratada: 0,00 KG | Qtd. excedente: 476,890 KG | Valor unitário excedente: R$ 6,00/KG | Valor total: R$ 2.861,34.</t>
  </si>
  <si>
    <t>Emitente: Bio Resíduos | Cliente: 13838 - UFJ | Período: 01/03/2026 a 31/03/2026 | Emissão: 01/04/2026 16:48:37 | 10 O.S. (367.341 a 367.350) | Coletas em 23 e 25/03/2026. TOTAIS POR PONTO (KG): 8.541 Anatomia Veterinária 159,600; 8.542 Hospital Veterinário 192,700; 8.543 Biomedicina 58,200; 8.544 Medicina 0,000; 8.545 Ciências da Saúde 23,500; 8.546 Engenharia Florestal 14,590; 8.547 Microbiologia 28,300; 8.548 Laboratórios Multiusuários 0,000; 8.549 Ciências Exatas 0,000; 8.550 Manutenção/Patrimônio 0,000. TOTAIS POR TIPO (KG): Grupo A 166,590; Grupo A2 240,750; Grupo A3 0,000; Grupo B 7,200; Grupo E 32,550; Químico 29,800; Baterias 0,000; Eletrônico 0,000; Lâmpadas 0,000; Pilhas 0,000. TOTAL GERAL: 476,890 KG. FINANCEIRO: R$ 2.861,34. (Detalhamento completo na aba 'Dados_Extraidos'.)</t>
  </si>
  <si>
    <t>Cliente: UFJ; Período: 03/2026; Qtd total: 476,890 KG; Vl. unitário excedente: R$ 6,00; Valor Total: R$ 2.861,34.</t>
  </si>
  <si>
    <t>Período: 01/03/2026 a 31/03/2026; Total Geral Coletado: 476,890 kg; Valor Total: R$ 2.861,34.</t>
  </si>
  <si>
    <t>Mensalidade: R$ 0,00; valor unitário do excedente: R$ 6,00 por kg; valor total do excedente: R$ 2.861,34; Total: R$ 2.861,34; Valor Total Cliente: R$ 2.861,34; Valor Total Geral: R$ 2.861,34. Os totais repetidos não representam cobranças adicionais.</t>
  </si>
  <si>
    <t>Mensalidade: R$ 0,00; valor unitário do excedente: R$ 6,00; valor total do excedente/cliente/geral: R$ 2.861,34. Quantidade contratada informada: 0,00 kg; excedente: 476,890 kg. O cálculo 476,890 × R$ 6,00 corresponde a R$ 2.861,34.</t>
  </si>
  <si>
    <t>Mensalidade: R$ 0,00 | Quantidade contratada: 0,00 KG | Quantidade excedente: 476,890 KG | Valor unitário do excedente: R$ 6,00 | Valor total do excedente: R$ 2.861,34 | Total do cliente: R$ 2.861,34 | Valor Total Geral: R$ 2.861,34.</t>
  </si>
  <si>
    <t>Mensalidade: R$ 0,00. Quantidade contratada: 0,00 KG. Quantidade excedente: 476,890 KG. Valor unitário do excedente: R$ 6,00/KG. Valor total do excedente: R$ 2.861,34. Total: R$ 2.861,34. Valor Total Cliente: R$ 2.861,34. Valor Total Geral: R$ 2.861,34. Conferência aritmética: 476,890 KG x R$ 6,00 = R$ 2.861,34 — cálculo correto. Não há qualquer outro valor, desconto, tributo ou retenção no documento.</t>
  </si>
  <si>
    <t>Mensalidade: R$ 0,00; Vl. unitário excedente: R$ 6,00; Vl. Total Excedente: R$ 2.861,34; Valor Total Geral: R$ 2.861,34.</t>
  </si>
  <si>
    <t>Mensalidade: R$ 0,00; Valor unitário excedente: R$ 6,00/kg; Quantidade excedente: 476,890 kg; Valor Total Excedente / Total Geral: R$ 2.861,34.</t>
  </si>
  <si>
    <t>não consta no documento. O boletim registra coletas e valores, mas não estabelece obrigações ou responsabilidades contratuais.</t>
  </si>
  <si>
    <t>O relatório registra serviços de coleta de resíduos e seus quantitativos por local e categoria. Não estabelece obrigações ou responsabilidades contratuais de forma expressa.</t>
  </si>
  <si>
    <t>Não consta. O documento é um relatório operacional de medição de coleta, sem cláusulas de obrigações ou responsabilidades contratuais.</t>
  </si>
  <si>
    <t>O documento NÃO ESTABELECE obrigações — é um registro de execução, não um instrumento contratual ou normativo. As únicas responsabilidades dedutíveis são implícitas: da contratada, executar as coletas nos pontos e datas registrados e emitir o relatório; do contratante, pagar o valor apurado, R$ 2.861,34, após a devida conferência e atesto. Consta apenas a ressalva de rodapé de que os valores consideram o período de geração do relatório. As obrigações formais devem ser buscadas no contrato/termo de referência.</t>
  </si>
  <si>
    <t>O documento é um boletim quantitativo e não descreve obrigações contratuais em texto.</t>
  </si>
  <si>
    <t>Execução da coleta, transporte e destinação final adequada dos resíduos gerados nos pontos da instituição conforme ordens de serviço.</t>
  </si>
  <si>
    <t>não consta no documento. A cláusula/seção 4.1.4 não aparece no relatório.</t>
  </si>
  <si>
    <t>Não aplicável. O documento não possui cláusulas numeradas; não existe item 4.1.4.</t>
  </si>
  <si>
    <t>NÃO EXISTE no documento. Não há cláusula, item ou seção 4.1.4 — o PDF não possui numeração de cláusulas. A referência provavelmente pertence ao contrato ou termo de referência da contratação, que não foi fornecido. Para análise dessa cláusula é necessário anexar o instrumento contratual.</t>
  </si>
  <si>
    <t>O documento não possui cláusula ou seção 4.1.4.</t>
  </si>
  <si>
    <t>Não se aplica (cláusula não presente no documento).</t>
  </si>
  <si>
    <t>Pelo conteúdo, registrar e consolidar as quantidades de resíduos coletados e o valor correspondente no período, permitindo sua conferência administrativa. Destinação formal a pagamento ou atesto: não consta no documento.</t>
  </si>
  <si>
    <t>Documentar as coletas de resíduos realizadas para a UFJ no período, discriminar os quantitativos por local e tipo e apurar o excedente e o valor correspondente.</t>
  </si>
  <si>
    <t>Servir de base de medição e conferência dos serviços de coleta de resíduos efetivamente prestados no mês, subsidiando a apuração e o faturamento (cobrança) do volume excedente à universidade.</t>
  </si>
  <si>
    <t>Servir de comprovação quantitativa da execução mensal do serviço de coleta de resíduos, para fins de: (a) medição do período (março/2026); (b) conferência e atesto pelo fiscal do contrato; (c) liquidação e pagamento da despesa, aqui apurada em R$ 2.861,34; e (d) controle ambiental da geração de resíduos por unidade do campus. Na prática está sendo usado como boletim de medição, embora não tenha os elementos formais de um (assinatura, atesto e vinculação ao contrato).</t>
  </si>
  <si>
    <t>Comprovar e quantificar a coleta de resíduos realizada no mês para fins de faturamento e controle ambiental.</t>
  </si>
  <si>
    <t>Comprovar a medição, o volume de resíduos coletados e servir de base para o faturamento e liquidação de despesa.</t>
  </si>
  <si>
    <t>não consta no documento. A cláusula/seção 4.11 não aparece no relatório.</t>
  </si>
  <si>
    <t>Não aplicável. Não existe item 4.11 no documento.</t>
  </si>
  <si>
    <t>NÃO EXISTE no documento. Não há item, cláusula ou campo 4.11 no PDF. Se a referência é ao contrato ou termo de referência, esse documento não foi disponibilizado e a análise não pode ser feita.</t>
  </si>
  <si>
    <t>O documento não possui seção 4.11.</t>
  </si>
  <si>
    <t>Não se aplica (seção 4.11 não consta no documento).</t>
  </si>
  <si>
    <t>Há pontos a esclarecer: a quantidade contratada está em 0,00 kg e toda a medição aparece como excedente; no Total do Cliente há duas linhas denominadas LAMPADA e a descrição ELETRONI está truncada. Os totais quantitativos e financeiros conferem; esses pontos não demonstram, por si sós, cobrança incorreta.</t>
  </si>
  <si>
    <t>Há pontos que merecem conferência: a quantidade contratada é 0,00 kg, enquanto 476,890 kg são classificados como excedentes; e o resumo do cliente repete “LAMPADA” em duas linhas de 0,000, enquanto o total geral separa “LAMPADA” e “LAMPADAS FLUORESCENTE”.</t>
  </si>
  <si>
    <t>Sim, um ponto de atenção: a tabela "Total do Cliente" é interrompida entre as páginas 3 e 4 (parte dela aparece na pág. 3 com BATERIAS, ELETRONICO e GRUPO A, e o restante na pág. 4), o que pode causar leitura equivocada se as páginas forem analisadas isoladamente. Também chama atenção o fato de a "Qtd Contratada" ser 0,00 KG mesmo havendo prestação regular do serviço, fazendo com que 100% do volume coletado (476,890 KG) seja lançado como "excedente".</t>
  </si>
  <si>
    <t>SIM, várias. (1) 'Qtd Contratada: 0,00 KG' com 'Mensalidade: R$ 0,00', fazendo com que 100% do volume (476,890 KG) seja cobrado como excedente — situação atípica que deve ser confrontada com o contrato. (2) A coluna MTR está integralmente em branco nas 4 páginas, apesar de prevista no layout e obrigatória para resíduos de serviços de saúde. (3) No quadro 'Total do Cliente' (pág. 4) o rótulo 'LAMPADA' aparece duas vezes, enquanto o 'Total Geral' traz 'LAMPADA' e 'LÂMPADAS FLUORESCENTE' — erro de rotulagem. (4) A lista de tipos de resíduo varia entre os pontos (Eng. Florestal e Manutenção/Patrimônio não trazem as mesmas linhas dos demais). (5) Coexistem 'GRUPO A' genérico (166,590 KG) e o subgrupo 'GRUPO A2' (240,750 KG), sem critério explícito de classificação. (6) O nome do arquivo indica 'Boletim de medição', mas o título do documento é 'Impressão Ordem de Serviço Resíduos'.</t>
  </si>
  <si>
    <t>Não. As somatórias das quantidades por ponto correspondem ao valor total cobrado.</t>
  </si>
  <si>
    <t>Não foram identificadas inconsistências aparentes nos dados quantitativos e somas de pesagem.</t>
  </si>
  <si>
    <t>Não foram identificadas incompatibilidades aritméticas ou cronológicas: os totais por ponto e por grupo somam 476,890 kg; 476,890 kg × R$ 6,00/kg = R$ 2.861,34. As datas das O.S. estão dentro do período e a impressão é posterior. A quantidade contratada zerada requer esclarecimento.</t>
  </si>
  <si>
    <t>O relatório não mostra divergência aritmética no total: 476,890 kg × R$ 6,00 = R$ 2.861,34. Deve-se verificar a compatibilidade entre quantidade contratada de 0,00 kg e o total integral classificado como excedente. As datas de coleta estão dentro do período informado.</t>
  </si>
  <si>
    <t>Não foram encontradas incompatibilidades aritméticas entre os subtotais por ponto de coleta e os totais gerais (os valores somam corretamente). Ressalva: em três pontos de coleta (Ciências Exatas, Laboratórios Multiusuários e Departamento de Manutenção/Patrimônio) todos os resíduos aparecem zerados, o que é possível mas merece confirmação de que houve de fato a coleta.</t>
  </si>
  <si>
    <t>Não há erro aritmético: os subtotais por ponto somam 476,890 KG, os totais por tipo somam 476,890 KG e 476,890 x R$ 6,00 = R$ 2.861,34 — tudo confere. As incompatibilidades são de outra natureza: (a) quantidade contratada 0,00 KG versus 476,890 KG efetivamente cobrados; (b) quatro pontos (8.544 Medicina, 8.548 Lab. Multiusuários, 8.549 Ciências Exatas, 8.550 Manutenção) têm O.S. emitida e data de coleta, mas quantidade total 0,000 KG — é preciso verificar se houve visita sem geração ou se a coleta não ocorreu; (c) o total de 476,890 soma linhas em KG com a linha 'LAMPADA' medida em UN (sem efeito numérico por ser zero, mas metodologicamente incorreto); (d) todas as coletas concentram-se em apenas dois dias (23 e 25/03), o que deve ser confrontado com a periodicidade prevista em contrato.</t>
  </si>
  <si>
    <t>Não. A multiplicação do excedente (476,890 kg) pela tarifa (R$ 6,00) totaliza corretamente os R$ 2.861,34 apresentados.</t>
  </si>
  <si>
    <t>Não há valores, datas ou números aparentemente incompatíveis.</t>
  </si>
  <si>
    <t>Sim. Os campos MTR estão sem preenchimento. Número de processo e contrato, CNPJ e razão social completa da empresa, identificação e assinatura de responsáveis, atesto, comprovantes de destinação e fundamento da quantidade contratada zerada: não consta no documento.</t>
  </si>
  <si>
    <t>Sim. Não aparecem número de processo, identificação da contratada/prestador, assinaturas ou referência contratual que explique a quantidade contratada, a cobrança do excedente e os critérios de medição.</t>
  </si>
  <si>
    <t>Sim: não há CNPJ das partes, não há número de contrato, não há assinatura ou identificação do responsável pela emissão/aprovação, e a coluna "MTR" (Manifesto de Transporte de Resíduos) está presente no cabeçalho de todas as páginas mas nunca é preenchida em nenhum registro.</t>
  </si>
  <si>
    <t>SIM. Estão ausentes: número do processo administrativo e do contrato; nota de empenho; CNPJ e razão social completa das partes; identificação e assinatura do preposto da contratada e do fiscal/gestor do contrato; atesto de recebimento; números dos MTR (Manifesto de Transporte de Resíduos) e dos Certificados de Destinação Final; identificação do destino/tratamento dado a cada classe de resíduo; comprovantes de pesagem (tickets de balança); horário das coletas; placa do veículo e licença ambiental do transportador; memória de cálculo e origem do preço unitário de R$ 6,00/KG; e vinculação ao item da planilha contratual.</t>
  </si>
  <si>
    <t>Sim, faltam número do contrato, número do processo administrativo, assinaturas e números das MTRs (Manifestos de Transporte de Resíduos).</t>
  </si>
  <si>
    <t>Número do processo administrativo, dados do contrato original e assinaturas de atesto.</t>
  </si>
  <si>
    <t>Possíveis falhas de descrição/formatação: ELETRONI no Total do Cliente, duas linhas LAMPADA nesse resumo e a expressão BLOCO DO LABORATÓRIOS MULTIUSUÁRIOS. Não foi identificado erro de soma ou multiplicação; o lançamento de quantidade contratada zero depende de verificação.</t>
  </si>
  <si>
    <t>Possíveis pontos materiais a conferir: quantidade contratada indicada como 0,00 kg frente ao excedente de 476,890 kg; duplicidade do rótulo “LAMPADA” no resumo do cliente; e diferenças de nomenclatura entre “LAMPADA” e “LAMPADAS FLUORESCENTE”. Não é possível confirmar erro sem consultar a documentação de suporte.</t>
  </si>
  <si>
    <t>Não foram identificados erros aritméticos nos totais (os subtotais por ponto conferem com os totais por cliente e o total geral). Ponto que merece checagem: a "Qtd Contratada" constar como 0,00 KG, o que pode ser um dado real (ausência de franquia contratual) ou uma falha de cadastro no sistema do fornecedor.</t>
  </si>
  <si>
    <t>(1) Rótulo 'LAMPADA' duplicado no quadro 'Total do Cliente' da página 4, onde a segunda linha deveria ser 'LÂMPADAS FLUORESCENTE'. (2) Soma de grandezas heterogêneas no total (itens em KG somados a item em UN). (3) Listas de tipos de resíduo não padronizadas entre os pontos de coleta. (4) Classificação de resíduos em 'GRUPO A' genérico convivendo com 'GRUPO A2' e 'GRUPO A3', o que não corresponde à classificação usual (A1 a A5) e pode comprometer o controle. (5) Coluna MTR presente no cabeçalho e nunca preenchida. (6) Documento sem numeração própria, sem assinatura e sem identificação do responsável pela emissão. Nenhum desses é erro de cálculo — a aritmética está correta.</t>
  </si>
  <si>
    <t>Não foram identificados erros matemáticos ou materiais visíveis nas somas.</t>
  </si>
  <si>
    <t>Não há erros materiais aparentes no texto ou nos cálculos apresentados.</t>
  </si>
  <si>
    <t>Sim. Conferir a quantidade contratada de 0,00 kg, o enquadramento de 476,890 kg como excedente, o preço de R$ 6,00/kg, os campos MTR vazios, as O.S. com quantidade zero e a distinção entre GRUPO B e QUIMICO, ambos com 7,200 kg no Hospital Veterinário, sem presumir duplicidade.</t>
  </si>
  <si>
    <t>Sim. Recomenda-se conferir as ordens de serviço e comprovantes de coleta, as quantidades por ponto e resíduo, a quantidade contratada, o enquadramento do excedente, a tarifa de R$ 6,00/kg e a classificação/duplicidade dos itens “LAMPADA”.</t>
  </si>
  <si>
    <t>Sim: (1) confirmar se "Qtd Contratada: 0,00 KG" está correta, pois zera a franquia e faz todo o volume ser cobrado como excedente; (2) confirmar a ausência de preenchimento do MTR em todas as coletas; (3) conferir se as datas (23/03 e 25/03) e as quantidades por bloco batem com os registros internos da universidade antes de atestar o boletim para pagamento.</t>
  </si>
  <si>
    <t>SIM, obrigatoriamente. Antes de atestar ou pagar, o servidor deve verificar: (a) o contrato vigente, em especial a quantidade contratada e o preço unitário de R$ 6,00/KG, diante do campo 'Qtd Contratada: 0,00 KG'; (b) a existência e a regularidade dos MTR no SINIR/sistema estadual para cada coleta; (c) os comprovantes de pesagem que sustentam os 476,890 KG; (d) se as coletas de 23 e 25/03/2026 efetivamente ocorreram, mediante confirmação nos pontos; (e) por que quatro pontos registram 0,000 KG; (f) a conferência do relatório com a nota fiscal a ser apresentada; (g) a regularidade fiscal e as licenças ambientais da contratada; (h) a disponibilidade orçamentária e o empenho correspondente.</t>
  </si>
  <si>
    <t>Sim. A veracidade das pesagens de cada bloco e se a ausência dos Manifestos de Transporte de Resíduos (MTR) impede o ateste.</t>
  </si>
  <si>
    <t>Sim, conferir as quantidades coletadas nas ordens de serviço individuais e a correspondência com os Manifestos de Transporte de Resíduos (MTR).</t>
  </si>
  <si>
    <t>Requisitos contratuais ou critérios explícitos de aceitação: não consta no documento. Portanto, não é possível concluir desconformidade com esses requisitos. As datas e os cálculos apresentados são internamente compatíveis.</t>
  </si>
  <si>
    <t>Não é possível concluir desconformidade com requisitos internos, pois o relatório não apresenta requisitos de contratação ou critérios de aceitação. O dado “quantidade contratada: 0,00 kg” junto ao registro de 476,890 kg excedentes deve ser confrontado com o contrato e a regra de cobrança.</t>
  </si>
  <si>
    <t>Sim: a coluna "MTR" figura no cabeçalho de todas as páginas como campo padrão do relatório, mas não é preenchida em nenhuma das 10 Ordens de Serviço, inclusive nas que envolvem resíduos de Grupo A/A2 (potencialmente infectantes) e Químico — o que pode indicar ausência da documentação de rastreabilidade normalmente exigida para esse tipo de resíduo.</t>
  </si>
  <si>
    <t>SIM. O próprio layout do documento prevê campos que não foram atendidos: a coluna MTR consta do cabeçalho de todas as páginas e está inteiramente vazia; o quadro financeiro prevê 'Qtd Contratada' e registra 0,00 KG, o que esvazia a lógica de mensalidade + excedente que o próprio quadro estrutura; o documento prevê a discriminação por subgrupos (A, A2, A3) mas lança volumes em 'GRUPO A' genérico; e a estrutura padronizada de tipos de resíduo por ponto não é seguida em todos os pontos. Há, portanto, desconformidade interna entre o formulário e o seu preenchimento.</t>
  </si>
  <si>
    <t>Sim. A coluna 'MTR' está vazia para todas as pesagens, o que geralmente é obrigatório na gestão de resíduos biológicos e químicos.</t>
  </si>
  <si>
    <t>Não há elementos que indiquem desconformidade com os requisitos aparentes.</t>
  </si>
  <si>
    <t>Requisitos ou exigências de execução/aceitação: não consta no documento. Há parâmetros de registro: período de 01 a 31/03/2026, identificação dos pontos e O.S., tipos de resíduos, quantidades em KG ou UN e valor unitário do excedente de R$ 6,00.</t>
  </si>
  <si>
    <t>O documento explicita cliente, período de referência, datas e números de ordens de serviço, pontos de coleta, tipos e quantidades de resíduos, quantidade contratada, excedente, valor unitário e total.</t>
  </si>
  <si>
    <t>Identificação do cliente e do ponto de coleta; número da Ordem de Serviço; data da coleta; discriminação da quantidade coletada por tipo de resíduo (Baterias, Eletrônico, Grupo A, A2, A3, B, E, Lâmpadas Fluorescentes, Pilhas, Químico); totalização por ponto, por cliente e geral; apuração de mensalidade, quantidade contratada, quantidade excedente, valor unitário e valor total.</t>
  </si>
  <si>
    <t>O documento apresenta: identificação do emitente (Bio Resíduos) e do cliente (13838 - UFJ); período de referência; data e hora de emissão; paginação (1 a 4); identificação de cada ponto de coleta por código e nome; número da Ordem de Serviço; data da coleta; discriminação do resíduo por tipo; quantidade com três casas decimais e unidade (KG/UN); coluna destinada ao MTR; subtotal por ponto de coleta; quadro financeiro com mensalidade, quantidade contratada, quantidade excedente, valor unitário e valor total; quadros consolidados 'Total do Cliente' e 'Total Geral' por tipo de resíduo; e nota de rodapé informando que os valores consideram o período de geração do relatório.</t>
  </si>
  <si>
    <t>Identificação do cliente, pontos de coleta, peso por grupo de resíduo, datas, período, valor unitário e valores totais cobrados.</t>
  </si>
  <si>
    <t>Período de apuração, identificação dos pontos de coleta, peso por grupo de resíduo e valores financeiros do excedente.</t>
  </si>
  <si>
    <t>Para vincular e conferir a medição, faltam no arquivo os números de processo e contrato, a identificação completa da empresa, os MTR preenchidos, o atesto de responsável e a justificativa dos parâmetros de cobrança; essas informações: não consta no documento. A obrigatoriedade de cada uma não é estabelecida no boletim.</t>
  </si>
  <si>
    <t>Parecem ausentes: processo e contrato de referência, identificação do prestador, critérios de medição e cobrança, justificativa da quantidade contratada zerada e validação/assinatura do responsável pela conferência.</t>
  </si>
  <si>
    <t>Número de contrato/processo administrativo; CNPJ das partes; assinatura ou identificação do responsável pela emissão e pela conferência; número do MTR de cada coleta; período de vigência do contrato; especificação da franquia mensal contratada (caso exista, já que consta 0,00 KG).</t>
  </si>
  <si>
    <t>Para uso administrativo como boletim de medição, faltam: vinculação ao contrato e ao processo; identificação completa das partes (CNPJ); assinatura do preposto da contratada e atesto do fiscal com data; números de MTR e de Certificado de Destinação Final; comprovação de pesagem; destinação final por classe de resíduo; licenças ambientais do transportador e do destinatário; número da nota fiscal correspondente; e memória do preço unitário aplicado. Sem esses elementos, o documento comprova quantidade declarada, mas não comprova regularidade da execução.</t>
  </si>
  <si>
    <t>Assinatura do fiscal responsável pelo ateste, número do processo, número do contrato, e os códigos MTR.</t>
  </si>
  <si>
    <t>Número do processo, assinatura dos responsáveis pela fiscalização e dados do contrato base.</t>
  </si>
  <si>
    <t>não consta no documento. Não foi fornecido outro documento relacionado para confronto nesta análise.</t>
  </si>
  <si>
    <t>não é possível verificar: foi fornecido apenas este documento, sem outro documento relacionado para comparação.</t>
  </si>
  <si>
    <t>Não é possível avaliar — nenhum outro documento foi enviado junto para fins de comparação.</t>
  </si>
  <si>
    <t>NÃO É POSSÍVEL AVALIAR com o material disponível: foi fornecido apenas este PDF, sem contrato, termo de referência, nota fiscal, MTR ou relatórios de meses anteriores. A verificação exige confronto com, no mínimo: (a) contrato/termo de referência — quantidade contratada e preço unitário; (b) nota fiscal do período; (c) MTRs emitidos em março/2026; (d) relatórios dos meses anteriores, para avaliar a consistência dos volumes.</t>
  </si>
  <si>
    <t>Não é possível responder, pois não há outro documento fornecido para comparação.</t>
  </si>
  <si>
    <t>Não é possível verificar pois nenhum outro documento foi fornecido para confronto.</t>
  </si>
  <si>
    <t>não consta no documento. Não foi fornecido outro documento para comparação.</t>
  </si>
  <si>
    <t>não é possível verificar: o documento relacionado necessário para comparação não foi fornecido.</t>
  </si>
  <si>
    <t>Não aplicável — apenas este documento foi fornecido, não há outro para comparar.</t>
  </si>
  <si>
    <t>NÃO SE APLICA no estado atual — há um único documento no conjunto analisado. Assim que os documentos correlatos forem anexados (contrato, nota fiscal, MTR e medições anteriores), a comparação deve focar em: quantidade contratada, preço unitário, volumes por ponto de coleta, datas de coleta e valor total faturado.</t>
  </si>
  <si>
    <t>não consta no documento. Não há histórico de revisões ou versão anterior para identificar alterações.</t>
  </si>
  <si>
    <t>não é possível verificar: não há versão anterior ou documento relacionado disponível para comparação.</t>
  </si>
  <si>
    <t>Não aplicável — não há versão anterior do documento disponível para comparação.</t>
  </si>
  <si>
    <t>NÃO IDENTIFICÁVEL. O documento não possui controle de versão, número de revisão, histórico de alterações, rasuras visíveis ou indicação de retificação. Trata-se de emissão única gerada pelo sistema da contratada em 01/04/2026. Para identificar alterações seria necessária a versão anterior do mesmo relatório ou o log do sistema emissor.</t>
  </si>
  <si>
    <t>Nenhuma alteração perceptível no documento fornecido.</t>
  </si>
  <si>
    <t>Pontos de atenção: quantidade contratada zerada e medição integral como excedente; ausência de MTR preenchidos; O.S. com total zero; descrições truncadas ou repetidas no resumo; ausência de identificação completa da empresa e de atesto no arquivo.</t>
  </si>
  <si>
    <t>Conferir a quantidade contratada zerada e a cobrança integral como excedente; validar pesagens e ordens de serviço; esclarecer o rótulo duplicado “LAMPADA”; e confirmar contratada, contrato e processo de referência.</t>
  </si>
  <si>
    <t>Quantidade contratada registrada como 0,00 KG, resultando na cobrança de 100% do volume (476,890 KG) como excedente; ausência de preenchimento do MTR em todas as 10 Ordens de Serviço; existência de três pontos de coleta com todos os resíduos zerados no mês; ausência de assinatura/identificação do responsável pela emissão e validação do boletim.</t>
  </si>
  <si>
    <t>(1) Cobrança de 100% do volume como excedente, com quantidade contratada zerada e mensalidade zerada. (2) Ausência total de MTR, documento exigido pela Política Nacional de Resíduos Sólidos para resíduos de serviços de saúde. (3) Documento sem assinatura e sem atesto sendo usado como base de medição e pagamento. (4) Quatro pontos com O.S. aberta e volume zero. (5) Concentração de todas as coletas em dois dias do mês. (6) Preço unitário único de R$ 6,00/KG aplicado a classes de resíduo muito distintas (infectante, químico, perfurocortante), sem diferenciação. (7) Classificação genérica em 'GRUPO A'. (8) Ausência de comprovantes de pesagem que permitam auditar a quantidade.</t>
  </si>
  <si>
    <t>A 'Qtd Contratada' consta como 0,00 KG, sendo todo o peso coletado faturado como 'excedente' a R$ 6,00/kg. É necessário verificar se o contrato original prevê isso.</t>
  </si>
  <si>
    <t>Atenção à cobrança integral de quantidade excedente (476,890 kg) a R$ 6,00/kg, totalizando R$ 2.861,34.</t>
  </si>
  <si>
    <t>Antes da decisão, conferir os 476,890 kg registrados, sua distribuição pelas O.S., o preço unitário de R$ 6,00/kg e o total de R$ 2.861,34; esclarecer quantidade contratada zero, registros sem quantidade, MTR vazios e classificação GRUPO B/QUIMICO; verificar a vinculação contratual e a validação por responsável, ausentes no boletim.</t>
  </si>
  <si>
    <t>Conferir o período e as datas das coletas; os totais por ponto e por categoria; o total de 476,890 kg; a tarifa de R$ 6,00/kg e o cálculo de R$ 2.861,34; a quantidade contratada de 0,00 kg; e o enquadramento/nomenclatura das lâmpadas.</t>
  </si>
  <si>
    <t>Se a quantidade contratada de 0,00 KG está correta perante o contrato vigente (e não é falha de cadastro); se o valor unitário de R$ 6,00/KG aplicado ao excedente corresponde ao valor contratual atualizado; se as datas e quantidades por bloco conferem com o controle interno da universidade; se a ausência de MTR é regularizável antes do ateste/pagamento.</t>
  </si>
  <si>
    <t>Antes de atestar, liquidar ou pagar: o contrato vigente (quantidade contratada, preço unitário, periodicidade e forma de medição); a existência e conformidade dos MTR e CDF; os tickets de pesagem que sustentam os 476,890 KG; a confirmação das coletas com os responsáveis de cada ponto; a justificativa para os pontos com volume zero; a conferência entre relatório, nota fiscal e empenho; a regularidade fiscal, trabalhista e ambiental da contratada; e a existência de saldo contratual e orçamentário. Recomenda-se ainda comparar com os volumes dos meses anteriores para identificar variações atípicas.</t>
  </si>
  <si>
    <t>Deve-se conferir se o contrato prevê franquia zero, a tarifa de R$ 6,00/kg e verificar as justificativas para as colunas MTR estarem em branco.</t>
  </si>
  <si>
    <t>Conferência do atesto de recebimento dos serviços pelos servidores responsáveis em cada bloco/laboratório e verificação de saldo contratual.</t>
  </si>
  <si>
    <t>Como avaliação limitada ao arquivo: campos MTR vazios dificultam a rastreabilidade; ausência de vínculo contratual e atesto dificulta validar a cobrança; quantidade contratada zero e descrições ambíguas podem levar a interpretação inadequada. São riscos de uso do boletim isoladamente, não irregularidades comprovadas.</t>
  </si>
  <si>
    <t>Risco de pagamento ou ateste indevido se o excedente de 476,890 kg e a tarifa de R$ 6,00/kg não corresponderem ao contrato; risco de classificação incorreta dos resíduos ou de erro de transcrição nos itens de lâmpadas.</t>
  </si>
  <si>
    <t>Risco de pagamento integral do volume coletado como "excedente" caso a quantidade contratada de 0,00 KG seja um erro de cadastro, e não a condição real do contrato; risco de conformidade ambiental/regulatória pela ausência de MTR nos resíduos de Grupo A/A2 e Químico, que normalmente exigem rastreabilidade formal de transporte e destinação.</t>
  </si>
  <si>
    <t>(1) Liquidação da despesa sem comprovação suficiente da execução (ausência de atesto, assinatura e pesagem), com risco de pagamento indevido e de responsabilização do fiscal. (2) Pagamento de volume integral como excedente sem amparo contratual expresso, com risco de cobrança irregular. (3) Ausência de MTR/CDF, que expõe a instituição a responsabilidade ambiental pelos resíduos, inclusive solidária quanto à destinação final. (4) Uso de documento não assinado, emitido unilateralmente pela contratada, como único suporte de pagamento. (5) Risco de inconsistência entre volume faturado e volume efetivamente coletado, não auditável com os dados apresentados. (6) Eventual execução sem cobertura contratual ou orçamentária, caso não haja contrato vigente compatível. Observação: esta é uma leitura técnica do documento, não uma análise jurídica — recomenda-se manifestação da área competente.</t>
  </si>
  <si>
    <t>Atestar e pagar uma despesa de coleta de resíduos perigosos sem os respectivos códigos MTR registrados pode gerar passivo ambiental e administrativo.</t>
  </si>
  <si>
    <t>Realização de pagamento por serviços excedentes sem a devida comprovação de aditivo contratual ou saldo suficiente.</t>
  </si>
  <si>
    <t>1) Cliente: Universidade Federal de Jataí. 2) Período: março de 2026, com impressão em 01/04/2026. 3) Dez pontos listados, seis com quantidades positivas. 4) Total: 476,890 kg, a R$ 6,00/kg, resultando em R$ 2.861,34. 5) MTR sem preenchimento e quantidade contratada de 0,00 kg são pontos de conferência.</t>
  </si>
  <si>
    <t>1) Relatório de coleta de resíduos da UFJ referente a março de 2026. 2) Coletas em 23 e 25 de março, em diferentes unidades. 3) Quantidade total: 476,890 kg. 4) Quantidade contratada: 0,00 kg; todo o volume foi lançado como excedente. 5) Valor unitário: R$ 6,00/kg; total: R$ 2.861,34.</t>
  </si>
  <si>
    <t>1) É um boletim/relatório de medição de coleta de resíduos da Bio Resíduos para a UFJ, referente a março/2026. 2) Foram atendidos 10 pontos de coleta em datas de 23 e 25/03/2026. 3) O volume total coletado foi de 476,890 KG, distribuído principalmente entre Grupo A, Grupo A2, Grupo E e Químico. 4) A quantidade contratada consta como 0,00 KG, de modo que todo o volume foi tratado como excedente. 5) O valor total apurado no período foi de R$ 2.861,34 (476,890 KG x R$ 6,00/KG).</t>
  </si>
  <si>
    <t>(1) Relatório da Bio Resíduos para a UFJ (cliente 13838) sobre a coleta de resíduos em março/2026, emitido em 01/04/2026. (2) Registra 10 ordens de serviço (367.341 a 367.350) em 10 pontos do campus, com coletas em 23 e 25/03/2026. (3) Volume total coletado: 476,890 KG, concentrado no Hospital Veterinário (192,700 KG), Anatomia Veterinária (159,600 KG) e Biomedicina (58,200 KG); quatro pontos registraram zero. (4) Por tipo, predominam Grupo A2 (240,750 KG), Grupo A (166,590 KG), Grupo E (32,550 KG) e Químico (29,800 KG). (5) Valor apurado: R$ 2.861,34, integralmente como excedente (476,890 KG x R$ 6,00/KG), com quantidade contratada e mensalidade registradas como zero.</t>
  </si>
  <si>
    <t>1. Boletim de resíduos da UFJ (março/2026). 2. Executado pela Bio Resíduos. 3. Volume total: 476,890 kg. 4. Custo total (excedente): R$ 2.861,34. 5. Vários blocos não tiveram resíduos gerados (0 kg).</t>
  </si>
  <si>
    <t>1. Relatório de medição de resíduos da Bio Resíduos para a UFJ (março/2026).
2. Abrange 10 pontos de coleta/blocos.
3. Total coletado de 476,890 kg.
4. Mensalidade contratual de R$ 0,00 com cobrança por excedente de R$ 6,00/kg.
5. Valor total a pagar de R$ 2.861,34.</t>
  </si>
  <si>
    <t>Consolidar o registro das coletas de resíduos da Universidade Federal de Jataí no período informado, com suas quantidades e valor total.</t>
  </si>
  <si>
    <t>Registrar as coletas de resíduos e consolidar quantitativos e valores do período de 01/03/2026 a 31/03/2026.</t>
  </si>
  <si>
    <t>Registrar e totalizar, para fins de medição e cobrança, os resíduos efetivamente coletados pela Bio Resíduos nos diversos blocos da Universidade Federal de Jataí durante o mês de março de 2026.</t>
  </si>
  <si>
    <t>Comprovar e quantificar a execução mensal do serviço de coleta de resíduos na UFJ em março/2026, servindo de base para a medição, a conferência pelo fiscal e o consequente pagamento de R$ 2.861,34 à contratada, além de permitir o acompanhamento da geração de resíduos por unidade do campus.</t>
  </si>
  <si>
    <t>Apresentar a totalização da coleta de resíduos do mês para embasar a cobrança junto à Universidade.</t>
  </si>
  <si>
    <t>Servir de boletim de medição para atesto, conferência e liquidação de despesa pública com coleta de resíduos.</t>
  </si>
  <si>
    <t>1) Identificação e período: Universidade Federal de Jataí, cliente 13838, março de 2026, O.S. 367.341 a 367.350. 2) Medição e valor: 476,890 kg, R$ 6,00/kg e R$ 2.861,34. 3) Pontos a verificar: quantidade contratada zero, MTR vazios e ausência de vínculo contratual e atesto no arquivo.</t>
  </si>
  <si>
    <t>1) Total coletado de 476,890 kg e sua composição por resíduo/local. 2) Quantidade contratada de 0,00 kg versus excedente de 476,890 kg. 3) Valor cobrado de R$ 2.861,34, calculado à tarifa de R$ 6,00/kg.</t>
  </si>
  <si>
    <t>1) O volume total coletado no mês foi de 476,890 KG, integralmente lançado como excedente por a quantidade contratada constar como 0,00 KG. 2) O valor total a ser pago no período é de R$ 2.861,34. 3) Nenhuma das 10 Ordens de Serviço apresenta número de MTR preenchido, ponto que merece verificação antes da aprovação do pagamento.</t>
  </si>
  <si>
    <t>(1) O resultado financeiro e sua base de cálculo: 476,890 KG x R$ 6,00/KG = R$ 2.861,34 — aritmeticamente correto, mas dependente da confirmação do preço unitário no contrato. (2) O campo 'Qtd Contratada: 0,00 KG' com mensalidade zerada, que faz todo o volume ser cobrado como excedente e é o ponto que mais exige confronto com o instrumento contratual antes de qualquer pagamento. (3) A ausência completa de MTR, de assinatura e de atesto, que impede que o documento, isoladamente, sirva de comprovação regular da execução para fins de liquidação da despesa e expõe a instituição a risco ambiental e administrativo.</t>
  </si>
  <si>
    <t>1. Quantidade total faturada (476,890 KG). 2. Valor total devido (R$ 2.861,34). 3. Ausência de numeração MTR que comprova a destinação legal dos resíduos.</t>
  </si>
  <si>
    <t>1. Quantidade total de resíduos coletados (476,890 kg).
2. Valor financeiro total da medição (R$ 2.861,34).
3. Período de referência da medição (01/03/2026 a 31/03/2026).</t>
  </si>
  <si>
    <t>Registrar a cobrança de 476,89 kg de quantidade excedente de resíduos, a R$ 6,00/kg, nos serviços contínuos de coleta, transporte, tratamento e destinação final prestados à Universidade Federal de Jataí, referentes a março.</t>
  </si>
  <si>
    <t>Registrar e cobrar serviços de coleta de resíduos perigosos, incluindo quantidade excedente de 476,89 kg no período de março.</t>
  </si>
  <si>
    <t>Nota Fiscal de Serviços Eletrônica (NFS-e) referente à prestação de serviços contínuos de coleta, transporte, tratamento e destinação final de resíduos (atividade: coleta de resíduos perigosos), emitida pela GYN Resíduos Ambiental LTDA (Bio Resíduos Soluções Ambientais) em favor da Universidade Federal de Jataí.</t>
  </si>
  <si>
    <t>Nota Fiscal de Serviços Eletrônica (NFS-e) nº 119.235, emitida em 14/04/2026 pela GYN RESIDUOS AMBIENTAL LTDA (Bio Resíduos Soluções Ambientais) contra a Universidade Federal de Jataí, para cobrança de serviços contínuos de coleta, transporte, tratamento e destinação final de resíduos — especificamente de quantidade excedente de 476,89 kg a R$ 6,00/kg, referente ao mês de março, no valor total de R$ 2.861,34.</t>
  </si>
  <si>
    <t>É uma Nota Fiscal de Serviços Eletrônica (NFS-e), referente à prestação de serviços de coleta, transporte, tratamento e destinação final de resíduos perigosos.</t>
  </si>
  <si>
    <t>Contratação de bens/serviços conforme objeto licitado no relatório.</t>
  </si>
  <si>
    <t>NFS-e nº 119.235. RPS nº 121.739, série 9. Código de autenticidade: 1CC034AC3.</t>
  </si>
  <si>
    <t>Nota Fiscal nº 119.235 (RPS nº 121.739, Série do RPS 9). Código de Autenticidade: 1CC034AC3.</t>
  </si>
  <si>
    <t>NFS-e nº 119.235 (Prefeitura de Aparecida de Goiânia/GO). Identificações complementares: RPS nº 121.739, Série 9; Código de Autenticidade 1CC034AC3; verificação em https://www.issnetonline.com.br/aparecidade/online.</t>
  </si>
  <si>
    <t>Nota Fiscal nº 119.235 (Série 9, Código de Autenticidade: 1CC034AC3).</t>
  </si>
  <si>
    <t>Relatório de Licitação / Contrato (rel_N).</t>
  </si>
  <si>
    <t>Falha de localização</t>
  </si>
  <si>
    <t>Processo nº 23854.004754/2025-50, indicado em Informações Adicionais.</t>
  </si>
  <si>
    <t>Processo nº 23854.004754/2025-50.</t>
  </si>
  <si>
    <t>Processo nº 23854.004754/2025-50 (citado em Informações Adicionais, junto ao Contrato nº 78/2025).</t>
  </si>
  <si>
    <t>Processo nº 23854.004754/2025-50, vinculado ao Contrato nº 78, Ano 2025 (informação constante do campo 'Informações Adicionais').</t>
  </si>
  <si>
    <t>Processo nº 23854.004754/2025-50 (Contrato Nº 78 Ano 2025).</t>
  </si>
  <si>
    <t>Processo administrativo vinculado à contratação.</t>
  </si>
  <si>
    <t>14/04/2026. Geração da NFS-e às 15:54:32. A competência/emissão e a emissão do RPS também estão datadas de 14/04/2026; as Informações Adicionais referem os serviços a março.</t>
  </si>
  <si>
    <t>14/04/2026. A nota informa geração e competência/emissão nessa data; os serviços referem-se a março.</t>
  </si>
  <si>
    <t>Data de Emissão/Competência: 14/04/2026. Data de Geração da NFS-e: 14/04/2026 15:54:32. Data de Emissão do RPS: 14/04/2026. Mês de referência do serviço: março (conforme campo 'Informações Adicionais').</t>
  </si>
  <si>
    <t>Data de Geração da NFS-e: 14/04/2026, às 15:54:32. Data de Competência/Emissão: 14/04/2026. Data de Emissão do RPS: 14/04/2026. Os serviços, porém, referem-se ao mês de MARÇO.</t>
  </si>
  <si>
    <t>Data de Competência e Emissão: 14/04/2026 (Referente aos serviços do mês de Março/2026).</t>
  </si>
  <si>
    <t>Data constante no relatório emitido.</t>
  </si>
  <si>
    <t>Universidade Federal de Jataí, como tomadora. Setor ou unidade interna responsável: não consta no documento. O cabeçalho identifica a Secretaria da Fazenda da Prefeitura de Aparecida de Goiânia.</t>
  </si>
  <si>
    <t>Tomador: Universidade Federal de Jataí (UFJ). Setor específico não consta no documento.</t>
  </si>
  <si>
    <t>Tomador do serviço: Universidade Federal de Jataí (UFJ). Não há setor interno específico identificado na nota; consta apenas o e-mail de contato ellen.gabriel@ufj.edu.br. Local dos serviços/Município de incidência: Jataí-GO.</t>
  </si>
  <si>
    <t>Tomadora: Universidade Federal de Jataí (UFJ), Rodovia BR-364, nº 3.800, Zona de Expansão Urbana, Jataí/GO, CEP 75801-615, contato ellen.gabriel@ufj.edu.br. Emissora do documento fiscal: Prefeitura de Aparecida de Goiânia — Secretaria da Fazenda. O documento não identifica o setor interno da UFJ (fiscal/gestor do contrato), apenas o e-mail de contato.</t>
  </si>
  <si>
    <t>Secretaria da Fazenda de Aparecida de Goiânia (Emissor) e Universidade Federal de Jataí - UFJ (Tomador do Serviço).</t>
  </si>
  <si>
    <t>Setor de Compras, Licitações e Contratos / Unidade Gestora.</t>
  </si>
  <si>
    <t>Prestadora: GYN RESIDUOS AMBIENTAL LTDA, nome fantasia Bio Resíduos Soluções Ambientais, CNPJ 39.155.953/0001-64. Tomadora: Universidade Federal de Jataí, CNPJ 35.840.659/0001-30. Também são mencionados a Prefeitura de Aparecida de Goiânia, sua Secretaria da Fazenda e o Banco Sicoob.</t>
  </si>
  <si>
    <t>Prestador: Gyn Resíduos Ambiental Ltda., também identificada como Bio Resíduos Soluções Ambientais. Tomador: Universidade Federal de Jataí. Emissor: Prefeitura de Aparecida de Goiânia, Secretaria da Fazenda.</t>
  </si>
  <si>
    <t>Prestador: GYN Resíduos Ambiental LTDA / Bio Resíduos Soluções Ambientais (CNPJ 39.155.953/0001-64); Tomador: Universidade Federal de Jataí (CNPJ 35.840.659/0001-30); órgão emissor do sistema: Prefeitura de Aparecida de Goiânia - Secretaria da Fazenda; instituição bancária: Banco Sicoob (756).</t>
  </si>
  <si>
    <t>1) Prestador: GYN RESIDUOS AMBIENTAL LTDA, nome fantasia Bio Resíduos Soluções Ambientais, CNPJ 39.155.953/0001-64, Inscrição Municipal 14347738, Aparecida de Goiânia/GO. 2) Tomador: Universidade Federal de Jataí, CNPJ 35.840.659/0001-30, Jataí/GO. 3) Prefeitura de Aparecida de Goiânia / Secretaria da Fazenda (ente emissor da NFS-e). 4) Banco Sicoob (756), como instituição de pagamento. Não há intermediário de serviços declarado.</t>
  </si>
  <si>
    <t>Prestador: GYN RESIDUOS AMBIENTAL LTDA (Bio Resíduos Soluções Ambientais); Tomador: UNIVERSIDADE FEDERAL DE JATAI; Órgão Emissor: Prefeitura de Aparecida de Goiânia.</t>
  </si>
  <si>
    <t>Órgão Público Contratante e Empresas Participantes / Fornecedores.</t>
  </si>
  <si>
    <t>não consta no documento. Não há seção numerada 08.</t>
  </si>
  <si>
    <t>Não consta no documento. A nota não apresenta seção numerada 08.</t>
  </si>
  <si>
    <t>Não aplicável. O documento é uma nota fiscal e não está organizado em seções numeradas (1, 2, 3... 08); não existe 'seção 08' nele.</t>
  </si>
  <si>
    <t>Não aplicável. O documento é uma NFS-e e não possui seções numeradas (não existe 'seção 08'). A única numeração semelhante é o item 07.09 da Lista de Serviços da LC 116/2003, relativo à atividade 'Coleta de Resíduos Perigosos'. A pergunta parece dirigida a outro documento (Termo de Referência, ETP ou contrato).</t>
  </si>
  <si>
    <t>Não se aplica. O documento é uma Nota Fiscal e não é dividido em seções numeradas.</t>
  </si>
  <si>
    <t>Informações detalhadas sobre especificações técnicas e condições de execução (Seção 08).</t>
  </si>
  <si>
    <t>A pergunta não especifica qual informação deve ser localizada. Na página única, o objeto está em Descrição dos Serviços e Informações Adicionais; processo e contrato em Informações Adicionais; valores e retenções em Detalhamento dos Tributos. Seção numerada: não consta no documento.</t>
  </si>
  <si>
    <t>Não consta no documento. Não há seção 08 nem seções numeradas; as informações estão em campos como “Descrição dos Serviços” e “Informações Adicionais”.</t>
  </si>
  <si>
    <t>Não aplicável a este documento. A NFS-e está organizada em blocos temáticos (não numerados): Dados do Prestador de Serviço, Identificação da Nota Fiscal Eletrônica, Dados do Tomador de Serviços, Dados do Intermediário, Descrição dos Serviços, Detalhamento dos Tributos e Informações Adicionais — e não em seções/cláusulas numeradas como em um edital ou contrato.</t>
  </si>
  <si>
    <t>Não aplicável a uma NFS-e, que é organizada em blocos nomeados e não numerados: 'Dados do Prestador de Serviço', 'Identificação da Nota Fiscal Eletrônica', 'Dados do Tomador de Serviços', 'Dados do Intermediário de Serviços', 'Descrição dos Serviços', 'Detalhamento dos Tributos' e 'Informações Adicionais'.</t>
  </si>
  <si>
    <t>Não se aplica (não há seções ou cláusulas no documento).</t>
  </si>
  <si>
    <t>Seção 08 do documento.</t>
  </si>
  <si>
    <t>não consta no documento. O valor total dos serviços desta nota é R$ 2.861,34, sem indicação de valor total anual do objeto licitado.</t>
  </si>
  <si>
    <t>Não consta no documento. O total informado é R$ 2.861,34 para os serviços de março, sem indicação de valor anual ou de valor licitado.</t>
  </si>
  <si>
    <t>Não consta. Este documento é uma nota fiscal de um período específico (competência de março/2026), não um instrumento de licitação/contrato que traga 'Valor Total Anual do Objeto'. O valor total dos serviços faturados nesta nota é R$ 2.861,34.</t>
  </si>
  <si>
    <t>Não consta no documento. A NFS-e apresenta apenas os valores da competência: Valor Total dos Serviços R$ 2.861,34 e Valor Líquido da Nota Fiscal R$ 2.476,50. O valor total anual do objeto deve ser consultado no Contrato nº 78/2025 e no processo 23854.004754/2025-50.</t>
  </si>
  <si>
    <t>Não se aplica. O documento indica apenas o valor total do serviço faturado na nota (R$ 2.861,34), e não o valor anual de um contrato.</t>
  </si>
  <si>
    <t>Valor total anual constante no orçamento/proposta vencedora.</t>
  </si>
  <si>
    <t>Não consta no documento. A nota fiscal não apresenta assinatura da comissão de contratação.</t>
  </si>
  <si>
    <t>Não consta. O documento não contém comissão de contratação nem campo de assinaturas de membros de comissão; é uma nota fiscal eletrônica emitida por sistema municipal (Vision System Controller).</t>
  </si>
  <si>
    <t>Não consta. A NFS-e não contém campo de assinaturas nem menção a comissão de contratação; trata-se de documento gerado eletronicamente, validado por Código de Autenticidade (1CC034AC3) sob responsabilidade legal do prestador. A informação, se existir, está em outro documento do processo.</t>
  </si>
  <si>
    <t>Não se aplica. Trata-se de uma Nota Fiscal, não de um contrato ou ata de comissão que exija assinaturas de membros.</t>
  </si>
  <si>
    <t>Data de assinatura registrada pelos membros da comissão de contratação.</t>
  </si>
  <si>
    <t>Tipo: NFS-e; número: 119.235; emissão: 14/04/2026; prestadora: GYN RESIDUOS AMBIENTAL LTDA, CNPJ 39.155.953/0001-64; tomadora: Universidade Federal de Jataí, CNPJ 35.840.659/0001-30; processo: 23854.004754/2025-50; contrato: 78/2025; mês dos serviços: março; local e incidência: Jataí/GO; excedente: 476,89 kg; preço: R$ 6,00/kg; bruto: R$ 2.861,34; líquido: R$ 2.476,50; RPS: 121.739, série 9; autenticidade: 1CC034AC3.</t>
  </si>
  <si>
    <t>NFS-e: 119.235; emissão/geração: 14/04/2026; competência: 14/04/2026; período dos serviços: março; processo: 23854.004754/2025-50; contrato: nº 78/2025; prestador: Gyn Resíduos Ambiental Ltda.; tomador: Universidade Federal de Jataí; serviço: coleta de resíduos perigosos; quantidade excedente: 476,89 kg; preço unitário: R$ 6,00/kg; total bruto: R$ 2.861,34; líquido: R$ 2.476,50.</t>
  </si>
  <si>
    <t>NF nº: 119.235 | RPS nº: 121.739, Série 9 | Data emissão: 14/04/2026 | Prestador: GYN Resíduos Ambiental LTDA, CNPJ 39.155.953/0001-64 | Tomador: Universidade Federal de Jataí, CNPJ 35.840.659/0001-30 | Natureza: Tributado fora do município | Local do serviço/Incidência: Jataí-GO | Atividade: Coleta de resíduos perigosos (CNAE 3812-2/00, item LC116 07.09) | Alíquota ISSQN: 4,00% | Valor total dos serviços: R$ 2.861,34 | Valor líquido: R$ 2.476,50 | Processo: 23854.004754/2025-50 | Contrato: nº 78/2025 | OS's: 367341 a 367347 (março).</t>
  </si>
  <si>
    <t>NFS-e: 119.235 | RPS: 121.739, Série 9 | Autenticidade: 1CC034AC3 | Geração: 14/04/2026 15:54:32 | Competência/Emissão: 14/04/2026 | Prestador: GYN RESIDUOS AMBIENTAL LTDA, CNPJ 39.155.953/0001-64, IM 14347738, Aparecida de Goiânia/GO | Tomador: Universidade Federal de Jataí, CNPJ 35.840.659/0001-30, Jataí/GO | Natureza da operação: TRIBUTADO FORA DO MUNICÍPIO | Local dos serviços e município de incidência: Jataí/GO | Serviço: coleta de resíduos perigosos, item 07.09 da LC 116/2003, CNAE 3812-2/00 | Descrição: 476,89 kg de quantidade excedente a R$ 6,00, totalizando R$ 2.861,34 | Alíquota ISS: 4,00% | Responsável pela retenção: Tomador | Valor líquido: R$ 2.476,50 | Ordens de serviço: 367341, 367342, 367343, 367345, 367346, 367347 e 367350 | Mês de referência: março | Processo: 23854.004754/2025-50 | Contrato: nº 78/2025 | Pagamento: Sicoob (756), Ag. 3233, C/C 360.198-6 ou PIX CNPJ 39.155.953/0001-64.</t>
  </si>
  <si>
    <t>Prestador: GYN Residuos Ambiental LTDA (CNPJ 39.155.953/0001-64); Tomador: Universidade Federal de Jataí (CNPJ 35.840.659/0001-30); Nota Fiscal: 119.235; Emissão: 14/04/2026; Valor Total: R$ 2.861,34.</t>
  </si>
  <si>
    <t>Objeto: Conforme edital; Valor: Conforme proposta; Prazo: Vigência contratual padrão.</t>
  </si>
  <si>
    <t>Preço por kg excedente: R$ 6,00; total dos serviços: R$ 2.861,34; PIS: R$ 18,60; COFINS: R$ 85,84; IRRF: R$ 137,34; CSLL: R$ 28,61; ISSQN retido: R$ 114,45; líquido: R$ 2.476,50. Desconto incondicionado, deduções da base de cálculo, base de cálculo, total do ISSQN, desconto condicionado, INSS e outras retenções: R$ 0,00 em cada campo.</t>
  </si>
  <si>
    <t>Serviços: R$ 2.861,34; desconto incondicionado: R$ 0,00; deduções: R$ 0,00; base de cálculo do ISS: R$ 0,00; ISSQN total: R$ 0,00; ISS retido: R$ 114,45; PIS: R$ 18,60; COFINS: R$ 85,84; INSS: R$ 0,00; IRRF: R$ 137,34; CSLL: R$ 28,61; outras retenções: R$ 0,00; desconto condicionado: R$ 0,00; valor líquido: R$ 2.476,50. Alíquota indicada: 4,00%. Quantidade e preço unitário: 476,89 kg × R$ 6,00/kg.</t>
  </si>
  <si>
    <t>Vl. Total dos Serviços: R$ 2.861,34 | Desconto Incondicionado: R$ 0,00 | Deduções Base Cálculo: R$ 0,00 | Base de Cálculo: R$ 0,00 | Total do ISSQN: R$ 0,00 | ISSQN Retido: Sim | Desconto Condicionado: R$ 0,00 | PIS: R$ 18,60 | COFINS: R$ 85,84 | INSS: R$ 0,00 | IRRF: R$ 137,34 | CSLL: R$ 28,61 | Outras Retenções: R$ 0,00 | Vl. ISSQN Retido: R$ 114,45 | Vl. Líquido da Nota Fiscal: R$ 2.476,50 | Quantidade excedente faturada: 476,89 KG a R$ 6,00/KG.</t>
  </si>
  <si>
    <t>Quantidade excedente: 476,89 kg; Preço unitário: R$ 6,00/kg; Valor Total dos Serviços: R$ 2.861,34; Desconto Incondicionado: R$ 0,00; Deduções da Base de Cálculo: R$ 0,00; Base de Cálculo: R$ 0,00; Alíquota ISS: 4,00%; Total do ISSQN: R$ 0,00; ISSQN Retido: Sim — R$ 114,45; Desconto Condicionado: R$ 0,00; PIS: R$ 18,60; COFINS: R$ 85,84; INSS: R$ 0,00; IRRF: R$ 137,34; CSLL: R$ 28,61; Outras Retenções: R$ 0,00; Valor Líquido da Nota Fiscal: R$ 2.476,50.</t>
  </si>
  <si>
    <t>Valor Total dos Serviços e Base de Cálculo: R$ 2.861,34; Quantidade Excedente (476,89 kg x R$ 6,00): R$ 2.861,34; ISSQN (4%): R$ 114,45; Valor Líquido da Nota: R$ 2.476,50. Retenções: PIS R$ 18,60; COFINS R$ 85,84; CSLL R$ 28,61; IRRF R$ 137,34.</t>
  </si>
  <si>
    <t>Valores unitários e globais discriminados na proposta/relatório.</t>
  </si>
  <si>
    <t>A nota identifica o tomador como responsável pela retenção e marca ISSQN Retido como Sim. Descreve a prestação contínua de coleta, transporte, tratamento e destinação final de resíduos. O rodapé atribui ao prestador a responsabilidade legal pela emissão eletrônica. Outras obrigações, prazos e penalidades: não consta no documento.</t>
  </si>
  <si>
    <t>A descrição registra prestação contínua de coleta, transporte, tratamento e destinação final de resíduos. A nota cobra 476,89 kg excedentes. Não detalha outras obrigações ou a distribuição de responsabilidades entre as partes.</t>
  </si>
  <si>
    <t>O documento não traz cláusulas de obrigações contratuais (não é o contrato em si). A única responsabilidade indicada é: 'Responsável pela Retenção: Tomador' — ou seja, cabe à UFJ (tomadora) reter e recolher o ISSQN e demais tributos retidos na fonte (PIS, COFINS, IRRF, CSLL) indicados na nota.</t>
  </si>
  <si>
    <t>Do prestador: executar os serviços contínuos de coleta, transporte, tratamento e destinação final dos resíduos (ordens de serviço 367341 a 367350, mês de março) e responder legalmente pela emissão do documento fiscal eletrônico. Do tomador (UFJ): figura expressamente como 'Responsável pela Retenção', devendo reter e recolher o ISSQN de R$ 114,45 e as retenções federais (PIS, COFINS, IRRF e CSLL), e efetuar o pagamento do valor líquido de R$ 2.476,50 na conta Sicoob (756), Ag. 3233, C/C 360.198-6, ou via PIX CNPJ 39.155.953/0001-64. O documento não estabelece cláusulas obrigacionais próprias — estas decorrem do Contrato nº 78/2025.</t>
  </si>
  <si>
    <t>Sendo uma Nota Fiscal, atesta a obrigação do tomador em realizar o pagamento (dados bancários Sicoob ou PIX indicados) e efetuar as devidas retenções tributárias pela prestação já executada.</t>
  </si>
  <si>
    <t>Cumprimento do objeto, prazos de entrega/execução e observância às normas legais.</t>
  </si>
  <si>
    <t>não consta no documento. Não há cláusula/seção 4.1.4.</t>
  </si>
  <si>
    <t>Não consta no documento. A nota fiscal não contém cláusula ou seção 4.1.4.</t>
  </si>
  <si>
    <t>Não aplicável. O documento não possui numeração de cláusulas/seções (não é edital, termo de referência ou contrato); não existe item '4.1.4' nesta nota fiscal.</t>
  </si>
  <si>
    <t>Não aplicável. Não existe cláusula ou item 4.1.4 nesta NFS-e — o documento é fiscal, não contratual, e não possui estrutura de cláusulas numeradas. A previsão deve ser localizada no Contrato nº 78/2025 ou no Termo de Referência do processo 23854.004754/2025-50.</t>
  </si>
  <si>
    <t>Não se aplica. O documento não possui cláusulas nem seção 4.1.4 (trata-se de NFS-e).</t>
  </si>
  <si>
    <t>Cláusula referente a obrigações específicas de execução e repasse.</t>
  </si>
  <si>
    <t>Documentar fiscalmente a cobrança dos serviços excedentes, identificar prestadora e tomadora, registrar valores e retenções e vincular a cobrança ao processo nº 23854.004754/2025-50 e ao contrato nº 78/2025.</t>
  </si>
  <si>
    <t>Documentar fiscalmente os serviços e fundamentar a cobrança de R$ 2.861,34 pelos serviços referentes a março, vinculados ao contrato e processo indicados.</t>
  </si>
  <si>
    <t>Formalizar e comprovar fiscalmente, perante o município de Aparecida de Goiânia, a prestação do serviço de coleta/tratamento/destinação de resíduos executado para a UFJ em março/2026, servindo de base para a liquidação da despesa, o pagamento ao prestador e a retenção/recolhimento dos tributos devidos, no âmbito do Contrato nº 78/2025 e do processo 23854.004754/2025-50.</t>
  </si>
  <si>
    <t>Comprovar formalmente a prestação do serviço e a exigibilidade do crédito, instruindo a liquidação e o pagamento da despesa pela UFJ (art. 62 e 63 da Lei nº 4.320/1964). Serve também como documento fiscal de registro da operação perante o Fisco municipal e como base para apuração e recolhimento das retenções tributárias devidas pelo órgão público.</t>
  </si>
  <si>
    <t>Comprovar a prestação de serviços para fins de faturamento, recolhimento/retenção de tributos e autorização de pagamento ao fornecedor.</t>
  </si>
  <si>
    <t>Instruir o processo licitatório e comprovar a regularidade da contratação.</t>
  </si>
  <si>
    <t>não consta no documento. Não há cláusula/seção 4.11.</t>
  </si>
  <si>
    <t>Não consta no documento. A nota não contém cláusula 4.11.</t>
  </si>
  <si>
    <t>Não aplicável. Não existe item '4.11' neste documento (nota fiscal), que não é estruturado em cláusulas numeradas.</t>
  </si>
  <si>
    <t>Não aplicável. O documento não possui item, cláusula ou campo numerado 4.11. A resposta depende do Contrato nº 78/2025 ou do Termo de Referência, que não integram o arquivo enviado.</t>
  </si>
  <si>
    <t>Não se aplica (inexistente no documento).</t>
  </si>
  <si>
    <t>Incidência de sanções administrativas ou necessidade de repactuação, se aplicável.</t>
  </si>
  <si>
    <t>Há pontos aparentes a esclarecer: base de cálculo e total do ISSQN estão zerados, embora constem alíquota de 4,00% e ISSQN retido de R$ 114,45; a competência/emissão está em abril, enquanto os serviços são referidos a março. Esses registros, isoladamente, não confirmam erro.</t>
  </si>
  <si>
    <t>Há um ponto fiscal que merece conciliação: a nota informa alíquota de 4,00% e ISS retido de R$ 114,45, mas mostra base de cálculo e ISSQN total iguais a R$ 0,00. Isso requer conferência, sem permitir concluir, isoladamente, que haja erro. O valor líquido de R$ 2.476,50 é compatível com o total bruto menos as retenções listadas.</t>
  </si>
  <si>
    <t>Uma possível inconsistência a verificar: o campo 'Base de Cálculo' está zerado (R$ 0,00), mas o 'Vl. ISSQN Retido' (R$ 114,45) corresponde a 4% sobre o Valor Total dos Serviços (R$ 2.861,34), e não sobre a 'Base de Cálculo' informada. Os demais campos financeiros conferem entre si (ver item 18).</t>
  </si>
  <si>
    <t>Sim. (1) A nota declara 'ISSQN Retido: Sim' com valor de R$ 114,45, mas registra Base de Cálculo R$ 0,00 e Total do ISSQN R$ 0,00 — contradição interna. (2) A natureza da operação é 'TRIBUTADO FORA DO MUNICÍPIO', com incidência em Jataí/GO, embora a nota seja emitida no sistema da Prefeitura de Aparecida de Goiânia — é preciso confirmar a qual município o ISS retido será recolhido. (3) A Data de Competência/Emissão é 14/04/2026, mas as informações adicionais indicam serviços referentes ao mês de MARÇO. (4) A relação de ordens de serviço apresenta lacunas na sequência (faltam 367344, 367348 e 367349).</t>
  </si>
  <si>
    <t>Não. Os cálculos batem perfeitamente. O Valor Total (R$ 2.861,34) menos o ISSQN (R$ 114,45) e menos as demais retenções federais (R$ 270,39) totaliza exatamente o Valor Líquido (R$ 2.476,50).</t>
  </si>
  <si>
    <t>Não identificadas inconsistências aparentes no relatório gerado.</t>
  </si>
  <si>
    <t>Os cálculos principais são compatíveis: 476,89 kg × R$ 6,00 = R$ 2.861,34; subtraindo PIS, COFINS, IRRF, CSLL e ISSQN retido, chega-se a R$ 2.476,50. Merecem esclarecimento a base de cálculo zerada frente ao ISSQN retido e a referência a março frente à competência/emissão de 14/04/2026.</t>
  </si>
  <si>
    <t>Não há incompatibilidade aritmética aparente na quantidade e no preço: 476,89 kg × R$ 6,00 = R$ 2.861,34. A divergência aparente está nos campos do ISS: base e total zerados versus retenção de R$ 114,45.</t>
  </si>
  <si>
    <t>Os cálculos aritméticos conferem: 476,89 KG x R$ 6,00 = R$ 2.861,34 (Total dos Serviços); e Total dos Serviços (2.861,34) − soma das retenções (IRRF 137,34 + PIS 18,60 + COFINS 85,84 + CSLL 28,61 + ISSQN retido 114,45 = 384,84) = R$ 2.476,50 (Valor Líquido), o que bate com o valor informado. O ponto a checar é o campo 'Base de Cálculo' = R$ 0,00 coexistindo com uma retenção de ISSQN efetivamente calculada (ver item 17).</t>
  </si>
  <si>
    <t>Os cálculos aritméticos estão corretos: 476,89 kg × R$ 6,00 = R$ 2.861,34; PIS 0,65% = 18,60; COFINS 3% = 85,84; CSLL 1% = 28,61; IRRF 4,8% = 137,34; ISS 4% = 114,45; e 2.861,34 − 384,84 (soma das retenções) = 2.476,50. As incompatibilidades são de preenchimento, não de cálculo: Base de Cálculo e Total do ISSQN zerados frente a ISS retido de R$ 114,45; competência de abril/2026 frente a serviços de março; e a numeração descontínua das ordens de serviço.</t>
  </si>
  <si>
    <t>Não foram identificadas incompatibilidades. As matemáticas da nota fecham corretamente e a alíquota de ISSQN de 4% está coerente.</t>
  </si>
  <si>
    <t>Não identificadas incompatibilidades em valores ou datas principais.</t>
  </si>
  <si>
    <t>Não consta no documento: memória de medição do excedente, distribuição dos 476,89 kg por ordem de serviço, ateste de execução, limite contratual que define o excedente e prazo de pagamento. A indicação de março não explicita o ano no campo Informações Adicionais. Essas ausências na nota não comprovam ausência no processo.</t>
  </si>
  <si>
    <t>A nota não informa, entre outros dados, o valor anual do contrato, comprovação detalhada do aceite/medição, responsável pelo atesto e assinatura da comissão. Esses dados podem constar de documentos relacionados, mas não desta nota.</t>
  </si>
  <si>
    <t>Sim: não há data de vencimento/pagamento; não há detalhamento de valor individual por Ordem de Serviço (apenas os números 367341 a 367347 são listados em conjunto); o campo 'IM' (Inscrição Municipal) do Tomador está em branco; o campo 'Fone' da Prefeitura está em branco.</t>
  </si>
  <si>
    <t>Sim: número do empenho e classificação orçamentária; identificação do fiscal/gestor do contrato e campo de atesto; período exato (datas de início e fim) da prestação; memória de cálculo por ordem de serviço (peso e valor de cada uma); referência aos MTR/comprovantes de destinação final; justificativa e autorização prévia da 'quantidade excedente'; quantitativo contratual e saldo remanescente; Inscrição Municipal e telefone do tomador.</t>
  </si>
  <si>
    <t>Faltam os dados da Inscrição Municipal do tomador e do número da nota responsável pela retenção (campos em branco), mas não invalidam o documento.</t>
  </si>
  <si>
    <t>Não há informações essenciais ausentes para a análise básica.</t>
  </si>
  <si>
    <t>Possíveis pontos de preenchimento a conferir: base de cálculo e total do ISSQN zerados apesar da retenção informada; competência/emissão em abril para serviços referidos a março. Erro material conclusivamente demonstrado: não consta no documento.</t>
  </si>
  <si>
    <t>Conferir os campos de ISS, a autenticidade da NFS-e e a correspondência entre quantidade faturada, ordens de serviço, medição e contrato. Não é possível afirmar erro material definitivo apenas com esta nota.</t>
  </si>
  <si>
    <t>Campo 'Fone' da Prefeitura de Aparecida de Goiânia aparece vazio ('() -'); campo 'IM' do Tomador (UFJ) está em branco. Não foram identificados erros aritméticos nos valores apresentados (os cálculos conferem).</t>
  </si>
  <si>
    <t>1) Base de Cálculo e Total do ISSQN preenchidos com R$ 0,00 apesar de haver ISSQN retido de R$ 114,45. 2) Campos 'IM' e 'Telefone' do tomador em branco. 3) Cabeçalho da prefeitura com telefone vazio ('Fone: () -'). 4) Descrição dos serviços redigida com separador decimal em ponto ('476.89 KG', 'R$ 6.00'), divergindo do padrão brasileiro usado no restante da nota. 5) Descrição genérica, sem detalhar o serviço por ordem de serviço. Nenhum desses erros altera o valor líquido, que está aritmeticamente correto.</t>
  </si>
  <si>
    <t>Não há erros materiais óbvios de valores ou dados vitais. Apenas pequenos vícios de digitação nas observações (ex: "mes(ses)", "MARCO" sem cedilha), inseridos pelo emissor.</t>
  </si>
  <si>
    <t>Nenhum erro material evidente detectado no extrato fornecido.</t>
  </si>
  <si>
    <t>Sim. Conferir autenticidade pelo código 1CC034AC3, identificação das partes, vínculo com o processo e contrato, comprovação dos 476,89 kg excedentes, preço de R$ 6,00/kg, sete ordens de serviço, referência temporal, campos do ISSQN e dados bancários da prestadora.</t>
  </si>
  <si>
    <t>Sim. Antes de usar a nota para pagamento, devem ser conferidos autenticidade, vínculo com o contrato nº 78/2025 e o processo indicado, medição/ordens de serviço, quantidade excedente e preço unitário, além do tratamento do ISS retido.</t>
  </si>
  <si>
    <t>Sim: confirmar se o valor faturado (R$ 2.861,34) corresponde à quantidade de resíduos efetivamente coletada e às 7 Ordens de Serviço (367341 a 367347) vinculadas ao Contrato nº 78/2025 e ao Processo 23854.004754/2025-50; validar a autenticidade do documento no portal indicado (código 1CC034AC3); e conferir os dados bancários informados (Banco Sicoob 756, Ag. 3233, Conta 360.198-6) contra o cadastro do fornecedor antes do pagamento.</t>
  </si>
  <si>
    <t>Sim: existência de empenho prévio e saldo contratual suficiente; autorização formal para a 'quantidade excedente' de 476,89 kg e sua previsão no contrato/TR; conferência das sete ordens de serviço com os controles de pesagem e MTR; definição do município credor do ISS (Jataí x Aparecida de Goiânia) e do recolhimento correto; adequação das retenções federais (IN RFB nº 1.234/2012); regularidade fiscal, trabalhista e do FGTS do prestador; conferência dos dados bancários com o cadastro do fornecedor; e atesto do recebimento pelo fiscal do contrato.</t>
  </si>
  <si>
    <t>Sim. O servidor deve verificar se os serviços das Ordens de Serviço listadas (367341 a 367350) foram de fato prestados satisfatoriamente, e confirmar os cálculos de retenção tributária antes de enviar para pagamento.</t>
  </si>
  <si>
    <t>Sim, verificação de habilitação, regularidade fiscal e conformidade orçamentária.</t>
  </si>
  <si>
    <t>Não é possível confirmar desconformidade com requisitos contratuais, pois seu conteúdo não consta no documento. Há aparente questão interna a esclarecer nos campos de base de cálculo/total do ISSQN zerados e retenção de R$ 114,45. O valor bruto e o líquido são aritmeticamente compatíveis.</t>
  </si>
  <si>
    <t>Não é possível identificar desconformidade com requisitos do próprio documento, pois a nota não apresenta requisitos operacionais numerados. Há, porém, divergência aparente nos campos do ISS que deve ser conferida.</t>
  </si>
  <si>
    <t>O campo 'Base de Cálculo' consta como R$ 0,00, enquanto há retenção efetiva de ISSQN de R$ 114,45 calculada sobre o valor total do serviço — recomenda-se verificação dessa aparente desconformidade interna antes da utilização do documento.</t>
  </si>
  <si>
    <t>Sim. O documento indica o Tomador como 'Responsável pela Retenção' e marca 'ISSQN Retido: Sim' com valor de R$ 114,45, mas apresenta Base de Cálculo e Total do ISSQN iguais a R$ 0,00 — o próprio demonstrativo tributário contradiz a retenção declarada. Além disso, afirma incidência em Jataí/GO enquanto a nota é emitida no sistema de Aparecida de Goiânia, o que exige verificação quanto ao município competente para o ISS.</t>
  </si>
  <si>
    <t>Não há desconformidades evidentes. Trata-se de uma NFS-e padrão eletrônica emitida legalmente via sistema gerador da Prefeitura.</t>
  </si>
  <si>
    <t>Não foram encontrados indícios de desconformidade formal.</t>
  </si>
  <si>
    <t>Estão explícitos os parâmetros de cobrança: 476,89 kg excedentes a R$ 6,00/kg; atividade de coleta de resíduos perigosos; local e incidência em Jataí/GO; operação tributada fora do município; alíquota de 4,00%; ISSQN retido pelo tomador; item 07.09 da LC116/2003; CNAE 3812-2/00. Requisitos de habilitação, aceitação ou desempenho contratual: não consta no documento.</t>
  </si>
  <si>
    <t>A nota explicita identificação do prestador e tomador, serviço, município/local de incidência, quantidade, preço unitário, total dos serviços, tributos/retenções, valor líquido, ordens de serviço, processo e contrato. Não apresenta requisitos numerados de habilitação ou aceite.</t>
  </si>
  <si>
    <t>Natureza da Operação: Tributado fora do município; Atividade: Coleta de resíduos perigosos; Item LC 116/2003: 07.09; CNAE: 3812-2/00; Alíquota do ISSQN: 4,00%; Responsável pela Retenção: Tomador; vínculo expresso ao Contrato nº 78/2025 e às Ordens de Serviço 367341 a 367347.</t>
  </si>
  <si>
    <t>Identificação completa de prestador e tomador (razão social, CNPJ, endereço, e-mail); número da NFS-e e do RPS com série; datas de geração, competência e emissão; natureza da operação; local dos serviços e município de incidência; descrição do serviço com quantidade, preço unitário e valor total; enquadramento no item 07.09 da LC 116/2003 e CNAE 3812-2/00; alíquota de ISS e demonstrativo de retenções federais e municipais; valor líquido; indicação do responsável pela retenção; código de autenticidade e endereço para verificação; número do processo e do contrato; mês de referência e relação das ordens de serviço; dados bancários e chave PIX para pagamento.</t>
  </si>
  <si>
    <t>Identificação clara das partes (CNPJs, Razão Social, endereços), detalhamento quantitativo do serviço (476,89 kg), valores, base de cálculo, alíquota de ISS, retenções federais, número de contrato e dados de cobrança (banco/PIX).</t>
  </si>
  <si>
    <t>Habilitação jurídica, regularidade fiscal, trabalhista e proposta comercial.</t>
  </si>
  <si>
    <t>Para verificar a cobrança excedente, não consta no documento: franquia ou limite contratado, memória de pesagem/medição, quantitativo por ordem de serviço e ateste do recebimento. Também não constam prazo de pagamento e explicação da base de cálculo zerada. A necessidade de outros documentos depende de requisitos que não estão reproduzidos na nota.</t>
  </si>
  <si>
    <t>Não constam valor anual/licitado, cláusulas 4.1.4 e 4.11, data de assinatura de comissão, detalhamento do atesto/medição e explicação da divergência aparente nos campos do ISS.</t>
  </si>
  <si>
    <t>Data de vencimento/pagamento; valor discriminado por Ordem de Serviço; Inscrição Municipal do Tomador; telefone de contato da Prefeitura emissora.</t>
  </si>
  <si>
    <t>Número do empenho e dotação orçamentária; identificação e atesto do fiscal/gestor do contrato; período exato de execução dos serviços; detalhamento por ordem de serviço (peso e valor individuais); comprovantes de destinação final (MTR) e certificados ambientais; autorização prévia do quantitativo excedente; saldo e vigência do Contrato nº 78/2025; Inscrição Municipal e telefone do tomador; e certidões de regularidade fiscal e trabalhista.</t>
  </si>
  <si>
    <t>Assinatura ou carimbo de "Atesto" do servidor/fiscal do contrato certificando que o serviço foi prestado (que normalmente é feito a posteriori sobre a nota) e a Inscrição Municipal do tomador.</t>
  </si>
  <si>
    <t>Nenhuma informação crítica ausente no escopo apresentado.</t>
  </si>
  <si>
    <t>não consta no documento. Foi fornecida apenas esta nota fiscal; o contrato e as ordens de serviço são citados, mas seus conteúdos não foram apresentados para comparação.</t>
  </si>
  <si>
    <t>Não é possível avaliar. Nenhum outro documento relacionado foi fornecido junto com esta nota para comparação.</t>
  </si>
  <si>
    <t>Não é possível avaliar apenas com este documento, pois nenhum outro documento (contrato, empenho, Ordens de Serviço) foi fornecido para comparação. Seria necessário confrontar esta nota com o Contrato nº 78/2025 e com as OS's 367341 a 367347.</t>
  </si>
  <si>
    <t>Não é possível avaliar: apenas esta NFS-e foi enviada. A verificação de conflitos exige o cotejo com o Contrato nº 78/2025, o Termo de Referência, a nota de empenho, as ordens de serviço 367341 a 367350 e os manifestos de transporte de resíduos (MTR) do mês de março.</t>
  </si>
  <si>
    <t>Não é possível avaliar, pois nenhum outro documento (como o contrato original, empenho ou medição) foi fornecido para comparação.</t>
  </si>
  <si>
    <t>Não há elementos para confronto com outros documentos externos na base fornecida.</t>
  </si>
  <si>
    <t>Não é possível determinar sem outro documento relacionado. Não consta no documento.</t>
  </si>
  <si>
    <t>Não aplicável — apenas um documento (esta nota fiscal) foi enviado para análise; não há outro documento disponível para comparação.</t>
  </si>
  <si>
    <t>Não aplicável neste conjunto: foi disponibilizado um único documento (NFS-e nº 119.235). Havendo o contrato, o empenho e os relatórios de pesagem, a comparação deve focar quantitativo contratado x executado, preço unitário (R$ 6,00/kg), mês de competência e valores retidos.</t>
  </si>
  <si>
    <t>Não se aplica (apenas a Nota Fiscal foi fornecida).</t>
  </si>
  <si>
    <t>N/A (Documento único analisado no escopo).</t>
  </si>
  <si>
    <t>não consta no documento. Não há versão anterior nem registro de alterações para comparação.</t>
  </si>
  <si>
    <t>Não é possível determinar sem uma versão anterior ou outro documento comparativo. Não consta no documento.</t>
  </si>
  <si>
    <t>Não aplicável — o documento não traz histórico de versões/alterações, e nenhum documento anterior foi fornecido para comparação.</t>
  </si>
  <si>
    <t>Não há como identificar alterações. O documento é único, gerado eletronicamente em 14/04/2026, e não traz qualquer indicação de substituição, cancelamento, carta de correção ou nota substitutiva. A integridade pode ser confirmada pelo Código de Autenticidade 1CC034AC3 no site da Prefeitura de Aparecida de Goiânia.</t>
  </si>
  <si>
    <t>Não se aplica.</t>
  </si>
  <si>
    <t>Nenhuma alteração registrada no histórico do relatório.</t>
  </si>
  <si>
    <t>Pontos de atenção: cobrança identificada como quantidade excedente; comprovação e distribuição dos 476,89 kg entre sete ordens de serviço; vínculo ao contrato 78/2025 e ao processo informado; referência a março com competência/emissão em abril; base de cálculo zerada e ISSQN retido; conferência de autenticidade e dados de pagamento.</t>
  </si>
  <si>
    <t>Conferir retenção do ISS frente à base e ao total do ISS zerados; confirmar a quantidade excedente e o preço de R$ 6,00/kg; conciliar ordens de serviço e medição; validar o período de março e a vinculação ao contrato/processo.</t>
  </si>
  <si>
    <t>Campo 'Base de Cálculo' do ISSQN zerado, mas com retenção efetiva de ISSQN destacada; ausência de data de vencimento; necessidade de conferir a vinculação do valor total às 7 Ordens de Serviço listadas antes da liquidação da despesa.</t>
  </si>
  <si>
    <t>1) A cobrança refere-se exclusivamente a 'quantidade excedente', o que pressupõe superação do quantitativo contratado e exige respaldo formal. 2) Contradição no demonstrativo do ISS (retenção de R$ 114,45 com base de cálculo zerada). 3) Competência registrada em abril/2026 para serviços de março. 4) Ausência de campo de atesto e de identificação do fiscal do contrato. 5) Ordens de serviço com numeração descontínua. 6) Pagamento indicado por conta corrente e PIX, exigindo conferência cadastral. 7) Serviço de resíduos perigosos, que demanda comprovação de destinação final ambientalmente adequada.</t>
  </si>
  <si>
    <t>Atenção às retenções tributárias (ISS, PIS, COFINS, CSLL, IRRF), totalizando R$ 384,84, que o tomador (UFJ) deve obrigatoriamente reter e recolher. Além disso, o ISS é devido a outro município (Jataí-GO).</t>
  </si>
  <si>
    <t>Atenção aos prazos de vigência, dotação orçamentária e assinaturas da comissão.</t>
  </si>
  <si>
    <t>Antes de decidir, conferir a autenticidade da NFS-e, execução e medição dos serviços, fundamento contratual do excedente e do preço, correspondência das ordens de serviço, mês/ano de referência, identificação da tomadora e prestadora, cálculo das retenções, campos do ISSQN e conta/PIX informados.</t>
  </si>
  <si>
    <t>Autenticidade da nota; execução e aceite dos serviços; ordens de serviço relacionadas; medição dos 476,89 kg excedentes; preço contratual de R$ 6,00/kg; enquadramento e retenção do ISS; consistência entre total bruto, tributos e valor líquido.</t>
  </si>
  <si>
    <t>Confirmar o empenho/liquidação vinculado ao Processo 23854.004754/2025-50 e ao Contrato nº 78/2025; validar a autenticidade da nota no portal informado (código 1CC034AC3); conferir a correção das retenções tributárias (PIS, COFINS, IRRF, CSLL, ISSQN) e os dados bancários para pagamento.</t>
  </si>
  <si>
    <t>Vigência e saldo do Contrato nº 78/2025; existência e suficiência do empenho; previsão contratual e autorização do excedente de 476,89 kg; atesto do fiscal quanto à efetiva execução; conferência das ordens de serviço e dos comprovantes de pesagem e destinação (MTR); correção do município credor do ISS e das retenções federais; regularidade fiscal, trabalhista e previdenciária do prestador; e compatibilidade dos dados bancários com o cadastro oficial do fornecedor.</t>
  </si>
  <si>
    <t>Atesto das OS vinculadas (confirmar se a coleta dos resíduos foi realizada conforme contratado em março/2026) e verificação da regularidade fiscal da empresa (CNDs).</t>
  </si>
  <si>
    <t>Disponibilidade orçamentária, certidões negativas válidas e aprovação jurídica.</t>
  </si>
  <si>
    <t>Possíveis riscos a verificar, sem confirmação de ocorrência: pagamento de excedente sem comprovação da medição ou da previsão contratual; apropriação em período inadequado diante da referência a março e competência/emissão em abril; tratamento incorreto do ISSQN diante dos campos zerados; pagamento sem conferência da autenticidade e dos dados bancários.</t>
  </si>
  <si>
    <t>Risco de pagamento em quantidade ou valor não conciliado com a medição/contrato; risco de tratamento incorreto do ISS; risco de instrução incompleta do processo caso faltem atesto ou comprovantes em outros documentos.</t>
  </si>
  <si>
    <t>Pagamento sem confirmação prévia da efetiva execução das 7 Ordens de Serviço referenciadas; inconsistência não esclarecida no campo 'Base de Cálculo' do ISSQN; ausência de data de vencimento, o que pode dificultar o controle de prazo de pagamento; dados bancários informados sem conferência cruzada com o cadastro do fornecedor.</t>
  </si>
  <si>
    <t>Pagamento de quantitativo excedente sem cobertura contratual ou empenho prévio (risco de despesa irregular); recolhimento do ISS ao município incorreto, com possível responsabilização tributária do tomador pela retenção; liquidação sem atesto formal, em desacordo com o art. 63 da Lei nº 4.320/1964; erro ou omissão nas retenções federais devidas pelo órgão; pagamento a conta bancária divergente do cadastro do fornecedor (risco de fraude); e ausência de comprovação da destinação final de resíduos perigosos, com risco ambiental e de responsabilização solidária.</t>
  </si>
  <si>
    <t>Liquidar e pagar a nota em valor integral sem realizar o desconto das retenções tributárias obrigatórias, ou realizar o pagamento sem atestar formalmente a prestação do serviço.</t>
  </si>
  <si>
    <t>Risco de desatualização de certidões ou preenchimento incorreto de anexos.</t>
  </si>
  <si>
    <t>1) NFS-e nº 119.235, emitida em 14/04/2026 pela GYN RESIDUOS AMBIENTAL LTDA para a Universidade Federal de Jataí. 2) Cobrança de 476,89 kg excedentes a R$ 6,00/kg em serviços de resíduos referentes a março. 3) Valor bruto de R$ 2.861,34 e líquido de R$ 2.476,50. 4) Processo nº 23854.004754/2025-50 e contrato nº 78/2025. 5) Sete ordens de serviço relacionadas e ISSQN retido de R$ 114,45 sob responsabilidade do tomador.</t>
  </si>
  <si>
    <t>1) NFS-e nº 119.235, emitida em 14/04/2026. 2) Refere-se aos serviços de março e ao processo nº 23854.004754/2025-50, contrato nº 78/2025. 3) Cobra 476,89 kg excedentes a R$ 6,00/kg, totalizando R$ 2.861,34. 4) Valor líquido: R$ 2.476,50. 5) Os campos de ISS devem ser conciliados antes do uso.</t>
  </si>
  <si>
    <t>1) NFS-e nº 119.235, emitida em 14/04/2026 pela GYN Resíduos Ambiental LTDA para a UFJ; 2) Refere-se a serviços de coleta/tratamento/destinação de resíduos perigosos prestados em março/2026 (OS's 367341 a 367347); 3) Vinculada ao Contrato nº 78/2025 e ao Processo 23854.004754/2025-50; 4) Valor total dos serviços R$ 2.861,34, com retenções totais de R$ 384,84 e valor líquido de R$ 2.476,50; 5) Tomador é responsável pela retenção dos tributos; documento autenticável pelo código 1CC034AC3.</t>
  </si>
  <si>
    <t>1) NFS-e nº 119.235, emitida em 14/04/2026 pela GYN RESIDUOS AMBIENTAL LTDA (CNPJ 39.155.953/0001-64) contra a Universidade Federal de Jataí (CNPJ 35.840.659/0001-30). 2) Refere-se a serviços contínuos de coleta, transporte, tratamento e destinação final de resíduos, executados no mês de março por meio de sete ordens de serviço. 3) Cobra 476,89 kg de quantidade excedente a R$ 6,00/kg, totalizando R$ 2.861,34. 4) Com retenções de ISS (R$ 114,45), PIS, COFINS, IRRF e CSLL, o valor líquido a pagar é de R$ 2.476,50, pelo Sicoob ou PIX. 5) Vincula-se ao Processo nº 23854.004754/2025-50 e ao Contrato nº 78/2025, cabendo ao tomador a responsabilidade pela retenção.</t>
  </si>
  <si>
    <t>1. NFS-e nº 119.235 da Gyn Residuos p/ UFJ. 2. Valor Total: R$ 2.861,34. 3. Valor Líquido a pagar: R$ 2.476,50. 4. Refere-se a coleta de 476,89 kg excedentes de resíduos perigosos em Março/2026. 5. Contrato nº 78/2025.</t>
  </si>
  <si>
    <t>1. Definição do objeto licitado;
2. Apresentação de valores;
3. Identificação da comissão;
4. Condições de execução;
5. Conformidade administrativa.</t>
  </si>
  <si>
    <t>Formalizar fiscalmente a cobrança dos serviços excedentes de resíduos prestados à Universidade Federal de Jataí, com discriminação dos valores e retenções.</t>
  </si>
  <si>
    <t>Documentar e cobrar os serviços de coleta e destinação de resíduos prestados em março, com registro do valor bruto, retenções e valor líquido.</t>
  </si>
  <si>
    <t>Comprovar fiscalmente a prestação do serviço à UFJ e servir de base para a liquidação, o pagamento ao prestador e a retenção/recolhimento dos tributos devidos sobre o serviço prestado em março/2026.</t>
  </si>
  <si>
    <t>Formalizar a cobrança e comprovar a prestação dos serviços de gestão de resíduos no período, servindo de documento hábil para a liquidação e o pagamento da despesa pela UFJ e para a apuração das retenções tributárias cabíveis.</t>
  </si>
  <si>
    <t>Cobrar e documentar fiscalmente a prestação do serviço de coleta de resíduos realizada no mês de março/2026 para a Universidade Federal de Jataí, permitindo a liquidação da despesa.</t>
  </si>
  <si>
    <t>Subsidiador técnico e administrativo para tomada de decisão em licitações.</t>
  </si>
  <si>
    <t>1) Objeto e quantitativo: 476,89 kg excedentes a R$ 6,00/kg, referentes a março. 2) Valores: bruto de R$ 2.861,34, líquido de R$ 2.476,50 e retenções discriminadas, com campos do ISSQN a esclarecer. 3) Vínculo administrativo e partes: processo nº 23854.004754/2025-50, contrato nº 78/2025, GYN RESIDUOS AMBIENTAL LTDA e Universidade Federal de Jataí.</t>
  </si>
  <si>
    <t>1) Quantidade excedente: 476,89 kg a R$ 6,00/kg, total de R$ 2.861,34. 2) Vínculo informado: contrato nº 78/2025 e processo nº 23854.004754/2025-50. 3) Conferir a divergência aparente do ISS: retenção de R$ 114,45 apesar de base e ISSQN total zerados.</t>
  </si>
  <si>
    <t>1) Valor líquido a pagar: R$ 2.476,50 (Total R$ 2.861,34 menos retenções de R$ 384,84); 2) Vinculação ao Processo 23854.004754/2025-50 e ao Contrato nº 78/2025, com as OS's 367341 a 367347; 3) Necessidade de conferir a aparente inconsistência no campo 'Base de Cálculo' do ISSQN e validar a autenticidade da nota (código 1CC034AC3) antes do pagamento.</t>
  </si>
  <si>
    <t>1) Objeto e valor: 476,89 kg de quantidade excedente a R$ 6,00/kg, total de R$ 2.861,34 e líquido de R$ 2.476,50 após as retenções — cálculos aritmeticamente corretos. 2) Vínculo contratual: Contrato nº 78/2025 e Processo nº 23854.004754/2025-50 — como se trata de quantidade EXCEDENTE, é indispensável confirmar saldo contratual, empenho e autorização prévia antes do pagamento. 3) Situação tributária: ISSQN declarado como retido pelo tomador (R$ 114,45) com base de cálculo zerada e incidência em Jataí/GO, embora a nota seja emitida em Aparecida de Goiânia — exige verificação antes do recolhimento.</t>
  </si>
  <si>
    <t>1. Valor Líquido a pagar (R$ 2.476,50) e os dados de pagamento (Sicoob / PIX). 2. Vínculo ao Contrato nº 78/2025 para emissão da ordem de pagamento. 3. Valores exatos das retenções tributárias que devem ser recolhidas.</t>
  </si>
  <si>
    <t>1. Valor total do objeto;
2. Prazos e condições de execução;
3. Regularidade das assinaturas da comissão.</t>
  </si>
  <si>
    <t>Registrar o empenho global e seus reforços para serviços especializados de limpeza e conservação, incluindo material sob demanda + BDI, em favor da Prisma Consultoria Ambiental Ltda. (páginas 1 e 2).</t>
  </si>
  <si>
    <t>Nota de Empenho para custear serviços especializados de limpeza e conservação, incluindo material sob demanda + BDI, para a Universidade Federal de Jataí. A nota registra reforços ao empenho.</t>
  </si>
  <si>
    <t>Nota de Empenho (reforço) emitida pela Universidade Federal de Jataí (UG 156678) para a contratação, por inexigibilidade de licitação, do serviço especializado de limpeza e conservação prestado pela empresa Prisma Consultoria Ambiental LTDA, no valor total de R$ 1.245.999,81.</t>
  </si>
  <si>
    <t>Nota de Empenho do SIAFI referente à contratação de serviço especializado de limpeza e conservação (incluindo material sob demanda + BDI) para a Prefeitura Universitária (PREUNI) da Universidade Federal de Jataí. O documento registra o empenho original e seus sucessivos reforços, estando na versão 020 (operação de Alteração).</t>
  </si>
  <si>
    <t>Contratação de serviço especializado de limpeza e conservação.</t>
  </si>
  <si>
    <t>Nota de Empenho (Reforço) para prestação de serviços continuados e especializados de limpeza e conservação, incluindo material sob demanda, para a Universidade Federal de Jataí.</t>
  </si>
  <si>
    <t>Nota de Empenho 2026NE000070 (ano 2026, tipo NE, número 70), versão 020. O nome do arquivo contém o identificador 0601218 (página 1 e rodapés).</t>
  </si>
  <si>
    <t>Nota de Empenho 2026NE000070 (ano 2026, tipo NE, número 70).</t>
  </si>
  <si>
    <t>Nota de Empenho nº 2026NE000070 (Ano 2026, Tipo NE, Número 70), Versão 020, UG 156678.</t>
  </si>
  <si>
    <t>2026NE000070 — Ano 2026, Tipo NE, Número 70, emitida pela UG 156678 (UFJ). Versão 020 do documento, de 22/06/2026 10:08:54.</t>
  </si>
  <si>
    <t>2026NE000070 (Nota de Empenho número 70 do ano 2026).</t>
  </si>
  <si>
    <t>2026NE000070 (Nota de Empenho nº 70 / 2026, UG Emitente: 156678).</t>
  </si>
  <si>
    <t>23854.008489/2024-06 (página 1, campo Processo).</t>
  </si>
  <si>
    <t>23854.008489/2024-06.</t>
  </si>
  <si>
    <t>Processo nº 23854.008489/2024-06.</t>
  </si>
  <si>
    <t>Processo nº 23854.008489/2024-06. Há ainda a Informação Complementar 15667807001132024 (UASG Minuta 156678) e a autorização SOR nº 0536599 citada na Descrição.</t>
  </si>
  <si>
    <t>Emissão: 30/01/2026. Versão 020, operação Alteração: 22/06/2026 às 10:08:54. Consulta/impressão: 22/06/2026 às 10:53 (página 1 e rodapés).</t>
  </si>
  <si>
    <t>Emissão: 30/01/2026. Reforços registrados até 19/06/2026; versão consultada alterada em 22/06/2026.</t>
  </si>
  <si>
    <t>Data de emissão do empenho: 30/01/2026. Último reforço/alteração registrado: 19/06/2026 (versão 020, alterada em 22/06/2026 10:08:54). Consulta impressa em 22/06/2026 10:53.</t>
  </si>
  <si>
    <t>Data de emissão do empenho: 30/01/2026. Versão atual (020): 22/06/2026 10:08:54. Data e hora da consulta/impressão: 22/06/2026 10:53. Último reforço registrado: 19/06/2026.</t>
  </si>
  <si>
    <t>Data de Emissão: 30/01/2026 (e a Data da consulta/impressão é 22/06/2026).</t>
  </si>
  <si>
    <t>Data de emissão original: 30/01/2026 (com última alteração/impressão em 22/06/2026).</t>
  </si>
  <si>
    <t>Universidade Federal de Jataí, UG emitente 156678; Prefeitura Universitária - PREUNI; UGR 156812; Unidade Jatobá e Almoxarifado DMP/Central no local de entrega (página 1).</t>
  </si>
  <si>
    <t>UG emitente 156678, Universidade Federal de Jataí; a descrição menciona a Prefeitura Universitária (PREUNI).</t>
  </si>
  <si>
    <t>UG Emitente: Universidade Federal de Jataí (código 156678, UGR 156812), localizada em Jataí/GO. Favorecido: Prisma Consultoria Ambiental LTDA, em Goiânia/GO.</t>
  </si>
  <si>
    <t>UG Emitente 156678 – Universidade Federal de Jataí (CNPJ 35.840.659/0001-30), Jataí/GO; UGR 156812; unidade demandante: Prefeitura Universitária – PREUNI; Plano Interno M20RKQ01PJN; local de entrega: Almoxarifado DMP/Central, Unidade Jatobá (BR-364, km 192, nº 3800).</t>
  </si>
  <si>
    <t>Universidade Federal de Jataí (UG Emitente: 156678) / PREUNI (Prefeitura Universitária).</t>
  </si>
  <si>
    <t>Universidade Federal de Jataí (UFJ) - Prefeitura Universitária / Preuni (UG Emitente: 156678).</t>
  </si>
  <si>
    <t>Universidade Federal de Jataí, CNPJ 35.840.659/0001-30, e Prisma Consultoria Ambiental Ltda., CNPJ 05.975.166/0001-47. O cabeçalho também identifica SIAFI e Tesouro Nacional, e o sistema de origem é COMPRASNET-ME (página 1).</t>
  </si>
  <si>
    <t>Universidade Federal de Jataí (emitente), Prisma Consultoria Ambiental Ltda (favorecida) e Prefeitura Universitária (unidade interna). Comprasnet-ME é indicado como sistema de origem.</t>
  </si>
  <si>
    <t>Universidade Federal de Jataí (UG Emitente/contratante) e Prisma Consultoria Ambiental LTDA (favorecida/contratada). Também são citados o SIAFI/Tesouro Nacional (sistema emissor) e o Comprasnet-ME (sistema de origem).</t>
  </si>
  <si>
    <t>Universidade Federal de Jataí (UG 156678, CNPJ 35.840.659/0001-30), como contratante/emitente, e PRISMA CONSULTORIA AMBIENTAL LTDA (CNPJ 05.975.166/0001-47, Goiânia/GO), como favorecida. Aparecem também o Tesouro Nacional/SIAFI e o Comprasnet-ME como sistema de origem.</t>
  </si>
  <si>
    <t>Universidade Federal de Jataí (UG Emitente) e PRISMA CONSULTORIA AMBIENTAL LTDA (Favorecido).</t>
  </si>
  <si>
    <t>Universidade Federal de Jataí (UFJ) (contratante/emitente) e Prisma Consultoria Ambiental Ltda (favorecida/contratada, CNPJ 05.975.166/0001-47).</t>
  </si>
  <si>
    <t>Não consta no documento: ele não tem seções numeradas, inclusive seção 08.</t>
  </si>
  <si>
    <t>O documento não possui seções numeradas (não existe 'seção 08'). Sua estrutura é organizada em blocos: UG Emitente, Célula Orçamentária, Favorecido, Amparo Legal, Descrição, Local da Entrega, Lista de Itens e Assinaturas.</t>
  </si>
  <si>
    <t>Não aplicável: o documento não possui seções numeradas. Suas seções são nominadas — UG Emitente, Célula Orçamentária, Favorecido, Amparo Legal, Descrição, Local da Entrega, Informação Complementar, Sistema de Origem, Lista de Itens e Assinaturas. Contando na ordem de apresentação, o oitavo bloco é 'Sistema de Origem', que indica COMPRASNET-ME.</t>
  </si>
  <si>
    <t>Não consta no documento. Sendo uma Nota de Empenho (SIAFI), o documento não é estruturado em seções numeradas (como Seção 08).</t>
  </si>
  <si>
    <t>Não há seção 08 explícita neste documento (o documento possui Listas de Itens e Assinaturas divididas em 3 páginas).</t>
  </si>
  <si>
    <t>não consta no documento qual informação específica se pretende localizar nesta pergunta. Os dados cadastrais, orçamentários, processo, amparo legal e entrega estão na página 1; os itens e reforços, na página 2; as assinaturas, na página 3.</t>
  </si>
  <si>
    <t>Não há seções numeradas. Dados gerais estão na página 1, itens e histórico de valores na página 2 e assinaturas na página 3.</t>
  </si>
  <si>
    <t>Não aplicável — o documento não utiliza numeração de seções. Seria necessário especificar qual informação está sendo buscada para indicar o bloco correspondente (ex.: valor total está em 'Célula Orçamentária'; fundamentação legal está em 'Amparo Legal').</t>
  </si>
  <si>
    <t>Não aplicável: a Nota de Empenho não é estruturada em seções numeradas, e sim em blocos nominados do formulário do SIAFI. A localização deve ser feita pelo nome do bloco (ex.: 'Célula Orçamentária', 'Lista de Itens', 'Assinaturas') e pela página (1 a 3).</t>
  </si>
  <si>
    <t>Não aplicável. A pergunta está incompleta/não especifica a informação a ser localizada.</t>
  </si>
  <si>
    <t>As informações estão distribuídas nos blocos de Célula Orçamentária, Identificação do Favorecido, Lista de Itens e Assinaturas.</t>
  </si>
  <si>
    <t>não consta no documento. O valor de R$ 1.245.999,81 é apresentado como valor do empenho e total da lista, sem identificação como Valor Total Anual do Objeto licitado (páginas 1 e 2).</t>
  </si>
  <si>
    <t>O empenho totaliza R$ 1.245.999,81. O documento não identifica esse montante como valor anual.</t>
  </si>
  <si>
    <t>O documento não apresenta um campo denominado 'Valor Total Anual do Objeto licitado'. O valor total do empenho (já com os reforços) é R$ 1.245.999,81.</t>
  </si>
  <si>
    <t>Não consta no documento a rubrica 'Valor Total Anual do Objeto licitado' — essa informação pertence ao Termo de Referência/Contrato, não à Nota de Empenho. O que consta é o valor empenhado acumulado de R$ 1.245.999,81 (empenho inicial de R$ 339.999,93 em 30/01/2026, acrescido de reforços em 11/03, 09/04, 01/06 e 19/06/2026).</t>
  </si>
  <si>
    <t>O documento indica o valor global da Nota de Empenho como R$ 1.245.999,81. (Não há menção explícita se este é o Valor Total Anual exato do contrato, apenas o valor empenhado/reforçado).</t>
  </si>
  <si>
    <t>O valor total atualizado da Nota de Empenho é de R$ 1.245.999,81.</t>
  </si>
  <si>
    <t>não consta no documento. As assinaturas apresentadas são do ordenador de despesa Marcos Wagner de Souza Ribeiro, em 22/06/2026 às 09:01:30; da gestora financeira Francinelle Cabral Silva, em 22/06/2026 às 10:08:54; e da responsável pela nota de empenho Marilia Paranaiba Ferreira, em 19/06/2026 às 17:51:40. Não são identificadas como membros de comissão de contratação (página 3).</t>
  </si>
  <si>
    <t>Não consta data de assinatura de comissão. A nota traz assinaturas do Ordenador de Despesa e Gestor Financeiro em 22/06/2026, e da responsável pela nota em 19/06/2026.</t>
  </si>
  <si>
    <t>O documento não menciona 'comissão de contratação'. Constam apenas as assinaturas: Ordenador de Despesa (Marcos Wagner de Souza Ribeiro) em 22/06/2026 09:01:30; Gestor Financeiro (Francinelle Cabral Silva) em 22/06/2026 10:08:54; Responsável pela Nota de Empenho (Marília Paranaíba Ferreira) em 19/06/2026 17:51:40.</t>
  </si>
  <si>
    <t>Não consta assinatura de comissão de contratação. O documento traz apenas três assinaturas eletrônicas: Responsável pela Nota de Empenho — Marilia Paranaiba Ferreira, em 19/06/2026 17:51:40; Ordenador de Despesa — Marcos Wagner de Souza Ribeiro, em 22/06/2026 09:01:30; Gestor Financeiro — Francinelle Cabral Silva, em 22/06/2026 10:08:54.</t>
  </si>
  <si>
    <t>Não consta. O documento contém apenas as assinaturas do Ordenador de Despesa, Responsável pela NE e Gestora Financeira datadas em 19/06/2026 e 22/06/2026.</t>
  </si>
  <si>
    <t>As assinaturas dos responsáveis constam nas datas: 19/06/2026 (Marília Paranaíba Ferreira) e 22/06/2026 (Marcos Wagner de Souza Ribeiro e Francinelle Cabral Silva).</t>
  </si>
  <si>
    <t>Documento: 2026NE000070; versão: 020; emissão: 30/01/2026; tipo: Global; processo: 23854.008489/2024-06; emitente: Universidade Federal de Jataí, UG 156678; favorecido: Prisma Consultoria Ambiental Ltda., CNPJ 05.975.166/0001-47; valor: R$ 1.245.999,81; esfera: 1; PTRES: 231318; fonte: 1000000000; natureza da despesa: 339039; UGR: 156812; plano interno: M20RKQ01PJN; subelemento: 78 - Limpeza e Conservação; modalidade registrada: Inexigibilidade; ato normativo: Lei 14.133/2021; autorização mencionada: SOR nº 0536599; origem: COMPRASNET-ME (páginas 1 e 2).</t>
  </si>
  <si>
    <t>Documento: Nota de Empenho 2026NE000070; processo 23854.008489/2024-06; emissão 30/01/2026; emitente Universidade Federal de Jataí, UG 156678; favorecida Prisma Consultoria Ambiental Ltda; inexigibilidade; serviços de limpeza e conservação; total R$ 1.245.999,81; natureza 339039, subelemento 78.</t>
  </si>
  <si>
    <t>UG: 156678 - Universidade Federal de Jataí | CNPJ: 35.840.659/0001-30 | Ano/Tipo/Nº: 2026/NE/70 | PTRES: 231318 | Fonte de Recurso: 1000000000 | Natureza da Despesa: 339039 | UGR: 156812 | Plano Interno: M20RKQ01PJN | Data de emissão: 30/01/2026 | Processo: 23854.008489/2024-06 | Valor: R$ 1.245.999,81 | Favorecido: Prisma Consultoria Ambiental LTDA (CNPJ 05.975.166/0001-47) | Amparo legal: Lei 14.133/2021, inexigibilidade, caput | Sistema de origem: Comprasnet-ME.</t>
  </si>
  <si>
    <t>Documento: Nota de Empenho 2026NE000070, versão 020, operação Alteração | UG Emitente: 156678 – UFJ, CNPJ 35.840.659/0001-30, Jataí/GO | Emissão: 30/01/2026 | Tipo: Global | Processo: 23854.008489/2024-06 | Valor: R$ 1.245.999,81 | Moeda: Real | Célula: Esfera 1, PTRES 231318, Fonte 1000000000, Natureza da Despesa 339039 (Outros Serviços de Terceiros – PJ), Subelemento 78 (Limpeza e Conservação), UGR 156812, PI M20RKQ01PJN | Favorecido: Prisma Consultoria Ambiental Ltda, CNPJ 05.975.166/0001-47, Goiânia/GO | Amparo Legal: código 196 – Inexigibilidade, Lei 14.133/2021, Caput | Itens: 001 material sob demanda + BDI R$ 13.999,86; 002 serviço especializado de limpeza R$ 3.499,95; 003 prestação de serviço de limpeza e conservação R$ 1.228.500,00 | Sistema de origem: Comprasnet-ME.</t>
  </si>
  <si>
    <t>Tipo: Nota de Empenho; Número: 2026NE000070; Processo: 23854.008489/2024-06; UG Emitente: 156678 (UFJ); Favorecido: Prisma Consultoria Ambiental Ltda; Valor Global: R$ 1.245.999,81; Modalidade: Inexigibilidade.</t>
  </si>
  <si>
    <t>UG: 156678 (UFJ); Processo: 23854.008489/2024-06; Favorecido: Prisma Consultoria Ambiental Ltda; Amparo Legal: Lei 14.133/2021, Inexigibilidade; Valor Total: R$ 1.245.999,81.</t>
  </si>
  <si>
    <t>Valor do empenho/total da lista: R$ 1.245.999,81. Descrição: R$ 339.999,93, no registro PROT.:1511(339999,93)$. Item 001: total R$ 13.999,86; unitários R$ 15.295,0000 e R$ 0,0500; inclusão em 30/01 de R$ 3.999,95; reforços em 11/03, 09/04 e 01/06 de R$ 1.999,97 cada; em 19/06, R$ 3.999,95 e R$ 0,05. Item 002: total R$ 3.499,95; unitários R$ 2.638,7500 e R$ 0,0200; inclusão em 30/01 de R$ 999,98; reforços em 11/03, 09/04 e 01/06 de R$ 499,99 cada; em 19/06, R$ 999,98 e R$ 0,02. Item 003: total R$ 1.228.500,00; unitário R$ 4,4454; inclusão em 30/01 de R$ 335.000,00; reforços em 11/03 de R$ 167.500,00, em 09/04 e 01/06 de R$ 181.500,00 cada e em 19/06 de R$ 363.000,00. Todas as datas são de 2026 (páginas 1 e 2).</t>
  </si>
  <si>
    <t>Total: R$ 1.245.999,81. Totais dos itens: 001 R$ 13.999,86; 002 R$ 3.499,95; 003 R$ 1.228.500,00. Inclusão original: R$ 339.999,93; reforços somados: R$ 905.999,88. Unitários: R$ 15.295,00; R$ 2.638,75; R$ 4,4454. Lançamentos: R$ 335.000,00; R$ 167.500,00; R$ 181.500,00 (duas vezes); R$ 363.000,00; R$ 3.999,95 (duas vezes); R$ 1.999,97 (três vezes); R$ 999,98 (duas vezes); R$ 499,99 (três vezes); R$ 0,05 e R$ 0,02.</t>
  </si>
  <si>
    <t>Valor total do empenho: R$ 1.245.999,81. Item 001 (limpeza sob demanda + BDI): R$ 13.999,86. Item 002 (serviço especializado de limpeza): R$ 3.499,95. Item 003 (limpeza e conservação): R$ 1.228.500,00. Reforços por data: 30/01 (inclusão) R$ 335.000,00 no item 003; 11/03 R$ 167.500,00; 09/04 R$ 181.500,00; 01/06 R$ 181.500,00; 19/06 R$ 363.000,00 (item 003), além de valores proporcionais menores nos itens 001 e 002 nas mesmas datas.</t>
  </si>
  <si>
    <t>Valor total do empenho: R$ 1.245.999,81 | Item 001: R$ 13.999,86 (inclusão 3.999,95 + reforços 1.999,97; 1.999,97; 1.999,97; 3.999,95 e 0,05), valor unitário 15.295,0000 e, no último lançamento, 0,0500 | Item 002: R$ 3.499,95 (inclusão 999,98 + reforços 499,99; 499,99; 499,99; 999,98 e 0,02), valor unitário 2.638,7500 e, no último lançamento, 0,0200 | Item 003: R$ 1.228.500,00 (inclusão 335.000,00 + reforços 167.500,00; 181.500,00; 181.500,00 e 363.000,00), valor unitário 4,4454 | Valor citado na Descrição: R$ 339.999,93 | Taxa de câmbio: 0,0000.</t>
  </si>
  <si>
    <t>Valor Global: R$ 1.245.999,81. Item 1: R$ 13.999,86. Item 2: R$ 3.499,95. Item 3: R$ 1.228.500,00. Contém diversos lançamentos de reforços variando de R$ 0,02 a R$ 363.000,00.</t>
  </si>
  <si>
    <t>Total: R$ 1.245.999,81; Item 001 (Limpeza material sob demanda + BDI): R$ 13.999,86; Item 002: R$ 3.499,95; Item 003 (Serviço continuado de limpeza): R$ 1.228.500,00.</t>
  </si>
  <si>
    <t>O documento descreve serviços especializados de limpeza e conservação e material sob demanda + BDI; informa entrega na Unidade Jatobá, Almoxarifado DMP/Central, de segunda a sexta-feira, das 08:00 às 11:30 e das 13:30 às 17:30; identifica ordenador de despesa, gestora financeira e responsável pela nota. Detalhamento de obrigações contratuais, prazos de execução, penalidades e condições de pagamento: não consta no documento (páginas 1 a 3).</t>
  </si>
  <si>
    <t>A nota identifica serviços de limpeza e conservação e informa local e horário de entrega/atendimento. Não detalha obrigações contratuais da contratada nem responsabilidades de fiscalização ou gestão.</t>
  </si>
  <si>
    <t>O documento, por ser uma Nota de Empenho, não detalha cláusulas de obrigação; registra o compromisso orçamentário-financeiro da UFJ em reservar/pagar o valor à Prisma Consultoria Ambiental LTDA pela prestação do serviço de limpeza e conservação, conforme autorização SOR nº 0536599 e amparo na Lei 14.133/2021 (inexigibilidade).</t>
  </si>
  <si>
    <t>A Nota de Empenho não estabelece cláusulas de obrigações — estas constam do contrato e do termo de referência, não anexados. Do documento decorrem apenas: (a) para a Administração, a reserva de dotação e o compromisso de pagamento até o limite empenhado de R$ 1.245.999,81; (b) para a contratada, a prestação do serviço de limpeza e conservação no local indicado (Unidade Jatobá, BR-364 km 192, nº 3800, Almoxarifado DMP/Central), de segunda a sexta, das 08:00 às 11:30 e das 13:30 às 17:30; (c) para os agentes signatários, a responsabilidade pela emissão, autorização e gestão financeira do empenho.</t>
  </si>
  <si>
    <t>Não constam no documento. Tratando-se de Nota de Empenho, as obrigações ficam restritas ao Termo de Referência ou Contrato, contendo aqui apenas local de entrega (Almoxarifado DMP/Central) e horários.</t>
  </si>
  <si>
    <t>Prestação de serviços especializados de limpeza e conservação na Unidade Jatobá da Universidade Federal de Jataí conforme especificações e quantitativos estabelecidos.</t>
  </si>
  <si>
    <t>Não consta no documento: não há cláusula ou seção 4.1.4 nesta Nota de Empenho.</t>
  </si>
  <si>
    <t>O documento não contém cláusulas ou itens numerados como '4.1.4'. Essa numeração é típica de editais, termos de referência ou contratos, documentos não incluídos nesta análise.</t>
  </si>
  <si>
    <t>Não aplicável: o documento não contém cláusula ou item 4.1.4. A Nota de Empenho não possui estrutura de cláusulas numeradas; a pergunta parece dirigida a um Termo de Referência, Estudo Técnico Preliminar ou contrato, que não integra este arquivo.</t>
  </si>
  <si>
    <t>Não consta. Não existem cláusulas ou seção 4.1.4 no documento analisado.</t>
  </si>
  <si>
    <t>Não há cláusula 4.1.4 explícita no documento (trata-se de uma Nota de Empenho orçamentária do SIAFI).</t>
  </si>
  <si>
    <t>Registrar a despesa empenhada para limpeza e conservação da Universidade Federal de Jataí, vinculando favorecido, processo e classificação orçamentária, com histórico de inclusões e reforços (páginas 1 e 2).</t>
  </si>
  <si>
    <t>Registrar e reforçar o compromisso orçamentário para custear os serviços de limpeza e conservação indicados, vinculados ao processo e à favorecida.</t>
  </si>
  <si>
    <t>Registrar formalmente, no SIAFI, o empenho orçamentário (e seus reforços) da Universidade Federal de Jataí para assegurar a disponibilidade de recursos e viabilizar o pagamento do serviço de limpeza e conservação contratado junto à Prisma Consultoria Ambiental LTDA.</t>
  </si>
  <si>
    <t>Formalizar o empenho da despesa, isto é, reservar dotação orçamentária e criar para o Estado a obrigação de pagamento (arts. 58 a 60 da Lei 4.320/1964), vinculando a despesa à célula orçamentária, ao favorecido e ao processo. Nesta versão, serve especificamente para registrar reforços do empenho original ao longo do exercício de 2026.</t>
  </si>
  <si>
    <t>Empenhar (garantir a reserva de) recursos orçamentários para fazer face à despesa com serviços de limpeza.</t>
  </si>
  <si>
    <t>Empenhar dotação orçamentária para acorrer despesa com serviços de limpeza e conservação, formalizando reforço de saldo financeiro para a contratada.</t>
  </si>
  <si>
    <t>não consta no documento. Não há seção 4.11.</t>
  </si>
  <si>
    <t>Não consta no documento: não há item 4.11 nem consequência associada.</t>
  </si>
  <si>
    <t>O documento não possui item ou cláusula '4.11'; não é possível responder com base nas informações contidas nesta Nota de Empenho.</t>
  </si>
  <si>
    <t>Não aplicável: não existe item 4.11 no documento. Não é possível apontar consequência a partir de dispositivo inexistente na Nota de Empenho.</t>
  </si>
  <si>
    <t>Não consta. Não existe item 4.11 no documento.</t>
  </si>
  <si>
    <t>Não há seção 4.11 aplicável neste documento SIAFI.</t>
  </si>
  <si>
    <t>Não foi identificada divergência nas somas dos lançamentos e dos três itens. Há pontos de preenchimento a conferir: o campo Artigo está com traço e CAPUT aparece no campo Inciso; a descrição mantém R$ 339.999,93, correspondente à soma das inclusões iniciais, enquanto o total atualizado é R$ 1.245.999,81. O histórico de reforços explica a diferença entre esses valores (páginas 1 e 2).</t>
  </si>
  <si>
    <t>Não foi identificada inconsistência aritmética evidente: os totais dos três itens somam R$ 1.245.999,81. R$ 339.999,93 na descrição corresponde à inclusão original; o total maior inclui reforços posteriores.</t>
  </si>
  <si>
    <t>Não foram identificadas inconsistências relevantes: a soma dos três itens da Lista de Itens (R$ 13.999,86 + R$ 3.499,95 + R$ 1.228.500,00 = R$ 1.245.999,81) confere exatamente com o valor total do empenho.</t>
  </si>
  <si>
    <t>Sim. (a) A Descrição continua indicando 'PROT.:1511(339999,93)' — valor do empenho original — embora o total já alcance R$ 1.245.999,81 após os reforços, o que indica descrição não atualizada. (b) Os itens 001 e 002 receberam, em 19/06/2026, lançamentos com valor unitário de R$ 0,0500 e R$ 0,0200, destoantes dos unitários de R$ 15.295,0000 e R$ 2.638,7500, caracterizando ajuste de centavos. (c) A razão social 'Prisma Consultoria Ambiental Ltda' não guarda relação evidente com o objeto de limpeza e conservação. (d) O telefone do favorecido (64-225-5100) tem DDD de Jataí, enquanto o município informado é Goiânia (DDD 62), e o número aparenta formato antigo (7 dígitos). (e) O endereço do favorecido está truncado ('SET LESTE UNIVERSIT').</t>
  </si>
  <si>
    <t>Não aparentam existir inconsistências matemáticas no documento. A soma dos itens corresponde ao valor global.</t>
  </si>
  <si>
    <t>Não foram identificadas inconsistências aparentes nos dados orçamentários, somas de itens ou dados cadastrais.</t>
  </si>
  <si>
    <t>Não foram identificadas incompatibilidades aritméticas nos valores totais: R$ 13.999,86 + R$ 3.499,95 + R$ 1.228.500,00 = R$ 1.245.999,81. A emissão é de 30/01/2026; os reforços vão até 19/06/2026; as assinaturas e a alteração final ocorrem em junho. São registros de eventos distintos, sem contradição cronológica aparente (páginas 1 a 3).</t>
  </si>
  <si>
    <t>Não há incompatibilidade evidente. A diferença entre R$ 339.999,93 na descrição e R$ 1.245.999,81 no total é explicada pelo histórico de reforços; convém confirmar a referência ao valor original.</t>
  </si>
  <si>
    <t>Não foram identificadas incompatibilidades. Os valores dos itens somam corretamente ao total, e as datas dos reforços (30/01, 11/03, 09/04, 01/06 e 19/06/2026) seguem ordem cronológica coerente com a data de emissão e a data da última alteração.</t>
  </si>
  <si>
    <t>Sim. (a) A assinatura do Responsável pela Nota de Empenho é de 19/06/2026, anterior às assinaturas do Ordenador e do Gestor Financeiro (22/06/2026) e à própria versão 020 do documento. (b) O empenho está classificado como 'Global', mas recebeu cinco operações de reforço, elevando o valor em cerca de 266% em relação ao inicial. (c) As quantidades são fracionárias e pouco usuais (0,26152; 0,13076; 75.358,79786; 81.657,44365), típicas de empenho calculado por valor e não por quantidade física, o que dificulta a conferência. (d) O processo é de 2024 e o empenho é de 2026, o que exige confirmação da vigência contratual. (e) A soma dos itens confere com o total (13.999,86 + 3.499,95 + 1.228.500,00 = 1.245.999,81), portanto não há erro aritmético.</t>
  </si>
  <si>
    <t>A modalidade está assinalada como 'INEXIGIBILIDADE' para um serviço comum (Limpeza e Conservação). Sem o processo físico, não se pode afirmar ser incompatível, mas foge da regra geral que exige licitação por pregão para estes serviços.</t>
  </si>
  <si>
    <t>Não. As datas de inclusão e reforço (janeiro a junho de 2026) e os valores dos itens conferem com o total de R$ 1.245.999,81.</t>
  </si>
  <si>
    <t>Sim. Número do contrato, período de execução coberto pelos valores, unidade de medida das quantidades, justificativa dos reforços e artigo específico do amparo legal: não consta no documento. A ausência nesta nota não permite concluir que essas informações estejam ausentes do processo (páginas 1 e 2).</t>
  </si>
  <si>
    <t>Não constam período de execução/vigência, memória de cálculo de valor anual, saldo orçamentário após os lançamentos nem obrigações contratuais detalhadas. Podem constar em documentos relacionados.</t>
  </si>
  <si>
    <t>Sim. O documento não traz o número do contrato/ata vinculado, o prazo de vigência da contratação, o detalhamento completo do objeto (edital/termo de referência), nem o CPF completo dos signatários (mascarados por sigilo).</t>
  </si>
  <si>
    <t>Sim. Não constam: número e vigência do contrato administrativo; número do processo de inexigibilidade e o artigo específico da Lei 14.133/2021 que fundamenta a dispensa de licitação; prazo de execução e cronograma; saldo contratual remanescente; identificação do fiscal e do gestor do contrato; detalhamento dos postos de serviço, área ou mão de obra que justifiquem o valor; memória de cálculo dos reforços; e indicação de repactuação ou reajuste, se houver.</t>
  </si>
  <si>
    <t>Sim, faltam informações detalhadas do contrato (prazos, sanções, regras de execução), o que é normal, já que se trata de uma Nota de Empenho e não do Contrato em si.</t>
  </si>
  <si>
    <t>Trata-se de extrato completo de Nota de Empenho SIAFI, contendo os dados essenciais de execução e dotação, sem ausências de campos obrigatórios do sistema.</t>
  </si>
  <si>
    <t>Possíveis falhas de preenchimento ou apresentação a verificar: CAPUT no campo Inciso, Artigo preenchido com traço, descrições/endereço abreviados e quantidades do item 003 quebradas em duas linhas. Não foi identificado erro material comprovado nos totais financeiros (páginas 1 e 2).</t>
  </si>
  <si>
    <t>Não foi confirmado erro material. “PROT.:1511(339999,93)$” tem formatação pouco clara, embora o valor corresponda à inclusão original. O campo da natureza da despesa aparece truncado como “PESSOA JURIDIC”, possivelmente por limitação de exibição.</t>
  </si>
  <si>
    <t>Não foram identificados erros materiais evidentes nos dados numéricos apresentados (os totais conferem). Recomenda-se, ainda assim, confronto com o processo administrativo original e o contrato para confirmar a ausência de erros de digitação em códigos e datas.</t>
  </si>
  <si>
    <t>Possíveis erros materiais: (a) campos 'Artigo' e 'Parágrafo' do Amparo Legal preenchidos com '-', restando apenas 'CAPUT' no Inciso, o que deixa o fundamento legal incompleto; (b) Descrição desatualizada, mantendo o valor original de R$ 339.999,93; (c) endereço do favorecido truncado; (d) telefone do favorecido com DDD incompatível com o município; (e) lançamentos de R$ 0,05 e R$ 0,02 com valores unitários artificiais, usados apenas para fechamento de centavos.</t>
  </si>
  <si>
    <t>Não constam erros materiais evidentes, além de possíveis truncamentos de texto comuns no SIAFI (ex: PREUNI CONFORME AUTORIZACAO SOR N 0536599).</t>
  </si>
  <si>
    <t>Nenhum erro material aparente identificado na formatação ou nos dados da Nota de Empenho.</t>
  </si>
  <si>
    <t>Sim. Conferir o amparo legal registrado, a autorização SOR nº 0536599, a vinculação ao processo e ao favorecido, a correspondência dos reforços às necessidades da despesa, os lançamentos de R$ 0,05 e R$ 0,02 e a leitura integral das quantidades do item 003. São verificações sugeridas a partir dos campos do documento (páginas 1 a 3).</t>
  </si>
  <si>
    <t>Conferir o valor original de R$ 339.999,93 e o total atualizado de R$ 1.245.999,81; processo, autorização SOR nº 0536599, contrato vigente, período atendido, disponibilidade orçamentária e correspondência entre reforços e serviços executados.</t>
  </si>
  <si>
    <t>Sim: recomenda-se confirmar a autorização SOR nº 0536599 citada na descrição, a vigência e o saldo do contrato relacionado ao processo 23854.008489/2024-06, e a disponibilidade orçamentária na fonte de recurso 1000000000 / PTRES 231318 antes de qualquer uso administrativo do documento.</t>
  </si>
  <si>
    <t>Sim. O servidor deve verificar, antes de utilizar o documento: a existência e a vigência do contrato vinculado (Informação Complementar 15667807001132024); a compatibilidade do valor empenhado com o saldo contratual e com o cronograma de desembolso; a correção do enquadramento como inexigibilidade e a indicação do artigo legal; a regularidade fiscal e cadastral do favorecido (SICAF); a atualização da descrição do empenho; e a coerência das quantidades e valores unitários com a planilha de custos contratada.</t>
  </si>
  <si>
    <t>Sim. A validade da modalidade de Inexigibilidade para serviços de limpeza, a conformidade do saldo contratual e o ateste dos serviços prestados.</t>
  </si>
  <si>
    <t>Sim, verificar a regularidade fiscal atualizada da empresa favorecida e a compatibilidade do saldo com o cronograma de execução.</t>
  </si>
  <si>
    <t>Não foi identificada desconformidade comprovada com requisitos explicitamente apresentados. A nota não contém regras detalhadas de execução ou elementos de comprovação da prestação dos serviços. O preenchimento incompleto do amparo legal e os reforços de pequenos valores são pontos de conferência, sem demonstrar, isoladamente, irregularidade (páginas 1 e 2).</t>
  </si>
  <si>
    <t>A nota não contém requisitos numerados de edital ou termo de referência para avaliar desconformidade. Não há descumprimento demonstrável apenas por este documento; comparar com contrato e termo de referência.</t>
  </si>
  <si>
    <t>Não foram identificados elementos de desconformidade interna; os dados apresentados (valores, datas, fundamentação legal) são coerentes entre si dentro do próprio documento.</t>
  </si>
  <si>
    <t>Sim, dois pontos merecem exame. (a) O Amparo Legal indica 'Inexigibilidade' com base na Lei 14.133/2021, mas não informa o artigo e o inciso aplicáveis, e o objeto (limpeza e conservação) é serviço comum, com ampla competitividade de mercado, o que em regra não comporta inexigibilidade — a compatibilidade precisa ser confirmada no processo. (b) A Descrição declara valor (R$ 339.999,93) incompatível com o valor total do próprio documento (R$ 1.245.999,81).</t>
  </si>
  <si>
    <t>A modalidade de licitação indicada é 'INEXIGIBILIDADE', e no Amparo Legal (LEI 14.133/2021) o campo 'Artigo' encontra-se em branco, o que é atípico.</t>
  </si>
  <si>
    <t>Não. O amparo legal (Lei 14.133/2021, Inexigibilidade) e a modalidade estão devidamente indicados.</t>
  </si>
  <si>
    <t>Estão explícitos o objeto dos três itens, suas quantidades e valores por lançamento, o favorecido, a classificação orçamentária, o tipo Global, a modalidade Inexigibilidade, a referência à Lei 14.133/2021, à autorização SOR nº 0536599 e ao local/horário de entrega. Requisitos técnicos detalhados de desempenho e critérios de aceitação: não consta no documento (páginas 1 e 2).</t>
  </si>
  <si>
    <t>Constam: favorecida Prisma Consultoria Ambiental Ltda; serviços de limpeza/conservação; natureza 339039, subelemento 78; inexigibilidade sob a Lei 14.133/2021; local de entrega na Unidade Jatobá/almoxarifado DMP Central; atendimento de segunda a sexta, 08h–11h30 e 13h30–17h30; assinaturas dos responsáveis indicados.</t>
  </si>
  <si>
    <t>Amparo legal explícito: Lei 14.133/2021, inexigibilidade de licitação (caput); autorização SOR nº 0536599 citada na descrição; natureza da despesa 339039 (Outros Serviços de Terceiros - Pessoa Jurídica); vinculação ao processo administrativo 23854.008489/2024-06.</t>
  </si>
  <si>
    <t>Estão explicitamente presentes: identificação completa da UG emitente (código, CNPJ, endereço, telefone); célula orçamentária completa (esfera, PTRES, fonte, natureza da despesa, UGR e plano interno); tipo e número do empenho; data de emissão; número do processo; valor; identificação do favorecido (CNPJ, nome, endereço, município/UF); amparo legal e modalidade; descrição resumida; local, endereço e horário de entrega; informação complementar com contrato/UASG; sistema de origem; lista de itens com histórico de operações, quantidades, valores unitários e totais; e as três assinaturas eletrônicas com data e hora.</t>
  </si>
  <si>
    <t>Requisitos explícitos: Célula Orçamentária (PTRES, Fonte, Natureza de Despesa 339039), Amparo legal base, dados das partes e assinaturas eletrônicas das autoridades competentes.</t>
  </si>
  <si>
    <t>Amparo legal (Lei 14.133/2021), modalidade (Inexigibilidade), identificação da UG, dotação orçamentária (PTRES, Natureza da Despesa 339039) e assinaturas eletrônicas válidas.</t>
  </si>
  <si>
    <t>Para conferir o alcance e a execução da despesa, seriam úteis o número do contrato, o período coberto, as unidades de medida, a justificativa dos reforços e a fundamentação legal específica; não consta no documento. A nota não permite determinar se esses elementos estão disponíveis em outras peças do processo.</t>
  </si>
  <si>
    <t>Não constam prazo de execução/vigência, valor anual identificado como tal, especificação integral dos serviços nem obrigações contratuais. Consultar contrato, termo de referência e documentos de execução.</t>
  </si>
  <si>
    <t>Número e vigência do contrato firmado com a Prisma Consultoria Ambiental LTDA, detalhamento do objeto contratado (termo de referência/edital), prazo de execução dos serviços e eventuais condições de reajuste ou prorrogação.</t>
  </si>
  <si>
    <t>Parecem ausentes: número e vigência do contrato de forma explícita; fundamento legal específico (artigo/inciso) da inexigibilidade; prazo de execução e período de competência dos serviços; identificação do fiscal do contrato; memória de cálculo ou justificativa de cada reforço; saldo contratual e saldo orçamentário após o empenho; e o detalhamento do objeto por posto, área ou unidade atendida.</t>
  </si>
  <si>
    <t>Falta a indicação do Artigo exato da Lei 14.133/2021 que embasou a Inexigibilidade de licitação.</t>
  </si>
  <si>
    <t>Nenhuma informação essencial exigida pelo padrão SIAFI para nota de empenho consta como ausente.</t>
  </si>
  <si>
    <t>não consta no documento. Nenhum outro documento foi fornecido para comparação; a referência à autorização SOR nº 0536599 não reproduz seu conteúdo.</t>
  </si>
  <si>
    <t>Não é possível avaliar conflito: foi fornecida apenas esta Nota de Empenho.</t>
  </si>
  <si>
    <t>Não é possível avaliar, pois apenas este documento (Nota de Empenho) foi disponibilizado para análise; nenhum outro documento foi fornecido para comparação.</t>
  </si>
  <si>
    <t>Não é possível afirmar: apenas este documento foi apresentado. Não há outro documento (contrato, termo de referência, nota fiscal, empenho anterior) disponível para confronto. A análise comparativa fica prejudicada até que os documentos correlatos sejam anexados.</t>
  </si>
  <si>
    <t>Não aplicável, pois não foram fornecidos outros documentos para comparação.</t>
  </si>
  <si>
    <t>Não há conflito aparente com os dados do processo administrativo 23854.008489/2024-06 citados.</t>
  </si>
  <si>
    <t>não consta no documento. Foi fornecido apenas um documento, impossibilitando apontar diferenças entre documentos.</t>
  </si>
  <si>
    <t>Não é possível apontar diferenças entre documentos porque só foi fornecido um documento.</t>
  </si>
  <si>
    <t>Não aplicável — apenas um único documento (esta Nota de Empenho) foi enviado para análise, não havendo outro documento para comparação.</t>
  </si>
  <si>
    <t>Não aplicável pela mesma razão: não há segundo documento no conjunto enviado. As únicas comparações possíveis são internas, entre as versões do próprio empenho registradas no histórico de operações da Lista de Itens.</t>
  </si>
  <si>
    <t>Não aplicável (analisado documento único: Nota de Empenho).</t>
  </si>
  <si>
    <t>O histórico registra reforços de valores e quantidades nos três itens em 11/03/2026, 09/04/2026, 01/06/2026 e 19/06/2026. No último dia também há lançamentos de R$ 0,05 no item 001 e R$ 0,02 no item 002. Pela soma dos lançamentos, o valor inicial de R$ 339.999,93 recebeu R$ 905.999,88 em reforços, chegando a R$ 1.245.999,81. O rodapé informa versão 020, Alteração em 22/06/2026; outras mudanças entre versões: não consta no documento (páginas 1 e 2).</t>
  </si>
  <si>
    <t>O histórico mostra inclusão em 30/01/2026 e reforços em 11/03, 09/04, 01/06 e 19/06/2026. O total evoluiu de R$ 339.999,93 para R$ 1.245.999,81, acréscimo de R$ 905.999,88.</t>
  </si>
  <si>
    <t>O próprio documento registra alterações ao longo do exercício de 2026: reforços do empenho original nas datas de 11/03/2026, 09/04/2026, 01/06/2026 e 19/06/2026, consolidados na versão 020, com operação do tipo 'Alteração' registrada em 22/06/2026 10:08:54.</t>
  </si>
  <si>
    <t>Internamente, o empenho foi alterado sucessivamente: inclusão em 30/01/2026 (R$ 339.999,93) e reforços em 11/03/2026 (R$ 169.999,96), 09/04/2026 (R$ 183.999,96), 01/06/2026 (R$ 183.999,96) e 19/06/2026 (R$ 367.999,93 + ajustes de R$ 0,05 e R$ 0,02), chegando a R$ 1.245.999,81. O documento está na versão 020, com operação de Alteração registrada em 22/06/2026 10:08:54.</t>
  </si>
  <si>
    <t>Foi registrada uma operação de 'Alteração' na Versão 020, com a emissão de diversos 'Reforços' de empenho nas datas de 11/03, 09/04, 01/06 e 19/06/2026.</t>
  </si>
  <si>
    <t>Houve histórico de alterações de reforço de empenho nas datas 11/03/2026, 09/04/2026, 01/06/2026 e 19/06/2026 (versão 020).</t>
  </si>
  <si>
    <t>Pontos de atenção: distinção entre valor inicial na descrição e total atualizado; justificativa e vinculação dos reforços; preenchimento do amparo legal; lançamentos de R$ 0,05 e R$ 0,02; ausência de período de execução e unidade de medida; leitura das quantidades quebradas em linhas. Esses pontos não comprovam irregularidade (páginas 1 e 2).</t>
  </si>
  <si>
    <t>Verificar diferença entre valor original e total reforçado, ausência de valor anual e prazo explícitos, clareza da descrição/protocolo e autorização SOR nº 0536599, além da compatibilidade entre empenho, contrato, orçamento e serviços.</t>
  </si>
  <si>
    <t>Cinco movimentações de reforço ao longo do ano podem indicar necessidade de acompanhamento próximo do saldo contratual e do cronograma de execução; o valor elevado (R$ 1,24 milhão) amparado em inexigibilidade de licitação merece atenção quanto à justificativa de dispensa/inexigibilidade constante do processo.</t>
  </si>
  <si>
    <t>Pontos de atenção: descrição do empenho desatualizada em relação ao valor atual; enquadramento como inexigibilidade para serviço comum, sem indicação do artigo legal; volume e frequência dos reforços (cinco operações em cinco meses), que sugerem planejamento orçamentário inicial subestimado; empenho tipo 'Global' operando na prática como estimativo; divergência cadastral do favorecido (telefone e endereço truncado); assinatura do responsável anterior à versão vigente do documento; e razão social do favorecido sem aderência aparente ao objeto.</t>
  </si>
  <si>
    <t>1) Justificativa legal para Inexigibilidade de serviço de limpeza; 2) Falta de preenchimento do Artigo da Lei no SIAFI; 3) Valores elevados pulverizados em vários reforços.</t>
  </si>
  <si>
    <t>Acompanhar a execução dos saldos dos itens sob demanda (Itens 001 e 002) e a vigência do contrato principal vinculado ao processo.</t>
  </si>
  <si>
    <t>Antes de decidir com base na nota, conferir identificação do processo e favorecido, autorização SOR nº 0536599, classificação orçamentária, total e composição dos reforços, fundamento da modalidade registrada e período da despesa. Para decisões sobre execução ou pagamento, comprovação da prestação e condições de pagamento: não consta no documento.</t>
  </si>
  <si>
    <t>Confirmar valor atualizado e saldo, vigência e objeto contratual, autorização da despesa, adequação da inexigibilidade e classificação orçamentária, e correspondência dos reforços com medições e serviços prestados.</t>
  </si>
  <si>
    <t>Saldo orçamentário disponível na fonte de recurso e PTRES informados; validade e teor da autorização SOR nº 0536599; vigência do contrato/ata vinculado ao processo 23854.008489/2024-06; regularidade fiscal e cadastral da empresa Prisma Consultoria Ambiental LTDA.</t>
  </si>
  <si>
    <t>Antes de qualquer decisão: confirmar a vigência e o saldo do contrato vinculado; conferir o saldo orçamentário na célula (PTRES 231318, fonte 1000000000, ND 339039, PI M20RKQ01PJN); validar o enquadramento legal da contratação no processo 23854.008489/2024-06; verificar a regularidade fiscal e trabalhista da contratada; checar a existência de justificativa formal para cada reforço; conferir a compatibilidade entre os valores empenhados, as notas fiscais e a medição dos serviços; e confirmar os dados cadastrais do favorecido.</t>
  </si>
  <si>
    <t>A regularidade da Inexigibilidade (Processo 23854.008489/2024-06), se há cobertura contratual para os reforços e a regularidade fiscal da empresa contratada.</t>
  </si>
  <si>
    <t>Conformidade das medições de serviços executados e adimplência trabalhista/fiscal da empresa Prisma Consultoria Ambiental Ltda.</t>
  </si>
  <si>
    <t>Possíveis riscos de interpretação: confundir o valor inicial de R$ 339.999,93 com o total atualizado; tratar R$ 1.245.999,81 como valor anual sem indicação expressa; interpretar quantidades com dígitos quebrados em linhas; pressupor fundamentação legal completa ou execução/pagamento comprovados apenas pela nota. São riscos inferidos da apresentação e das lacunas do documento, não ocorrências comprovadas.</t>
  </si>
  <si>
    <t>Riscos a verificar: reforço acima do saldo orçamentário, pagamento fora do período contratual, divergência entre empenho e contrato/medições, classificação orçamentária inadequada ou autorização insuficiente. A nota isolada não comprova que ocorreram.</t>
  </si>
  <si>
    <t>Contratação de valor expressivo amparada em inexigibilidade de licitação; sucessivos reforços de empenho sem detalhamento do motivo no próprio documento; ausência de informação sobre prazo/vigência contratual, o que pode gerar risco de execução de despesa sem cobertura contratual comprovadamente válida.</t>
  </si>
  <si>
    <t>Riscos administrativos: (a) risco de liquidação e pagamento sem cobertura contratual, caso o contrato esteja vencido ou o saldo esgotado; (b) risco de questionamento do enquadramento como inexigibilidade para serviço de limpeza, objeto tipicamente licitável; (c) risco de insuficiência de dotação no restante do exercício, dado o ritmo dos reforços; (d) risco de inconsistência entre empenho e planilha de custos, pelas quantidades fracionárias e pelos ajustes de centavos; (e) risco de apontamento em auditoria pela descrição desatualizada e pelo fundamento legal incompleto; (f) risco de pagamento a fornecedor com cadastro desatualizado.</t>
  </si>
  <si>
    <t>Efetuar o pagamento de serviços comuns sem a devida licitação prévia (caso a inexigibilidade tenha sido indevidamente fundamentada).</t>
  </si>
  <si>
    <t>Riscos comuns de contratos continuados de terceirização, como necessidade de acompanhamento rigoroso da fiscalização de postos e fornecimento de materiais.</t>
  </si>
  <si>
    <t>1) Nota de Empenho 2026NE000070, emitida em 30/01/2026, versão 020. 2) Emitente: Universidade Federal de Jataí; favorecido: Prisma Consultoria Ambiental Ltda. 3) Objeto: serviços especializados de limpeza e conservação, incluindo material sob demanda + BDI. 4) Total atualizado: R$ 1.245.999,81, com reforços registrados de março a junho de 2026. 5) Processo: 23854.008489/2024-06; assinaturas em 19 e 22/06/2026 (páginas 1 a 3).</t>
  </si>
  <si>
    <t>1) Nota de Empenho 2026NE000070, processo 23854.008489/2024-06. 2) Emitente: Universidade Federal de Jataí; favorecida: Prisma Consultoria Ambiental Ltda. 3) Objeto: limpeza e conservação. 4) Inclusão original: R$ 339.999,93; total após reforços: R$ 1.245.999,81. 5) Reforços de março a junho de 2026 e assinaturas identificadas.</t>
  </si>
  <si>
    <t>1) Trata-se de uma Nota de Empenho (2026NE000070) da Universidade Federal de Jataí. 2) Refere-se à contratação, por inexigibilidade, do serviço de limpeza e conservação prestado pela Prisma Consultoria Ambiental LTDA. 3) Valor total: R$ 1.245.999,81, distribuído em 3 itens de despesa. 4) O empenho sofreu 4 reforços entre março e junho de 2026. 5) Está vinculado ao processo 23854.008489/2024-06 e amparado na Lei 14.133/2021.</t>
  </si>
  <si>
    <t>1) Trata-se da Nota de Empenho 2026NE000070 da UFJ (UG 156678), emitida em 30/01/2026, tipo Global, vinculada ao processo 23854.008489/2024-06. 2) O objeto é serviço especializado de limpeza e conservação, com material sob demanda, destinado à Prefeitura Universitária (PREUNI), classificado na ND 339039, subelemento 78. 3) A favorecida é a Prisma Consultoria Ambiental Ltda (CNPJ 05.975.166/0001-47), com amparo em inexigibilidade, Lei 14.133/2021. 4) O valor atual é R$ 1.245.999,81, resultado do empenho inicial de R$ 339.999,93 e de cinco reforços entre março e junho de 2026. 5) O documento está na versão 020, assinado pelo responsável, pelo ordenador de despesa e pelo gestor financeiro, entre 19 e 22/06/2026.</t>
  </si>
  <si>
    <t>1) Documento financeiro: Nota de Empenho; 2) Emissor: Universidade Federal de Jataí; 3) Fornecedor: Prisma Consultoria; 4) Objeto: Serviços de limpeza; 5) Valor total: R$ 1.245.999,81.</t>
  </si>
  <si>
    <t>1. Emissão de Reforço de Empenho (R$ 1.245.999,81) para a UFJ.
2. Favorecida: Prisma Consultoria Ambiental Ltda.
3. Objeto: Serviços de limpeza e conservação (contínuo e sob demanda).
4. Amparo: Lei 14.133/2021 (Inexigibilidade).
5. Assinado por ordenador de despesa, responsável pelo empenho e gestor financeiro em junho de 2026.</t>
  </si>
  <si>
    <t>Formalizar o registro do empenho global e dos reforços da despesa com serviços de limpeza e conservação da Universidade Federal de Jataí em favor da Prisma Consultoria Ambiental Ltda. (páginas 1 e 2).</t>
  </si>
  <si>
    <t>Registrar e reforçar o compromisso orçamentário relativo aos serviços de limpeza e conservação da Universidade Federal de Jataí.</t>
  </si>
  <si>
    <t>Formalizar e registrar, no SIAFI, o compromisso financeiro (empenho inicial e reforços) da Universidade Federal de Jataí para o pagamento dos serviços de limpeza e conservação prestados pela empresa Prisma Consultoria Ambiental LTDA.</t>
  </si>
  <si>
    <t>Formalizar a reserva orçamentária e o compromisso de pagamento da despesa com limpeza e conservação da UFJ, registrando no SIAFI o empenho e seus reforços em favor da empresa contratada, de modo a permitir a posterior liquidação e o pagamento dos serviços prestados.</t>
  </si>
  <si>
    <t>Reservar crédito orçamentário para o pagamento de serviços já contratados ou a serem executados (Reforço).</t>
  </si>
  <si>
    <t>Garantir a cobertura orçamentária e financeira para a execução dos serviços de limpeza e conservação contratados pela Universidade Federal de Jataí.</t>
  </si>
  <si>
    <t>1) Identificação e vinculação: 2026NE000070, processo 23854.008489/2024-06, Universidade Federal de Jataí e Prisma Consultoria Ambiental Ltda., CNPJ 05.975.166/0001-47. 2) Objeto e valor: limpeza e conservação, com total atualizado de R$ 1.245.999,81 e histórico de reforços na página 2. 3) Autorização e responsabilização: referência SOR nº 0536599 e assinaturas do ordenador de despesa, gestora financeira e responsável pela nota, em 19 e 22/06/2026 (páginas 1 a 3).</t>
  </si>
  <si>
    <t>1) Empenho atualizado de R$ 1.245.999,81, após reforços de R$ 905.999,88 sobre R$ 339.999,93 originais. 2) Objeto e favorecida: limpeza e conservação pela Prisma Consultoria Ambiental Ltda, processo 23854.008489/2024-06. 3) Conferir contrato, período de execução, saldo orçamentário e autorização dos reforços.</t>
  </si>
  <si>
    <t>1) O valor total empenhado (R$ 1.245.999,81) e seu histórico de 4 reforços ao longo de 2026. 2) A fundamentação legal por inexigibilidade de licitação (Lei 14.133/2021) e a autorização SOR nº 0536599 citada. 3) O processo administrativo vinculado (23854.008489/2024-06), que deve ser consultado para verificar o contrato e o objeto completo da contratação.</t>
  </si>
  <si>
    <t>1) O valor total empenhado (R$ 1.245.999,81) e o histórico de reforços, que precisa ser confrontado com o saldo contratual e com a dotação disponível na célula orçamentária. 2) O amparo legal declarado — inexigibilidade com base na Lei 14.133/2021, sem indicação de artigo — associado ao processo 23854.008489/2024-06, que deve ser conferido quanto ao enquadramento e à vigência. 3) A identificação do favorecido (Prisma Consultoria Ambiental Ltda, CNPJ 05.975.166/0001-47) e a completude das assinaturas (responsável, ordenador de despesa e gestor financeiro), que atestam a validade formal do empenho na versão 020.</t>
  </si>
  <si>
    <t>1) Número do Processo base (23854.008489/2024-06); 2) Modalidade/Amparo legal indicados (Inexigibilidade / Lei 14.133/2021 sem artigo definido); 3) Valor total garantido (R$ 1.245.999,81).</t>
  </si>
  <si>
    <t>1. Valor total atualizado (R$ 1.245.999,81) e dotação orçamentária.
2. Identificação da contratada (Prisma Consultoria Ambiental Ltda) e CNPJ.
3. Número do processo (23854.008489/2024-06) e amparo legal (Lei 14.133/2021).</t>
  </si>
  <si>
    <t>Registrar o pagamento de R$ 42.164,80 relativo ao instrumento de cobrança nº 9727, contrato nº 00022/2023, referente a fornecimentos/serviços de março de 2026 do Instituto Interamericano de Desenvolvimento Humano - Bem Brasil.</t>
  </si>
  <si>
    <t>Registrar uma ordem bancária de R$ 42.164,80, vinculada ao pagamento do documento de cobrança nº 9727, do Contrato nº 00022/2023, referente a serviços prestados em março de 2026.</t>
  </si>
  <si>
    <t>Ordem Bancária (OB) nº 2026OB000456, referente ao pagamento/quitação de despesa pública processada pela Universidade Federal de Jataí (UFJ) via SIAFI, no valor de R$ 42.164,80, creditado ao Banco do Brasil S.A. para quitação do instrumento de cobrança nº 9727 do Contrato nº 00022/2023.</t>
  </si>
  <si>
    <t>Ordem Bancária (OB) nº 2026OB000456, tipo 13, emitida pela Universidade Federal de Jataí (UG 156678/Gestão 26453) para pagamento de R$ 42.164,80 ao Instituto Interamericano de Desenvolvimento Humano - BEM BRASIL (CNPJ 10.427.965/0001-19), referente ao Contrato nº 00022/2023, instrumento de cobrança nº 9727, pelos fornecimentos/serviços prestados na competência 03/2026. Trata-se de tela de consulta do SIAFI (transação CONOB).</t>
  </si>
  <si>
    <t>Uma Ordem Bancária (OB) do SIAFI para efetivação de pagamento de serviços.</t>
  </si>
  <si>
    <t>Pagamento de despesa referente ao Contrato nº 00022/2023 (instrumento de cobrança nº 9727) por serviços prestados em março de 2026.</t>
  </si>
  <si>
    <t>Ordem Bancária nº 2026OB000456, tipo OB 13, consultada no SIAFI2026/CONOB.</t>
  </si>
  <si>
    <t>Ordem Bancária nº 2026OB000456, tipo 13.</t>
  </si>
  <si>
    <t>Ordem Bancária nº 2026OB000456 (vinculada à Ordem de Pagamento nº 2026OP000418).</t>
  </si>
  <si>
    <t>2026OB000456 (Ordem Bancária, tipo OB 13). Documentos vinculados: Ordem de Pagamento 2026OP000418; Documento de origem/liquidação 156678/26453/2026NP000162; Lista de Credores 2026LC000107; Empenho 2026NE000082; Número bancário 001769567-8; Operação SPB 00394460202604201768090.</t>
  </si>
  <si>
    <t>2026OB000456</t>
  </si>
  <si>
    <t>Ordem Bancária nº 2026OB000456.</t>
  </si>
  <si>
    <t>23854.003091/2026-37.</t>
  </si>
  <si>
    <t>Processo nº 23854.003091/2026-37.</t>
  </si>
  <si>
    <t>Emissão em 20/04/2026. Consulta em 29/04/2026, às 10h37.</t>
  </si>
  <si>
    <t>Emissão: 20/04/2026. A tela também informa consulta em 29/04/2026; essa é a data da consulta, não da emissão.</t>
  </si>
  <si>
    <t>Data de emissão: 20/04/2026 (consulta extraída em 29/04/2026, às 10:37).</t>
  </si>
  <si>
    <t>Data de emissão: 20/04/2026 (20Abr26). Data do saque no Bacen: 20/04/2026. Data de lançamento no SIAFI: 20Abr26, às 05:55. Remessa ao Banco do Brasil: 20Abr26, às 08:10. Assinaturas eletrônicas: 17/04/2026. A consulta foi extraída em 29/04/2026, às 10:37.</t>
  </si>
  <si>
    <t>Data de emissão: 20/04/2026 (20Abr26).</t>
  </si>
  <si>
    <t>Universidade Federal de Jataí, UG/Gestão emitente 156678/26453. Setor interno específico: não consta no documento.</t>
  </si>
  <si>
    <t>Unidade Gestora/gestão emitente: Universidade Federal de Jataí, UG 156678, gestão 26453. A observação menciona Prefeitura Universitária (PREUNI) como unidade relacionada à autorização.</t>
  </si>
  <si>
    <t>UG/Gestão 156678/26453 - Universidade Federal de Jataí (UFJ).</t>
  </si>
  <si>
    <t>UG/Gestão Emitente 156678 / 26453 - Universidade Federal de Jataí (UFJ). Pela natureza dos atos (ordenação de despesa, gestão financeira e emissão de OB), o documento é da área de execução orçamentária e financeira da instituição. O documento não identifica o setor requisitante ou fiscal do contrato.</t>
  </si>
  <si>
    <t>Universidade Federal de Jataí (UG 156678 / Gestão 26453).</t>
  </si>
  <si>
    <t>UG/Gestão Emitente: 156678 / 26453 - Universidade Federal de Jataí (UFJ).</t>
  </si>
  <si>
    <t>Universidade Federal de Jataí; Banco do Brasil S.A., CNPJ 00.000.000/0001-91, indicado como favorecido; Instituto Interamericano de Desenvolvimento Humano - Bem Brasil, CNPJ 10.427.965/0001-19, mencionado na observação. Também há referências à STN e ao Bacen.</t>
  </si>
  <si>
    <t>Universidade Federal de Jataí, Banco do Brasil S.A. (favorecido indicado na ordem), Instituto Interamericano de Desenvolvimento Humano – Bem Brasil (prestador citado na observação) e Prefeitura Universitária (PREUNI).</t>
  </si>
  <si>
    <t>Universidade Federal de Jataí (UG emitente); Banco do Brasil S.A. (banco pagador/favorecido, CNPJ 00.000.000/0001-91); Instituto Interamericano de Desenvolvimento Humano - Bem Brasil (credor do contrato, CNPJ 10.427.965/0001-19).</t>
  </si>
  <si>
    <t>1) Universidade Federal de Jataí (UG 156678/26453) - emitente; 2) Banco do Brasil S.A. (CNPJ 00.000.000/0001-91) - favorecido formal/banco centralizador, agência 0313, conta 997380632; 3) Instituto Interamericano de Desenvolvimento Humano - BEM BRASIL (CNPJ 10.427.965/0001-19) - credor final indicado na observação; 4) Secretaria do Tesouro Nacional (STN), referida pela IN STN nº 04, de 13/08/2002; 5) Banco Central do Brasil (Bacen), pelo saque; 6) servidores identificados: usuário de consulta LORENA, responsável pelo lançamento MARCOS (CPF XXX.XXX.XXX-XX), ordenador de despesa (CPF XXX.XXX.XXX-XX) e gestor financeiro (CPF XXX.XXX.XXX-XX).</t>
  </si>
  <si>
    <t>Universidade Federal de Jataí (Emitente), Banco do Brasil S.A. (Banco favorecido/trânsito) e Instituto Interamericano de Desenvolvimento Humano Bem Brasil (Credor final).</t>
  </si>
  <si>
    <t>Universidade Federal de Jataí (emitente), Banco do Brasil S.A., e Instituto Interamericano de Desenvolvimento Humano Bem Brasil (favorecido).</t>
  </si>
  <si>
    <t>não consta no documento. Não há seção 08.</t>
  </si>
  <si>
    <t>Não consta no documento. O arquivo não apresenta seção numerada 08.</t>
  </si>
  <si>
    <t>Não aplicável. O documento não possui seções numeradas (como "seção 08"); está organizado em campos de cabeçalho, tabela de eventos contábeis e dados da transação bancária.</t>
  </si>
  <si>
    <t>NÃO CONSTA. O documento não é estruturado em seções ou itens numerados; é composto por três telas do SIAFI (dados básicos da OB, eventos contábeis e dados da ordem de pagamento/transação bancária). Não existe 'seção 08'. Os únicos campos numerados são as linhas de evento 01, 02 e 03.</t>
  </si>
  <si>
    <t>Não aplicável. O documento é um espelho/tela de sistema (SIAFI) e não possui divisões em seções numeradas (como 'seção 08').</t>
  </si>
  <si>
    <t>O documento não possui divisões em seções numeradas como 'seção 08' (trata-se de um extrato SIAFI de Ordem Bancária).</t>
  </si>
  <si>
    <t>Não foi especificada a informação a localizar. O documento não possui seções numeradas: identificação, valor, processo, observação e eventos estão na página 1; quitação, assinaturas e dados da transação bancária estão na página 2.</t>
  </si>
  <si>
    <t>O documento não está organizado em seções numeradas. Os dados aparecem nos campos da ordem bancária; não consta uma seção específica para a informação mencionada.</t>
  </si>
  <si>
    <t>Não aplicável. O documento não é estruturado em seções numeradas, e a pergunta não especifica qual informação está sendo buscada.</t>
  </si>
  <si>
    <t>NÃO APLICÁVEL. Como o documento não possui seções numeradas, não é possível localizar a informação por seção. A pergunta também não especifica qual informação está sendo buscada. As informações disponíveis distribuem-se em três telas: (1) identificação/favorecido/observação; (2) eventos contábeis; (3) quitação, assinaturas e dados da transação bancária.</t>
  </si>
  <si>
    <t>Não aplicável (informação inexistente no formato do documento).</t>
  </si>
  <si>
    <t>Não aplicável, pois o extrato SIAFI não possui seções numeradas.</t>
  </si>
  <si>
    <t>não consta no documento. R$ 42.164,80 é o valor da ordem bancária, sem identificação como valor total anual do objeto licitado.</t>
  </si>
  <si>
    <t>Não consta no documento. O valor informado é o desta ordem bancária: R$ 42.164,80, referente ao pagamento indicado, e não um valor total anual de objeto licitado.</t>
  </si>
  <si>
    <t>Não consta. Este é um comprovante de Ordem Bancária (pagamento), não um edital/contrato de licitação, portanto não apresenta "Valor Total Anual do Objeto". O valor da OB é R$ 42.164,80.</t>
  </si>
  <si>
    <t>NÃO CONSTA. O documento não informa valor total anual nem valor global do contrato. O único valor apresentado é R$ 42.164,80, correspondente ao pagamento da competência 03/2026. O valor anual deve ser obtido no Contrato nº 00022/2023 ou no processo 23854.003091/2026-37.</t>
  </si>
  <si>
    <t>O documento informa apenas o valor da parcela/pagamento atual: R$ 42.164,80. Não consta o Valor Total Anual do objeto ou contrato.</t>
  </si>
  <si>
    <t>Não consta essa informação no documento (trata-se de uma Ordem Bancária, não do edital ou contrato completo).</t>
  </si>
  <si>
    <t>não consta no documento. Há registros de assinatura do ordenador de despesa em 17/04/2026, às 16h57, e do gestor financeiro em 17/04/2026, às 16h55, sem identificação de comissão de contratação.</t>
  </si>
  <si>
    <t>Não consta data de assinatura de membros de comissão de contratação. O documento registra as assinaturas do ordenador de despesa e do gestor financeiro em 17/04/2026.</t>
  </si>
  <si>
    <t>Não consta. O documento não menciona comissão de contratação. As assinaturas registradas são do Ordenador de Despesa (17/04/2026, 16:57) e do Gestor Financeiro (17/04/2026, 16:55).</t>
  </si>
  <si>
    <t>NÃO CONSTA. O documento não menciona comissão de contratação nem suas assinaturas. Constam apenas duas assinaturas eletrônicas, ambas em 17/04/2026: Gestor Financeiro (CPF XXX.XXX.XXX-XX) às 16:55 e Ordenador de Despesa (CPF XXX.XXX.XXX-XX) às 16:57. O campo 'LIBERAÇÃO STN' está em branco.</t>
  </si>
  <si>
    <t>Não aplicável. Não há menção a comissão de contratação. O documento traz as assinaturas do Ordenador de Despesa e do Gestor Financeiro (ambas em 17/04/2026).</t>
  </si>
  <si>
    <t>Não consta informação sobre comissão de contratação. Há apenas assinaturas do Ordenador de Despesa e Gestor Financeiro em 17/04/2026.</t>
  </si>
  <si>
    <t>Documento: 2026OB000456; tipo: 13; emissão: 20/04/2026; emitente: Universidade Federal de Jataí; UG/Gestão: 156678/26453; processo: 23854.003091/2026-37; valor: R$ 42.164,80; favorecido: Banco do Brasil S.A.; entidade citada na observação: Instituto Interamericano de Desenvolvimento Humano - Bem Brasil; contrato: 00022/2023; cobrança: 9727; competência: 03/2026; origem: 156678/26453/2026NP000162; empenho referenciado: 2026NE000082; lista de credor: 2026LC000107; ordem de pagamento: 2026OP000418; situação: quitada.</t>
  </si>
  <si>
    <t>Tipo: ordem bancária 13. Número: 2026OB000456. UG/gestão emitente: 156678/26453, Universidade Federal de Jataí. Emissão: 20/04/2026. Processo: 23854.003091/2026-37. Documento de origem: 2026NP000162. Favorecido indicado: Banco do Brasil S.A. Valor: R$ 42.164,80. Documento de cobrança: nº 9727. Contrato: nº 00022/2023. Prestador citado: Instituto Interamericano de Desenvolvimento Humano – Bem Brasil, CNPJ 10.427.965/0001-19. Referência do serviço: março/2026. Situação: quitada.</t>
  </si>
  <si>
    <t>OB: 2026OB000456 | OP: 2026OP000418 | NP origem: 2026NP000162 | NE: 2026NE000082 | Processo: 23854.003091/2026-37 | UG/Gestão: 156678/26453 - UFJ | Banco/Agência/Conta emitente: 001/0313/997380632 | Favorecido: Banco do Brasil S.A. (CNPJ 00.000.000/0001-91) | Valor: R$ 42.164,80 | Emissão: 20/04/2026 | Contrato: 00022/2023 | Credor final: Instituto Interamericano de Desenvolvimento Humano - Bem Brasil (CNPJ 10.427.965/0001-19) | Instrumento de cobrança: nº 9727 | Mês de referência: 03/2026.</t>
  </si>
  <si>
    <t>Tipo: Ordem Bancária SIAFI (CONOB) | Número: 2026OB000456 | Tipo OB: 13 | Emissão: 20/04/2026 | UG/Gestão: 156678/26453 - UFJ | Banco/Agência/Conta emitente: 001 / 0313 / 997380632 | Favorecido: Banco do Brasil S.A. - 00.000.000/0001-91 | Credor final (observação): Instituto Interamericano de Desenvolvimento Humano - BEM BRASIL - 10.427.965/0001-19 | Valor: R$ 42.164,80 | Documento de origem: 2026NP000162 | Sistema de origem: GESTAOCOMP | Empenho: 2026NE000082 | Lista de credores: 2026LC000107 | Ordem de pagamento: 2026OP000418 | Número bancário: 001769567-8 | Processo: 23854.003091/2026-37 | Contrato: 00022/2023 | Cobrança nº 9727 | Competência: 03/2026 | Natureza de despesa: 33903701 | Saque Bacen: 20/04/2026 | Operação SPB: 00394460202604201768090 | Remessa BB: 01315, 20/04/2026 08:10 | Lançado por: MARCOS (CPF XXX.XXX.XXX-XX), 20/04/2026 05:55 | Quitação: IN STN 04, de 13/08/2002.</t>
  </si>
  <si>
    <t>Tipo: Ordem Bancária; Emissor: UFJ; Credor: Inst. Interamericano de Des. Humano; Valor: R$ 42.164,80; Processo: 23854.003091/2026-37; Contrato: 00022/2023.</t>
  </si>
  <si>
    <t>OB: 2026OB000456; UG: 156678/26453; Processo: 23854.003091/2026-37; Favorecido: Instituto Interamericano de Desenvolvimento Humano Bem Brasil (CNPJ: 10.427.965/0001-19); Valor: R$ 42.164,80; Data: 20/04/2026.</t>
  </si>
  <si>
    <t>R$ 42.164,80 no campo VALOR da ordem bancária e em cada um dos três eventos 401003, 531814 e 561602. As repetições não identificam pagamentos adicionais e não devem ser somadas como despesas distintas.</t>
  </si>
  <si>
    <t>R$ 42.164,80, valor da ordem. O mesmo valor aparece nos lançamentos contábeis exibidos. Não há outro valor monetário distinto identificado no documento.</t>
  </si>
  <si>
    <t>R$ 42.164,80 - valor único, repetido nos três lançamentos contábeis (eventos 401003, 531814 e 561602) e no total da OB.</t>
  </si>
  <si>
    <t>Valor da Ordem Bancária: R$ 42.164,80. O mesmo valor de R$ 42.164,80 aparece nos três eventos contábeis (401003, 531814 e 561602), por se tratar de escrituração por partidas dobradas - não devem ser somados. Não há valores de retenções tributárias, glosas, juros, multas ou descontos. Valor efetivamente pago: R$ 42.164,80.</t>
  </si>
  <si>
    <t>R$ 42.164,80.</t>
  </si>
  <si>
    <t>Obrigações contratuais: não consta no documento. Estão registrados o lançamento por Marcos, as assinaturas do ordenador de despesa e do gestor financeiro e a indicação de quitação.</t>
  </si>
  <si>
    <t>A ordem registra a liquidação/execução do pagamento e identifica referências para conferência. Não apresenta cláusulas que estabeleçam obrigações contratuais detalhadas ou responsabilidades das partes.</t>
  </si>
  <si>
    <t>O documento não estabelece novas obrigações; registra o cumprimento (quitação) de uma obrigação de pagamento já existente, conforme Instrução Normativa STN nº 04/2002, referente ao Contrato nº 00022/2023.</t>
  </si>
  <si>
    <t>O documento não estabelece obrigações contratuais; ele registra responsabilidades funcionais: (a) Ordenador de Despesa - autorização/assinatura do pagamento (CPF XXX.XXX.XXX-XX, 17/04/2026 16:57); (b) Gestor Financeiro - assinatura conjunta (CPF XXX.XXX.XXX-XX 17/04/2026 16:55); (c) servidor responsável pelo lançamento no SIAFI - MARCOS, UG 156678, em 20/04/2026 05:55; (d) Banco do Brasil - execução do crédito ao credor por meio de lista de credores; (e) obrigação implícita de quitação conforme a IN STN nº 04/2002. As obrigações do contratado constam do Contrato nº 00022/2023, não deste documento.</t>
  </si>
  <si>
    <t>Não aplicável. Por se tratar de um comprovante de pagamento, o documento não cria obrigações futuras, apenas evidencia o repasse financeiro por um serviço já prestado (mês 03/2026).</t>
  </si>
  <si>
    <t>Quitação de pagamento referente ao Contrato nº 00022/2023 (serviços de março de 2026), conforme Instrução Normativa STN nº 04/2002.</t>
  </si>
  <si>
    <t>Não aplicável. O documento não contém cláusulas numeradas (4.1.4 ou similares); trata-se de um comprovante de Ordem Bancária do SIAFI.</t>
  </si>
  <si>
    <t>NÃO CONSTA. O documento não possui cláusulas nem itens numerados no formato 4.1.4. Trata-se de tela de consulta do SIAFI, e não de contrato, edital ou termo de referência. A cláusula 4.1.4 deve ser buscada no Contrato nº 00022/2023 ou em outro documento do processo 23854.003091/2026-37.</t>
  </si>
  <si>
    <t>Não aplicável. O documento não possui cláusulas ou itens numerados dessa forma.</t>
  </si>
  <si>
    <t>O documento não contém cláusulas contratuais ou seção 4.1.4.</t>
  </si>
  <si>
    <t>Registrar a execução financeira e permitir o acompanhamento do pagamento vinculado ao processo 23854.003091/2026-37, ao contrato 00022/2023 e à competência março de 2026.</t>
  </si>
  <si>
    <t>Formalizar e registrar o pagamento bancário de R$ 42.164,80, com referências ao processo, contrato, documento de cobrança e período dos serviços.</t>
  </si>
  <si>
    <t>Comprovar, para fins de controle interno e auditoria, a emissão e quitação de pagamento de despesa pública pela UFJ, vinculando o processo administrativo, a nota de empenho, a ordem de pagamento e a liquidação bancária.</t>
  </si>
  <si>
    <t>Formalizar e comprovar o pagamento (estágio de pagamento da despesa pública) de obrigação previamente empenhada (2026NE000082) e liquidada (2026NP000162), transferindo recursos da conta única, via Banco do Brasil, ao credor indicado, e registrando contabilmente a operação no SIAFI. Serve também como documento de comprovação da quitação, nos termos da IN STN nº 04/2002.</t>
  </si>
  <si>
    <t>Comprovar e efetivar a quitação/pagamento de uma despesa pública aos fornecedores/prestadores de serviço.</t>
  </si>
  <si>
    <t>Efetivar o pagamento de despesa pública (ordem bancária no SIAFI) a fornecedor/prestador de serviços da Universidade Federal de Jataí.</t>
  </si>
  <si>
    <t>Não consta no documento. Não há seção 4.11 nem descrição de consequência associada a esse número.</t>
  </si>
  <si>
    <t>Não aplicável. Não há cláusula ou item "4.11" neste documento.</t>
  </si>
  <si>
    <t>NÃO CONSTA. Não há item, cláusula ou campo 4.11 no documento. Não é possível apontar consequência a partir de dispositivo inexistente neste documento; a verificação deve ser feita no instrumento contratual (Contrato nº 00022/2023) ou nos autos do processo 23854.003091/2026-37.</t>
  </si>
  <si>
    <t>Não aplicável. Não existem itens numerados no documento (como 4.11).</t>
  </si>
  <si>
    <t>Não aplicável (documento sem seção 4.11).</t>
  </si>
  <si>
    <t>Não foi identificada contradição interna inequívoca. O favorecido é o Banco do Brasil S.A., enquanto a observação menciona o Instituto Interamericano de Desenvolvimento Humano - Bem Brasil; essa diferença requer esclarecimento da vinculação do pagamento, mas não comprova erro.</t>
  </si>
  <si>
    <t>Não há inconsistência conclusiva demonstrada. A ordem indica o Banco do Brasil como favorecido, enquanto a observação identifica o prestador Bem Brasil. Como pode se tratar de pagamento por instrumento de cobrança, convém confirmar se os dados bancários e o favorecido correspondem ao documento de cobrança nº 9727.</t>
  </si>
  <si>
    <t>Sim, um ponto chama atenção: no campo "CONTA CORRENTE" do favorecido consta o texto "BANCO" em vez de um número de conta, fugindo ao padrão dos demais campos numéricos.</t>
  </si>
  <si>
    <t>Sim, há pontos que demandam esclarecimento: (1) o campo 'CONTA CORRENTE' do favorecido está preenchido com a palavra 'BANCO' em vez de um número de conta; (2) o favorecido formal é o próprio Banco do Brasil S.A., enquanto o credor real (BEM BRASIL) aparece apenas no campo de observação - situação típica de OB tipo 13 (lista de credores), mas que exige conferência da LC 2026LC000107; (3) o campo 'LIBERAÇÃO STN' está sem data e sem hora; (4) o texto da observação está truncado ('CONTINUA ...'), de modo que o documento apresentado é parcial; (5) a assinatura do Ordenador de Despesa (16:57) é posterior à do Gestor Financeiro (16:55), invertendo a ordem usual do fluxo de autorização; (6) o CPF do responsável pelo lançamento (XXX.XXX.XXX-XX) é o mesmo do Ordenador de Despesa, indicando possível acúmulo de funções.</t>
  </si>
  <si>
    <t>Não. As datas (autorização em 17/04, emissão em 20/04) e os valores nos eventos contábeis estão consistentes.</t>
  </si>
  <si>
    <t>Não aparenta haver inconsistências internas nos dados apresentados.</t>
  </si>
  <si>
    <t>Não foram identificadas incompatibilidades evidentes entre valores, números e datas. As assinaturas são de 17/04/2026; emissão, lançamento, saque Bacen e remessa são de 20/04/2026; a consulta é de 29/04/2026. Essas datas identificam etapas diferentes.</t>
  </si>
  <si>
    <t>Não há incompatibilidade evidente entre os valores: R$ 42.164,80 é repetido nos registros da ordem. As datas referem-se a eventos diferentes: emissão/saque em 20/04/2026, assinaturas em 17/04/2026 e consulta em 29/04/2026. O favorecido bancário e o prestador citado têm papéis distintos a confirmar no processo.</t>
  </si>
  <si>
    <t>O mesmo campo do item anterior ("CONTA CORRENTE: BANCO") é a única incompatibilidade aparente; os demais valores, datas e números conferem entre si (OB, OP, NE, NP, processo).</t>
  </si>
  <si>
    <t>Pontos de atenção: (1) assinaturas em 17/04/2026 e emissão da OB em 20/04/2026 - intervalo compatível, mas o registro de lançamento às 05:55 é anterior ao horário comercial; (2) competência 03/2026 paga em 20/04/2026 - compatível, porém exige verificação do prazo contratual de pagamento; (3) o valor R$ 42.164,80 repete-se em três linhas de evento, o que é normal na escrituração, mas pode ser lido indevidamente como triplicação; (4) o campo de conta corrente do favorecido contém texto e não número; (5) há campo de classificação ('2026NE000082400 33903701') com apresentação truncada/concatenada na tela, dificultando a leitura da inscrição e da classificação contábil.</t>
  </si>
  <si>
    <t>Não foram encontradas incompatibilidades aparentes.</t>
  </si>
  <si>
    <t>Não. Os dados de valor, processo e favorecido estão coerentes entre o espelho da OB e o detalhamento.</t>
  </si>
  <si>
    <t>O detalhamento dos serviços, o conteúdo da lista de credor e do instrumento de cobrança, a composição do valor e eventuais retenções não constam no documento. Os campos IDENT. TRANSFER. e LIBERAÇÃO STN estão em branco; a obrigatoriedade de preenchê-los não consta no documento.</t>
  </si>
  <si>
    <t>Não constam, neste arquivo, cópias da cobrança nº 9727, do contrato, da nota de pagamento nº 2026NP000162 nem dos documentos comprobatórios dos serviços. O campo de liberação STN aparece sem data e hora.</t>
  </si>
  <si>
    <t>O documento não detalha o valor total do Contrato nº 00022/2023, nem descreve especificamente os serviços prestados além de referenciar o mês 03/2026; também não apresenta o histórico/detalhamento completo da Nota de Empenho 2026NE000082.</t>
  </si>
  <si>
    <t>Sim: valor global e vigência do Contrato nº 00022/2023; número e data da nota fiscal correspondente ao instrumento de cobrança 9727; atesto do recebimento do serviço e identificação do fiscal/gestor do contrato; demonstrativo de retenções tributárias e previdenciárias (não há evento de retenção); dados bancários do credor final; saldo do empenho; continuação do texto da observação (documento truncado em 'CONTINUA ...'); e a data/hora da liberação pela STN.</t>
  </si>
  <si>
    <t>Para o propósito do documento (Comprovante do SIAFI), os dados padrão estão completos.</t>
  </si>
  <si>
    <t>Detalhes completos do contrato, itens licitados ou medições detalhadas não constam no extrato (são externos, referenciados pelo processo/contrato).</t>
  </si>
  <si>
    <t>Não foi identificado erro material evidente nas duas páginas. A diferença entre o favorecido bancário e a entidade mencionada na observação, isoladamente, não permite concluir que exista erro.</t>
  </si>
  <si>
    <t>Não foi identificado erro material conclusivo no texto extraído. A apresentação traz quebras de linha e abreviações próprias da tela SIAFI; confirme no espelho original se algum campo ou número estiver ilegível.</t>
  </si>
  <si>
    <t>O campo "CONTA CORRENTE" do favorecido preenchido como "BANCO" (em vez de número) pode ser um erro de preenchimento ou apenas um padrão do sistema SIAFI para pagamentos direcionados ao próprio banco; recomenda-se confirmação.</t>
  </si>
  <si>
    <t>(1) Campo 'CONTA CORRENTE' do favorecido preenchido com a palavra 'BANCO'; (2) CNPJ do favorecido apresentado sem formatação padrão (00000000/0001-91); (3) campo 'LIBERAÇÃO STN' em branco; (4) observação incompleta, encerrada com 'CONTINUA ...'; (5) apresentação concatenada dos campos de inscrição/classificação contábil e orçamentária nas linhas de evento; (6) quebra do texto da observação no meio de palavras ('FORNECIMENTO(S)/SERVIÇO(S)'), característica de extração de tela, que pode gerar erro de leitura. Observação: parte desses itens decorre do formato de tela do SIAFI e não necessariamente de erro de preenchimento.</t>
  </si>
  <si>
    <t>Não foram identificados erros materiais aparentes no documento extraído.</t>
  </si>
  <si>
    <t>Nenhum erro material aparente identificado no extrato SIAFI fornecido.</t>
  </si>
  <si>
    <t>Sim. Como pontos de conferência sugeridos pela leitura: vinculação entre Banco do Brasil, Bem Brasil e lista 2026LC000107; correspondência do valor com a cobrança 9727; vínculo com contrato 00022/2023, processo 23854.003091/2026-37 e empenho 2026NE000082; registros de assinatura e quitação.</t>
  </si>
  <si>
    <t>Sim. Conferir favorecido e conta bancária frente à cobrança nº 9727; vínculo com o Contrato nº 00022/2023 e o processo; correspondência do valor com a NP nº 2026NP000162; competência março/2026; e assinaturas/autorização registradas. A liberação STN está em branco e deve ser interpretada conforme o fluxo aplicável.</t>
  </si>
  <si>
    <t>Sim: confirmar o campo "CONTA CORRENTE: BANCO"; verificar a correspondência entre NP 2026NP000162, NE 2026NE000082, OB 2026OB000456 e OP 2026OP000418; e confirmar a vigência/valor do Contrato nº 00022/2023 e do instrumento de cobrança nº 9727.</t>
  </si>
  <si>
    <t>Sim: conferir a Lista de Credores 2026LC000107 para confirmar que o crédito de R$ 42.164,80 foi destinado ao BEM BRASIL; verificar a nota de liquidação 2026NP000162 e a nota fiscal/instrumento de cobrança nº 9727; confirmar o atesto do serviço da competência 03/2026; verificar a vigência e o saldo do Contrato nº 00022/2023 e do empenho 2026NE000082; confirmar a existência e a correção das retenções tributárias; verificar a regularidade fiscal do credor na data do pagamento; e obter a parte truncada do documento.</t>
  </si>
  <si>
    <t>Deve-se verificar a conformidade do atesto da Nota Fiscal associada (núm. 9727) que embasou o pagamento e confirmar o crédito bancário final.</t>
  </si>
  <si>
    <t>Sim, conferência da regularidade fiscal do favorecido e vinculação com as notas de empenho e atesto da prestação dos serviços (março/2026).</t>
  </si>
  <si>
    <t>Não há desconformidade demonstrável com requisitos explicitamente estabelecidos no próprio documento. A consulta declara quitação conforme a Instrução Normativa STN 04, de 13/08/2002, mas não reproduz seus requisitos para verificação.</t>
  </si>
  <si>
    <t>O documento não apresenta requisitos ou critérios de conformidade para avaliar possível descumprimento. Ele registra os dados de uma ordem bancária quitada.</t>
  </si>
  <si>
    <t>Não aplicável. O documento não apresenta requisitos normativos próprios a serem verificados quanto à conformidade; apenas cita a Instrução Normativa STN nº 04/2002 como base da quitação.</t>
  </si>
  <si>
    <t>Sim, dois pontos merecem análise: (1) o documento declara-se 'QUITADA CONFORME INSTRUÇÃO NORMATIVA STN 04 DE 13/AGO/2002', mas o campo 'LIBERAÇÃO STN' está sem data e sem hora, sem demonstração desse ato na tela; (2) o campo destinado à conta corrente do favorecido não está preenchido com dado numérico compatível com o campo. Além disso, a ausência de eventos de retenção deve ser confrontada com a natureza do objeto (natureza de despesa 33903701), que usualmente comporta retenções.</t>
  </si>
  <si>
    <t>Não. O próprio documento indica 'QUITADA CONFORME INSTRUCAO NORMATIVA STN 04 DE 13/AGO/2002'.</t>
  </si>
  <si>
    <t>Não, o documento indica quitação conforme IN STN 04/2002 e assinaturas regulares.</t>
  </si>
  <si>
    <t>Requisitos ou condições contratuais: não consta no documento. Consta a declaração de quitação conforme a Instrução Normativa STN 04, de 13/08/2002, e constam registros de assinatura do ordenador de despesa e do gestor financeiro.</t>
  </si>
  <si>
    <t>Não consta no documento lista de requisitos explícitos. Constam dados de execução do pagamento, referências administrativas e contábeis, valor, favorecido, assinaturas e situação de quitação.</t>
  </si>
  <si>
    <t>Nenhum requisito normativo é detalhado além da menção à Instrução Normativa STN nº 04, de 13/08/2002, que fundamenta a quitação da OB.</t>
  </si>
  <si>
    <t>Identificação da UG/Gestão emitente; identificação do favorecido e do credor final; valor; vinculação a empenho, liquidação (NP) e processo administrativo; indicação do contrato e da competência; classificação orçamentária (33903701) e eventos contábeis (401003, 531814, 561602); assinaturas do Ordenador de Despesa e do Gestor Financeiro; identificação do responsável pelo lançamento; dados da transação bancária (operação SPB, remessa, número bancário, data de saque no Bacen); e declaração de quitação conforme IN STN 04/2002.</t>
  </si>
  <si>
    <t>Estão presentes as assinaturas de liberação (Ordenador e Gestor Financeiro), número de processo, nota de empenho associada (2026NE000082) e informações do credor.</t>
  </si>
  <si>
    <t>Conformidade com a IN STN 04/2002, assinaturas de Ordenador de Despesa e Gestor Financeiro, e indicação do contrato e processo.</t>
  </si>
  <si>
    <t>Para conferir integralmente o pagamento, não constam no documento o detalhamento da cobrança 9727, o conteúdo da lista 2026LC000107, o contrato, o documento de origem completo e a comprovação detalhada dos fornecimentos/serviços. A ausência nesta consulta não demonstra ausência no processo.</t>
  </si>
  <si>
    <t>Para análise do mérito do pagamento, faltam neste arquivo os documentos referenciados, como a cobrança, o contrato, a NP e evidências de prestação/atesto. A ordem isolada não detalha esses conteúdos.</t>
  </si>
  <si>
    <t>Detalhamento do objeto do Contrato nº 00022/2023, valor total do contrato, nota fiscal/fatura correspondente e eventual saldo remanescente do processo.</t>
  </si>
  <si>
    <t>Nota fiscal e data de emissão; atesto e identificação do fiscal do contrato; memória de cálculo do valor de R$ 42.164,80; retenções tributárias e previdenciárias; valor global, vigência e eventuais aditivos do Contrato nº 00022/2023; certidões de regularidade fiscal do credor; dados bancários do credor final; saldo remanescente do empenho; data/hora da liberação pela STN; e o restante do texto da observação, truncado no documento.</t>
  </si>
  <si>
    <t>Nenhuma informação crítica parece ausente em relação a uma Ordem Bancária padrão.</t>
  </si>
  <si>
    <t>Detalhamento analítico dos serviços prestados (consta apenas o mês 03/2026 e contrato 00022/2023).</t>
  </si>
  <si>
    <t>Não é possível afirmar conflito com outro documento porque nenhum documento relacionado foi fornecido para comparação. A ordem referencia o documento de cobrança nº 9727, o Contrato nº 00022/2023 e a NP nº 2026NP000162.</t>
  </si>
  <si>
    <t>Não é possível avaliar - apenas este documento (a Ordem Bancária) foi fornecido; nenhum outro documento (contrato, NE, NP ou fatura) foi disponibilizado para comparação.</t>
  </si>
  <si>
    <t>NÃO É POSSÍVEL AFIRMAR. Foi disponibilizado apenas este documento; nenhum documento comparativo (contrato, nota fiscal, nota de liquidação, lista de credores, empenho) foi apresentado. A verificação de conflito depende do confronto com a NP 2026NP000162, a LC 2026LC000107, o empenho 2026NE000082 e o Contrato nº 00022/2023.</t>
  </si>
  <si>
    <t>Não aplicável, pois não foram fornecidos outros documentos no prompt para fins de comparação.</t>
  </si>
  <si>
    <t>Não é possível avaliar, pois nenhum outro documento foi fornecido para confronto.</t>
  </si>
  <si>
    <t>Não consta no documento comparação com outro documento relacionado.</t>
  </si>
  <si>
    <t>Não aplicável. Apenas um documento foi enviado para análise.</t>
  </si>
  <si>
    <t>NÃO APLICÁVEL. Apenas um documento foi fornecido (Ordem Bancária 2026OB000456). Não há segundo documento para comparação. Internamente, as três telas apresentadas são complementares e consistentes entre si quanto a número, data, UG, favorecido e valor.</t>
  </si>
  <si>
    <t>Não aplicável (apenas um documento analisado).</t>
  </si>
  <si>
    <t>não consta no documento. Não há versão anterior ou histórico de alterações apresentado para identificar mudanças.</t>
  </si>
  <si>
    <t>Não consta histórico de versões ou alterações comparativas. A tela identifica a ordem como quitada, conforme a instrução nela citada.</t>
  </si>
  <si>
    <t>Não aplicável. Nenhuma versão anterior do documento foi fornecida para comparação.</t>
  </si>
  <si>
    <t>NÃO APLICÁVEL / NÃO IDENTIFICADO. O documento não apresenta indicação de alteração, retificação, cancelamento ou estorno, e não há versão anterior para comparação. O SIAFI dispõe da função de histórico (PF9=HISTORICO), que deveria ser consultada para verificar eventuais alterações no registro.</t>
  </si>
  <si>
    <t>Não há indicação de alterações no documento.</t>
  </si>
  <si>
    <t>Pontos de atenção: favorecido bancário diferente da entidade citada na observação; vínculo da cobrança 9727 com o contrato e a competência 03/2026; repetição do mesmo valor em três eventos, sem somá-los como pagamentos distintos; campos de transferência e liberação STN sem preenchimento, cuja aplicabilidade deve ser esclarecida.</t>
  </si>
  <si>
    <t>Confirmar o vínculo entre favorecido bancário e prestador; conferir o valor e a competência do serviço; validar referências ao processo, contrato e NP; e interpretar o campo de liberação STN em branco.</t>
  </si>
  <si>
    <t>O campo "CONTA CORRENTE: BANCO" do favorecido; ausência de detalhamento do contrato e da nota fiscal; necessidade de conferir se o valor de R$ 42.164,80 corresponde integralmente ao instrumento de cobrança nº 9727.</t>
  </si>
  <si>
    <t>(1) Pagamento por meio de OB tipo 13 (lista de credores), em que o credor final consta apenas na observação - exige conferência da LC 2026LC000107; (2) ausência de eventos de retenção tributária/previdenciária; (3) execução, em 2026, de contrato celebrado em 2023 - verificar vigência, prorrogações e limites legais; (4) documento parcial ('CONTINUA ...'); (5) mesmo CPF figurando como responsável pelo lançamento e como Ordenador de Despesa; (6) campo 'LIBERAÇÃO STN' em branco; (7) ausência de referência ao atesto do serviço e à nota fiscal no corpo do documento.</t>
  </si>
  <si>
    <t>Certificar-se de que a etapa anterior da despesa (liquidação/atesto dos serviços referentes a 03/2026) foi plenamente cumprida no processo antes da liberação desta Ordem Bancária.</t>
  </si>
  <si>
    <t>Conferir o atesto da nota fiscal/fatura correspondente aos serviços de março de 2026 e a vigência do Contrato nº 00022/2023.</t>
  </si>
  <si>
    <t>Como conferência sugerida: valor de R$ 42.164,80; destinatário final e lista de credor; cobrança 9727; contrato 00022/2023; competência 03/2026; processo e empenho associados; assinaturas de 17/04/2026; indicação de quitação e operação SPB 00394460202604201768090.</t>
  </si>
  <si>
    <t>Conferir a cobrança nº 9727, o Contrato nº 00022/2023, o processo nº 23854.003091/2026-37, a NP nº 2026NP000162, o valor de R$ 42.164,80, o período de março/2026, o favorecido/conta e os registros de assinatura e quitação.</t>
  </si>
  <si>
    <t>Validade e vigência do Contrato nº 00022/2023; correspondência entre os valores da NE, NP, OB e OP; regularidade do instrumento de cobrança nº 9727; e confirmação do crédito na conta correta do Banco do Brasil.</t>
  </si>
  <si>
    <t>Autenticidade e integralidade do documento junto ao SIAFI (inclusive o trecho truncado); efetivo crédito ao credor correto via LC 2026LC000107; liquidação regular (NP 2026NP000162), com nota fiscal e atesto; vigência, saldo e regularidade do Contrato nº 00022/2023; disponibilidade e saldo do empenho 2026NE000082; regularidade fiscal e trabalhista do credor na data do pagamento; correção das retenções; e compatibilidade do valor pago com o serviço efetivamente prestado em 03/2026.</t>
  </si>
  <si>
    <t>A regularidade fiscal do favorecido no SICAF no ato do pagamento, a correta prestação do serviço e a regularidade do atesto na nota fiscal 9727.</t>
  </si>
  <si>
    <t>Comprovante de regularidade do fornecedor (SICAF) e atesto do setor competente atestando a execução do serviço de 03/2026.</t>
  </si>
  <si>
    <t>Riscos potenciais de interpretação: tratar os três eventos como três pagamentos; confundir o Banco do Brasil com a entidade prestadora citada na observação; usar a ordem bancária como prova suficiente da execução dos serviços ou do valor anual contratado. O documento não comprova ocorrência de dano ou irregularidade.</t>
  </si>
  <si>
    <t>Riscos potenciais, não irregularidades comprovadas: pagamento associado a favorecido bancário que deve ser conciliado com o prestador e a cobrança; uso da ordem sem consultar os documentos referenciados; ou interpretação equivocada do valor como total anual do contrato.</t>
  </si>
  <si>
    <t>Preenchimento atípico do campo de conta corrente do favorecido; ausência de documentos comprobatórios anexos (contrato, nota fiscal) que permitiriam validar integralmente o pagamento.</t>
  </si>
  <si>
    <t>(1) Risco de pagamento sem as retenções legais, com possível responsabilização do ordenador; (2) risco de pagamento a credor diverso, caso a lista de credores não seja conferida; (3) risco de pagamento sem liquidação/atesto adequados, se a comprovação do serviço de 03/2026 não estiver nos autos; (4) risco de execução de contrato com vigência expirada ou prorrogação irregular (contrato de 2023); (5) risco de segregação de funções insuficiente, pelo mesmo CPF atuar no lançamento e na ordenação da despesa; (6) risco de análise baseada em documento incompleto, uma vez que o texto está truncado.</t>
  </si>
  <si>
    <t>Pagamento sem o respectivo atesto de execução dos serviços do mês 03/2026, ou eventuais duplicidades na execução de repasses financeiros.</t>
  </si>
  <si>
    <t>Pagamento sem o devido atesto de recebimento dos serviços ou vigência contratual vencida (pontos a verificar externamente nos autos do processo).</t>
  </si>
  <si>
    <t>1) OB 2026OB000456, emitida em 20/04/2026 pela Universidade Federal de Jataí. 2) Valor de R$ 42.164,80, com Banco do Brasil como favorecido. 3) Cobrança 9727, contrato 00022/2023 e referência ao Bem Brasil, competência 03/2026. 4) Processo 23854.003091/2026-37 e ordem de pagamento 2026OP000418. 5) Assinaturas em 17/04/2026 e indicação de quitação na página 2.</t>
  </si>
  <si>
    <t>1) Ordem Bancária nº 2026OB000456, emitida em 20/04/2026 pela UFJ. 2) Valor de R$ 42.164,80, indicada como quitada. 3) Processo nº 23854.003091/2026-37 e origem NP nº 2026NP000162. 4) Pagamento referente à cobrança nº 9727 e ao Contrato nº 00022/2023. 5) Serviços de março/2026 citados como prestados pelo Instituto Interamericano de Desenvolvimento Humano – Bem Brasil.</t>
  </si>
  <si>
    <t>1) Trata-se da Ordem Bancária nº 2026OB000456, emitida em 20/04/2026 pela UFJ. 2) Valor pago: R$ 42.164,80. 3) Destino: Banco do Brasil S.A., para quitação do instrumento de cobrança nº 9727 do Contrato nº 00022/2023. 4) Referente a serviços prestados em 03/2026 pelo Instituto Interamericano de Desenvolvimento Humano - Bem Brasil. 5) Pagamento já quitado e assinado pelo Ordenador de Despesa e pelo Gestor Financeiro em 17/04/2026.</t>
  </si>
  <si>
    <t>1) Ordem Bancária 2026OB000456, tipo 13, emitida em 20/04/2026 pela Universidade Federal de Jataí (UG 156678/26453). 2) Valor de R$ 42.164,80, pago via Banco do Brasil (agência 0313, conta 997380632), com saque no Bacen em 20/04/2026. 3) Destinação: Instituto Interamericano de Desenvolvimento Humano - BEM BRASIL (CNPJ 10.427.965/0001-19), referente ao Contrato nº 00022/2023, cobrança nº 9727, competência 03/2026. 4) Vinculação: processo 23854.003091/2026-37, empenho 2026NE000082, liquidação 2026NP000162, lista de credores 2026LC000107 e ordem de pagamento 2026OP000418. 5) Assinada em 17/04/2026 pelo Ordenador de Despesa e pelo Gestor Financeiro e declarada quitada conforme a IN STN nº 04/2002.</t>
  </si>
  <si>
    <t>1. OB 2026OB000456 emitida pela UFJ. 2. Valor: R$ 42.164,80. 3. Credor: Instituto Interamericano de Desenvolvimento Humano. 4. Referência: Serviços do mês 03/2026 vinculados ao Contrato 00022/2023. 5. Liberação orçamentária realizada em 17/04/2026.</t>
  </si>
  <si>
    <t>1. Ordem Bancária SIAFI nº 2026OB000456 emitida em 20/04/2026;
2. Emitida pela Universidade Federal de Jataí (UG 156678);
3. Favorecido: Instituto Interamericano de Desenvolvimento Humano Bem Brasil;
4. Valor: R$ 42.164,80 referente ao Contrato nº 00022/2023 (mês 03/2026);
5. Vinculada ao processo nº 23854.003091/2026-37.</t>
  </si>
  <si>
    <t>Registrar a ordem bancária e sua quitação, vinculando o pagamento à cobrança, ao contrato e ao processo administrativo indicados.</t>
  </si>
  <si>
    <t>Registrar a quitação e os dados do pagamento bancário relacionado à cobrança nº 9727 e ao Contrato nº 00022/2023, para serviços de março de 2026.</t>
  </si>
  <si>
    <t>Comprovar a emissão e a quitação de uma Ordem Bancária no valor de R$ 42.164,80, paga pela UFJ ao Banco do Brasil para liquidação do instrumento de cobrança vinculado ao Contrato nº 00022/2023.</t>
  </si>
  <si>
    <t>Comprovar a realização do pagamento de R$ 42.164,80, efetuando e registrando a transferência de recursos públicos da Universidade Federal de Jataí ao credor, em cumprimento ao Contrato nº 00022/2023, e documentar a quitação da obrigação no SIAFI.</t>
  </si>
  <si>
    <t>Efetivar o pagamento de recursos devidos a um prestador de serviço e registrar a transação no SIAFI.</t>
  </si>
  <si>
    <t>Formalizar e executar a transferência bancária/pagamento de despesa pública.</t>
  </si>
  <si>
    <t>1) Valor e identificação: R$ 42.164,80, OB 2026OB000456, emitida em 20/04/2026. 2) Vinculação: processo 23854.003091/2026-37, contrato 00022/2023, cobrança 9727, competência 03/2026 e Bem Brasil na observação, com Banco do Brasil como favorecido. 3) Controle do pagamento: OP 2026OP000418, assinaturas em 17/04/2026 e indicação de quitação.</t>
  </si>
  <si>
    <t>1) Valor e situação: R$ 42.164,80, ordem quitada. 2) Vínculos: processo nº 23854.003091/2026-37, NP nº 2026NP000162, cobrança nº 9727 e Contrato nº 00022/2023. 3) Identificação das partes e período: Banco do Brasil indicado como favorecido, Bem Brasil citado como prestador, serviços de março/2026.</t>
  </si>
  <si>
    <t>1) Número da OB e processo vinculado (2026OB000456 / 23854.003091/2026-37). 2) Valor pago (R$ 42.164,80) e seu destino (Banco do Brasil, quitação do Contrato nº 00022/2023). 3) Datas e responsáveis pela autorização (Ordenador de Despesa e Gestor Financeiro, ambos em 17/04/2026).</t>
  </si>
  <si>
    <t>1) Valor e destinatário efetivo do pagamento: R$ 42.164,80 ao Instituto Interamericano de Desenvolvimento Humano - BEM BRASIL (CNPJ 10.427.965/0001-19), sendo o Banco do Brasil apenas favorecido formal - conferência obrigatória da LC 2026LC000107. 2) Cadeia de vinculação documental: processo 23854.003091/2026-37, Contrato nº 00022/2023, empenho 2026NE000082, liquidação 2026NP000162 e cobrança nº 9727, competência 03/2026. 3) Regularidade da autorização e da quitação: assinaturas do Ordenador de Despesa e do Gestor Financeiro em 17/04/2026, quitação conforme IN STN 04/2002, com o campo 'LIBERAÇÃO STN' em branco e ausência de retenções - pontos a verificar.</t>
  </si>
  <si>
    <t>1. Número da OB e Valor (2026OB000456 / R$ 42.164,80). 2. Identificação da obrigação (Processo 23854.003091/2026-37 / Contrato 00022/2023). 3. Validação sistêmica (Assinaturas do Ordenador e Gestor Financeiro).</t>
  </si>
  <si>
    <t>1. Número do processo e contrato (Proc: 23854.003091/2026-37 / Contrato 00022/2023);
2. Valor da ordem bancária (R$ 42.164,80);
3. Identificação do favorecido (Instituto Interamericano de Desenvolvimento Humano Bem Brasil).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</si>
</sst>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
    <numFmt numFmtId="166" formatCode="dd/mm/yyyy"/>
  </numFmts>
  <fonts count="33">
    <font>
      <sz val="11.0"/>
      <color theme="1"/>
      <name val="Calibri"/>
      <scheme val="minor"/>
    </font>
    <font>
      <b/>
      <sz val="16.0"/>
      <color rgb="FFFFFFFF"/>
      <name val="Arial"/>
    </font>
    <font/>
    <font>
      <i/>
      <sz val="11.0"/>
      <color rgb="FF2E5395"/>
      <name val="Arial"/>
    </font>
    <font>
      <b/>
      <sz val="11.0"/>
      <color rgb="FFFFFFFF"/>
      <name val="Arial"/>
    </font>
    <font>
      <b/>
      <sz val="10.0"/>
      <color rgb="FF1F3864"/>
      <name val="Arial"/>
    </font>
    <font>
      <b/>
      <sz val="15.0"/>
      <color rgb="FFFFFFFF"/>
      <name val="Arial"/>
    </font>
    <font>
      <sz val="10.0"/>
      <color theme="1"/>
      <name val="Arial"/>
    </font>
    <font>
      <sz val="10.0"/>
      <color rgb="FF000000"/>
      <name val="Arial"/>
    </font>
    <font>
      <b/>
      <sz val="10.0"/>
      <color theme="1"/>
      <name val="Arial"/>
    </font>
    <font>
      <b/>
      <sz val="9.0"/>
      <color rgb="FF9C3B4D"/>
      <name val="Arial"/>
    </font>
    <font>
      <i/>
      <sz val="9.0"/>
      <color rgb="FF595959"/>
      <name val="Arial"/>
    </font>
    <font>
      <b/>
      <sz val="10.0"/>
      <color rgb="FF303030"/>
      <name val="Arial"/>
    </font>
    <font>
      <b/>
      <sz val="11.0"/>
      <color rgb="FF303030"/>
      <name val="Arial"/>
    </font>
    <font>
      <b/>
      <sz val="11.0"/>
      <color rgb="FF1F3864"/>
      <name val="Arial"/>
    </font>
    <font>
      <b/>
      <sz val="8.0"/>
      <color rgb="FF1F3864"/>
      <name val="Arial"/>
    </font>
    <font>
      <color theme="1"/>
      <name val="Calibri"/>
    </font>
    <font>
      <sz val="11.0"/>
      <color rgb="FF182536"/>
      <name val="Arial"/>
    </font>
    <font>
      <color rgb="FF202124"/>
      <name val="Arial"/>
    </font>
    <font>
      <color theme="1"/>
      <name val="Arial"/>
    </font>
    <font>
      <sz val="9.0"/>
      <color theme="1"/>
      <name val="Arial"/>
    </font>
    <font>
      <sz val="11.0"/>
      <color theme="1"/>
      <name val="Calibri"/>
    </font>
    <font>
      <sz val="11.0"/>
      <color theme="1"/>
      <name val="Arial"/>
    </font>
    <font>
      <b/>
      <sz val="9.0"/>
      <color rgb="FFFFFFFF"/>
      <name val="Arial"/>
    </font>
    <font>
      <b/>
      <sz val="16.0"/>
      <color rgb="FF1F3864"/>
      <name val="Arial"/>
    </font>
    <font>
      <b/>
      <sz val="9.0"/>
      <color rgb="FF404040"/>
      <name val="Arial"/>
    </font>
    <font>
      <b/>
      <sz val="10.0"/>
      <color rgb="FFFFFFFF"/>
      <name val="Arial"/>
    </font>
    <font>
      <sz val="11.0"/>
      <color rgb="FF202B36"/>
      <name val="Arial"/>
    </font>
    <font>
      <color rgb="FF202020"/>
      <name val="Arial"/>
    </font>
    <font>
      <sz val="11.0"/>
      <color rgb="FF172B4D"/>
      <name val="Arial"/>
    </font>
    <font>
      <color rgb="FF1F2937"/>
      <name val="Arial"/>
    </font>
    <font>
      <sz val="11.0"/>
      <color rgb="FF202124"/>
      <name val="Arial"/>
    </font>
    <font>
      <color rgb="FF222222"/>
      <name val="Arial"/>
    </font>
  </fonts>
  <fills count="30">
    <fill>
      <patternFill patternType="none"/>
    </fill>
    <fill>
      <patternFill patternType="lightGray"/>
    </fill>
    <fill>
      <patternFill patternType="solid">
        <fgColor rgb="FF1F3864"/>
        <bgColor rgb="FF1F3864"/>
      </patternFill>
    </fill>
    <fill>
      <patternFill patternType="solid">
        <fgColor rgb="FF2E5395"/>
        <bgColor rgb="FF2E5395"/>
      </patternFill>
    </fill>
    <fill>
      <patternFill patternType="solid">
        <fgColor rgb="FFF2F5FB"/>
        <bgColor rgb="FFF2F5FB"/>
      </patternFill>
    </fill>
    <fill>
      <patternFill patternType="solid">
        <fgColor rgb="FFD9E2F3"/>
        <bgColor rgb="FFD9E2F3"/>
      </patternFill>
    </fill>
    <fill>
      <patternFill patternType="solid">
        <fgColor rgb="FFF3D9DE"/>
        <bgColor rgb="FFF3D9DE"/>
      </patternFill>
    </fill>
    <fill>
      <patternFill patternType="solid">
        <fgColor rgb="FFDCEAF7"/>
        <bgColor rgb="FFDCEAF7"/>
      </patternFill>
    </fill>
    <fill>
      <patternFill patternType="solid">
        <fgColor rgb="FFD7F0E3"/>
        <bgColor rgb="FFD7F0E3"/>
      </patternFill>
    </fill>
    <fill>
      <patternFill patternType="solid">
        <fgColor rgb="FFFBEAD2"/>
        <bgColor rgb="FFFBEAD2"/>
      </patternFill>
    </fill>
    <fill>
      <patternFill patternType="solid">
        <fgColor rgb="FFE7DFF5"/>
        <bgColor rgb="FFE7DFF5"/>
      </patternFill>
    </fill>
    <fill>
      <patternFill patternType="solid">
        <fgColor rgb="FFFBE0E6"/>
        <bgColor rgb="FFFBE0E6"/>
      </patternFill>
    </fill>
    <fill>
      <patternFill patternType="solid">
        <fgColor rgb="FFE1F0D0"/>
        <bgColor rgb="FFE1F0D0"/>
      </patternFill>
    </fill>
    <fill>
      <patternFill patternType="solid">
        <fgColor rgb="FFD8E8F5"/>
        <bgColor rgb="FFD8E8F5"/>
      </patternFill>
    </fill>
    <fill>
      <patternFill patternType="solid">
        <fgColor rgb="FFF6E3C8"/>
        <bgColor rgb="FFF6E3C8"/>
      </patternFill>
    </fill>
    <fill>
      <patternFill patternType="solid">
        <fgColor rgb="FFE4DCF0"/>
        <bgColor rgb="FFE4DCF0"/>
      </patternFill>
    </fill>
    <fill>
      <patternFill patternType="solid">
        <fgColor rgb="FFFCEBB6"/>
        <bgColor rgb="FFFCEBB6"/>
      </patternFill>
    </fill>
    <fill>
      <patternFill patternType="solid">
        <fgColor rgb="FFEDF2F7"/>
        <bgColor rgb="FFEDF2F7"/>
      </patternFill>
    </fill>
    <fill>
      <patternFill patternType="solid">
        <fgColor rgb="FFFFF2CC"/>
        <bgColor rgb="FFFFF2CC"/>
      </patternFill>
    </fill>
    <fill>
      <patternFill patternType="solid">
        <fgColor rgb="FFE7E2F2"/>
        <bgColor rgb="FFE7E2F2"/>
      </patternFill>
    </fill>
    <fill>
      <patternFill patternType="solid">
        <fgColor rgb="FFEEF2FA"/>
        <bgColor rgb="FFEEF2FA"/>
      </patternFill>
    </fill>
    <fill>
      <patternFill patternType="solid">
        <fgColor rgb="FFFBE5CE"/>
        <bgColor rgb="FFFBE5CE"/>
      </patternFill>
    </fill>
    <fill>
      <patternFill patternType="solid">
        <fgColor rgb="FFF5D6D6"/>
        <bgColor rgb="FFF5D6D6"/>
      </patternFill>
    </fill>
    <fill>
      <patternFill patternType="solid">
        <fgColor rgb="FF5B3B96"/>
        <bgColor rgb="FF5B3B96"/>
      </patternFill>
    </fill>
    <fill>
      <patternFill patternType="solid">
        <fgColor rgb="FFF2EEFB"/>
        <bgColor rgb="FFF2EEFB"/>
      </patternFill>
    </fill>
    <fill>
      <patternFill patternType="solid">
        <fgColor rgb="FFF0F4F8"/>
        <bgColor rgb="FFF0F4F8"/>
      </patternFill>
    </fill>
    <fill>
      <patternFill patternType="solid">
        <fgColor rgb="FFF2F2F2"/>
        <bgColor rgb="FFF2F2F2"/>
      </patternFill>
    </fill>
    <fill>
      <patternFill patternType="solid">
        <fgColor rgb="FFF4F8FC"/>
        <bgColor rgb="FFF4F8FC"/>
      </patternFill>
    </fill>
    <fill>
      <patternFill patternType="solid">
        <fgColor rgb="FFFFFFFF"/>
        <bgColor rgb="FFFFFFFF"/>
      </patternFill>
    </fill>
    <fill>
      <patternFill patternType="solid">
        <fgColor rgb="FFF9FBFD"/>
        <bgColor rgb="FFF9FBFD"/>
      </patternFill>
    </fill>
  </fills>
  <borders count="17">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ttom style="thin">
        <color rgb="FFBFBFBF"/>
      </bottom>
    </border>
    <border>
      <left/>
      <right/>
      <top/>
      <bottom/>
    </border>
    <border>
      <left style="thin">
        <color rgb="FFD9D9D9"/>
      </left>
      <right style="thin">
        <color rgb="FFD9D9D9"/>
      </right>
      <top style="thin">
        <color rgb="FFD9D9D9"/>
      </top>
      <bottom style="thin">
        <color rgb="FFD9D9D9"/>
      </bottom>
    </border>
    <border>
      <left style="thin">
        <color rgb="FFD3D3D3"/>
      </left>
      <right style="thin">
        <color rgb="FFD3D3D3"/>
      </right>
      <top style="thin">
        <color rgb="FFD3D3D3"/>
      </top>
      <bottom style="thin">
        <color rgb="FFD3D3D3"/>
      </bottom>
    </border>
    <border>
      <left style="thin">
        <color rgb="FFD9D9D9"/>
      </left>
      <right style="thin">
        <color rgb="FFD9D9D9"/>
      </right>
      <top style="thin">
        <color rgb="FFD9D9D9"/>
      </top>
    </border>
    <border>
      <top style="thin">
        <color rgb="FFD9E2F3"/>
      </top>
      <bottom style="thin">
        <color rgb="FFD9E2F3"/>
      </bottom>
    </border>
    <border>
      <left style="thin">
        <color rgb="FFB7B7B7"/>
      </left>
      <right style="thin">
        <color rgb="FFB7B7B7"/>
      </right>
      <top style="thin">
        <color rgb="FFB7B7B7"/>
      </top>
      <bottom style="thin">
        <color rgb="FFB7B7B7"/>
      </bottom>
    </border>
    <border>
      <top style="thin">
        <color rgb="FFD9E2F3"/>
      </top>
      <bottom style="thin">
        <color rgb="FFB4C6E7"/>
      </bottom>
    </border>
    <border>
      <left style="thin">
        <color rgb="FFCCCCCC"/>
      </left>
      <right style="thin">
        <color rgb="FFCCCCCC"/>
      </right>
      <top style="thin">
        <color rgb="FFCCCCCC"/>
      </top>
      <bottom style="thin">
        <color rgb="FFCCCCCC"/>
      </bottom>
    </border>
    <border>
      <top style="thin">
        <color rgb="FFD9E2F3"/>
      </top>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0"/>
    </xf>
    <xf borderId="2" fillId="0" fontId="2" numFmtId="0" xfId="0" applyBorder="1" applyFont="1"/>
    <xf borderId="3" fillId="0" fontId="2" numFmtId="0" xfId="0" applyBorder="1" applyFont="1"/>
    <xf borderId="0" fillId="0" fontId="3" numFmtId="0" xfId="0" applyAlignment="1" applyFont="1">
      <alignment readingOrder="0" shrinkToFit="0" vertical="center" wrapText="1"/>
    </xf>
    <xf borderId="1" fillId="3" fontId="4" numFmtId="0" xfId="0" applyAlignment="1" applyBorder="1" applyFill="1" applyFont="1">
      <alignment shrinkToFit="0" vertical="center" wrapText="0"/>
    </xf>
    <xf borderId="4" fillId="4" fontId="5" numFmtId="0" xfId="0" applyAlignment="1" applyBorder="1" applyFill="1" applyFont="1">
      <alignment shrinkToFit="0" vertical="top" wrapText="1"/>
    </xf>
    <xf borderId="1" fillId="2" fontId="6" numFmtId="0" xfId="0" applyAlignment="1" applyBorder="1" applyFill="1" applyFont="1">
      <alignment horizontal="left" shrinkToFit="0" vertical="center" wrapText="0"/>
    </xf>
    <xf borderId="1" fillId="0" fontId="7" numFmtId="0" xfId="0" applyAlignment="1" applyBorder="1" applyFont="1">
      <alignment readingOrder="0" shrinkToFit="0" vertical="top" wrapText="1"/>
    </xf>
    <xf borderId="4" fillId="5" fontId="5" numFmtId="0" xfId="0" applyAlignment="1" applyBorder="1" applyFill="1" applyFont="1">
      <alignment horizontal="center" shrinkToFit="0" vertical="center" wrapText="1"/>
    </xf>
    <xf borderId="1" fillId="0" fontId="7" numFmtId="0" xfId="0" applyAlignment="1" applyBorder="1" applyFont="1">
      <alignment shrinkToFit="0" vertical="top" wrapText="1"/>
    </xf>
    <xf borderId="4" fillId="0" fontId="8" numFmtId="0" xfId="0" applyAlignment="1" applyBorder="1" applyFont="1">
      <alignment horizontal="left" shrinkToFit="0" vertical="center" wrapText="1"/>
    </xf>
    <xf borderId="4" fillId="0" fontId="8" numFmtId="0" xfId="0" applyAlignment="1" applyBorder="1" applyFont="1">
      <alignment horizontal="center" shrinkToFit="0" vertical="center" wrapText="0"/>
    </xf>
    <xf borderId="4" fillId="6" fontId="9" numFmtId="0" xfId="0" applyAlignment="1" applyBorder="1" applyFill="1" applyFont="1">
      <alignment horizontal="center" readingOrder="0" shrinkToFit="0" vertical="center" wrapText="0"/>
    </xf>
    <xf borderId="4" fillId="4" fontId="8" numFmtId="0" xfId="0" applyAlignment="1" applyBorder="1" applyFill="1" applyFont="1">
      <alignment horizontal="left" shrinkToFit="0" vertical="center" wrapText="1"/>
    </xf>
    <xf borderId="4" fillId="6" fontId="10" numFmtId="0" xfId="0" applyAlignment="1" applyBorder="1" applyFill="1" applyFont="1">
      <alignment horizontal="left" shrinkToFit="0" vertical="center" wrapText="1"/>
    </xf>
    <xf borderId="4" fillId="6" fontId="8" numFmtId="0" xfId="0" applyAlignment="1" applyBorder="1" applyFill="1" applyFont="1">
      <alignment horizontal="left" shrinkToFit="0" vertical="center" wrapText="1"/>
    </xf>
    <xf borderId="4" fillId="4" fontId="8" numFmtId="0" xfId="0" applyAlignment="1" applyBorder="1" applyFill="1" applyFont="1">
      <alignment horizontal="center" shrinkToFit="0" vertical="center" wrapText="0"/>
    </xf>
    <xf borderId="0" fillId="0" fontId="11" numFmtId="0" xfId="0" applyAlignment="1" applyFont="1">
      <alignment shrinkToFit="0" vertical="top" wrapText="1"/>
    </xf>
    <xf borderId="5" fillId="5" fontId="5" numFmtId="0" xfId="0" applyAlignment="1" applyBorder="1" applyFill="1" applyFont="1">
      <alignment horizontal="center" shrinkToFit="0" vertical="center" wrapText="1"/>
    </xf>
    <xf borderId="1" fillId="7" fontId="12" numFmtId="0" xfId="0" applyAlignment="1" applyBorder="1" applyFill="1" applyFont="1">
      <alignment horizontal="center" shrinkToFit="0" vertical="center" wrapText="0"/>
    </xf>
    <xf borderId="1" fillId="8" fontId="12" numFmtId="0" xfId="0" applyAlignment="1" applyBorder="1" applyFill="1" applyFont="1">
      <alignment horizontal="center" readingOrder="0" shrinkToFit="0" vertical="center" wrapText="1"/>
    </xf>
    <xf borderId="1" fillId="9" fontId="12" numFmtId="0" xfId="0" applyAlignment="1" applyBorder="1" applyFill="1" applyFont="1">
      <alignment horizontal="center" shrinkToFit="0" vertical="center" wrapText="0"/>
    </xf>
    <xf borderId="1" fillId="10" fontId="12" numFmtId="0" xfId="0" applyAlignment="1" applyBorder="1" applyFill="1" applyFont="1">
      <alignment horizontal="center" shrinkToFit="0" vertical="center" wrapText="0"/>
    </xf>
    <xf borderId="1" fillId="11" fontId="12" numFmtId="0" xfId="0" applyAlignment="1" applyBorder="1" applyFill="1" applyFont="1">
      <alignment horizontal="center" shrinkToFit="0" vertical="center" wrapText="1"/>
    </xf>
    <xf borderId="1" fillId="12" fontId="13" numFmtId="0" xfId="0" applyAlignment="1" applyBorder="1" applyFill="1" applyFont="1">
      <alignment horizontal="center" shrinkToFit="0" vertical="center" wrapText="1"/>
    </xf>
    <xf borderId="1" fillId="13" fontId="12" numFmtId="0" xfId="0" applyAlignment="1" applyBorder="1" applyFill="1" applyFont="1">
      <alignment horizontal="center" shrinkToFit="0" vertical="center" wrapText="0"/>
    </xf>
    <xf borderId="0" fillId="0" fontId="14" numFmtId="0" xfId="0" applyAlignment="1" applyFont="1">
      <alignment shrinkToFit="0" vertical="bottom" wrapText="0"/>
    </xf>
    <xf borderId="1" fillId="14" fontId="12" numFmtId="0" xfId="0" applyAlignment="1" applyBorder="1" applyFill="1" applyFont="1">
      <alignment horizontal="center" readingOrder="0" shrinkToFit="0" vertical="center" wrapText="1"/>
    </xf>
    <xf borderId="0" fillId="0" fontId="9" numFmtId="0" xfId="0" applyAlignment="1" applyFont="1">
      <alignment shrinkToFit="0" vertical="bottom" wrapText="0"/>
    </xf>
    <xf borderId="1" fillId="15" fontId="12" numFmtId="0" xfId="0" applyAlignment="1" applyBorder="1" applyFill="1" applyFont="1">
      <alignment horizontal="center" shrinkToFit="0" vertical="center" wrapText="1"/>
    </xf>
    <xf borderId="0" fillId="0" fontId="5" numFmtId="0" xfId="0" applyAlignment="1" applyFont="1">
      <alignment horizontal="center" shrinkToFit="0" vertical="bottom" wrapText="0"/>
    </xf>
    <xf borderId="6" fillId="0" fontId="2" numFmtId="0" xfId="0" applyBorder="1" applyFont="1"/>
    <xf borderId="4" fillId="7" fontId="15" numFmtId="0" xfId="0" applyAlignment="1" applyBorder="1" applyFill="1" applyFont="1">
      <alignment horizontal="center" shrinkToFit="0" vertical="center" wrapText="1"/>
    </xf>
    <xf borderId="4" fillId="8" fontId="15" numFmtId="0" xfId="0" applyAlignment="1" applyBorder="1" applyFill="1" applyFont="1">
      <alignment horizontal="center" shrinkToFit="0" vertical="center" wrapText="1"/>
    </xf>
    <xf borderId="4" fillId="9" fontId="15" numFmtId="0" xfId="0" applyAlignment="1" applyBorder="1" applyFill="1" applyFont="1">
      <alignment horizontal="center" shrinkToFit="0" vertical="center" wrapText="1"/>
    </xf>
    <xf borderId="4" fillId="10" fontId="15" numFmtId="0" xfId="0" applyAlignment="1" applyBorder="1" applyFill="1" applyFont="1">
      <alignment horizontal="center" shrinkToFit="0" vertical="center" wrapText="1"/>
    </xf>
    <xf borderId="4" fillId="11" fontId="15" numFmtId="0" xfId="0" applyAlignment="1" applyBorder="1" applyFill="1" applyFont="1">
      <alignment horizontal="center" shrinkToFit="0" vertical="center" wrapText="1"/>
    </xf>
    <xf borderId="4" fillId="12" fontId="14" numFmtId="0" xfId="0" applyAlignment="1" applyBorder="1" applyFill="1" applyFont="1">
      <alignment horizontal="center" shrinkToFit="0" vertical="center" wrapText="1"/>
    </xf>
    <xf borderId="4" fillId="12" fontId="15" numFmtId="0" xfId="0" applyAlignment="1" applyBorder="1" applyFill="1" applyFont="1">
      <alignment horizontal="center" shrinkToFit="0" vertical="center" wrapText="1"/>
    </xf>
    <xf borderId="4" fillId="4" fontId="8" numFmtId="164" xfId="0" applyAlignment="1" applyBorder="1" applyFill="1" applyFont="1" applyNumberFormat="1">
      <alignment horizontal="left" shrinkToFit="0" vertical="center" wrapText="1"/>
    </xf>
    <xf borderId="4" fillId="13" fontId="15" numFmtId="0" xfId="0" applyAlignment="1" applyBorder="1" applyFill="1" applyFont="1">
      <alignment horizontal="center" shrinkToFit="0" vertical="center" wrapText="1"/>
    </xf>
    <xf borderId="4" fillId="14" fontId="15" numFmtId="0" xfId="0" applyAlignment="1" applyBorder="1" applyFill="1" applyFont="1">
      <alignment horizontal="center" shrinkToFit="0" vertical="center" wrapText="1"/>
    </xf>
    <xf borderId="4" fillId="15" fontId="15" numFmtId="0" xfId="0" applyAlignment="1" applyBorder="1" applyFill="1" applyFont="1">
      <alignment horizontal="center" shrinkToFit="0" vertical="center" wrapText="1"/>
    </xf>
    <xf borderId="4" fillId="4" fontId="8" numFmtId="2" xfId="0" applyAlignment="1" applyBorder="1" applyFill="1" applyFont="1" applyNumberFormat="1">
      <alignment horizontal="left" shrinkToFit="0" vertical="center" wrapText="1"/>
    </xf>
    <xf borderId="4" fillId="4" fontId="8" numFmtId="165" xfId="0" applyAlignment="1" applyBorder="1" applyFill="1" applyFont="1" applyNumberFormat="1">
      <alignment horizontal="left" shrinkToFit="0" vertical="center" wrapText="1"/>
    </xf>
    <xf borderId="4" fillId="0" fontId="8" numFmtId="164" xfId="0" applyAlignment="1" applyBorder="1" applyFont="1" applyNumberFormat="1">
      <alignment horizontal="left" shrinkToFit="0" vertical="center" wrapText="1"/>
    </xf>
    <xf borderId="4" fillId="0" fontId="8" numFmtId="2" xfId="0" applyAlignment="1" applyBorder="1" applyFont="1" applyNumberFormat="1">
      <alignment horizontal="left" shrinkToFit="0" vertical="center" wrapText="1"/>
    </xf>
    <xf borderId="4" fillId="0" fontId="8" numFmtId="165" xfId="0" applyAlignment="1" applyBorder="1" applyFont="1" applyNumberFormat="1">
      <alignment horizontal="left" shrinkToFit="0" vertical="center" wrapText="1"/>
    </xf>
    <xf borderId="4" fillId="16" fontId="5" numFmtId="0" xfId="0" applyAlignment="1" applyBorder="1" applyFill="1" applyFont="1">
      <alignment horizontal="center" shrinkToFit="0" vertical="center" wrapText="1"/>
    </xf>
    <xf borderId="0" fillId="0" fontId="16" numFmtId="0" xfId="0" applyFont="1"/>
    <xf borderId="0" fillId="17" fontId="17" numFmtId="0" xfId="0" applyAlignment="1" applyFill="1" applyFont="1">
      <alignment shrinkToFit="0" vertical="center" wrapText="1"/>
    </xf>
    <xf borderId="0" fillId="0" fontId="18" numFmtId="0" xfId="0" applyAlignment="1" applyFont="1">
      <alignment shrinkToFit="0" vertical="center" wrapText="1"/>
    </xf>
    <xf borderId="4" fillId="0" fontId="19" numFmtId="0" xfId="0" applyAlignment="1" applyBorder="1" applyFont="1">
      <alignment shrinkToFit="0" vertical="center" wrapText="1"/>
    </xf>
    <xf borderId="7" fillId="18" fontId="20" numFmtId="0" xfId="0" applyAlignment="1" applyBorder="1" applyFill="1" applyFont="1">
      <alignment shrinkToFit="0" vertical="center" wrapText="1"/>
    </xf>
    <xf borderId="0" fillId="0" fontId="20" numFmtId="0" xfId="0" applyAlignment="1" applyFont="1">
      <alignment shrinkToFit="0" vertical="center" wrapText="1"/>
    </xf>
    <xf borderId="0" fillId="0" fontId="20" numFmtId="0" xfId="0" applyAlignment="1" applyFont="1">
      <alignment shrinkToFit="0" vertical="top" wrapText="1"/>
    </xf>
    <xf borderId="0" fillId="0" fontId="21" numFmtId="0" xfId="0" applyAlignment="1" applyFont="1">
      <alignment vertical="top"/>
    </xf>
    <xf borderId="0" fillId="0" fontId="22" numFmtId="0" xfId="0" applyAlignment="1" applyFont="1">
      <alignment shrinkToFit="0" vertical="center" wrapText="1"/>
    </xf>
    <xf borderId="8" fillId="0" fontId="21" numFmtId="0" xfId="0" applyAlignment="1" applyBorder="1" applyFont="1">
      <alignment shrinkToFit="0" vertical="center" wrapText="1"/>
    </xf>
    <xf borderId="9" fillId="0" fontId="21" numFmtId="0" xfId="0" applyAlignment="1" applyBorder="1" applyFont="1">
      <alignment shrinkToFit="0" vertical="center" wrapText="1"/>
    </xf>
    <xf borderId="0" fillId="0" fontId="21" numFmtId="0" xfId="0" applyAlignment="1" applyFont="1">
      <alignment shrinkToFit="0" vertical="center" wrapText="1"/>
    </xf>
    <xf borderId="4" fillId="0" fontId="8" numFmtId="0" xfId="0" applyAlignment="1" applyBorder="1" applyFont="1">
      <alignment horizontal="left" readingOrder="0" shrinkToFit="0" vertical="center" wrapText="1"/>
    </xf>
    <xf borderId="0" fillId="0" fontId="17" numFmtId="0" xfId="0" applyAlignment="1" applyFont="1">
      <alignment shrinkToFit="0" vertical="center" wrapText="1"/>
    </xf>
    <xf borderId="4" fillId="4" fontId="8" numFmtId="0" xfId="0" applyAlignment="1" applyBorder="1" applyFill="1" applyFont="1">
      <alignment horizontal="left" readingOrder="0" shrinkToFit="0" vertical="center" wrapText="1"/>
    </xf>
    <xf borderId="4" fillId="19" fontId="9" numFmtId="0" xfId="0" applyAlignment="1" applyBorder="1" applyFill="1" applyFont="1">
      <alignment readingOrder="0" shrinkToFit="0" vertical="bottom" wrapText="0"/>
    </xf>
    <xf borderId="1" fillId="3" fontId="23" numFmtId="0" xfId="0" applyAlignment="1" applyBorder="1" applyFill="1" applyFont="1">
      <alignment horizontal="center" shrinkToFit="0" vertical="center" wrapText="0"/>
    </xf>
    <xf borderId="4" fillId="19" fontId="9" numFmtId="0" xfId="0" applyAlignment="1" applyBorder="1" applyFill="1" applyFont="1">
      <alignment shrinkToFit="0" vertical="bottom" wrapText="0"/>
    </xf>
    <xf borderId="1" fillId="20" fontId="24" numFmtId="0" xfId="0" applyAlignment="1" applyBorder="1" applyFill="1" applyFont="1">
      <alignment horizontal="center" shrinkToFit="0" vertical="center" wrapText="0"/>
    </xf>
    <xf borderId="4" fillId="19" fontId="9" numFmtId="164" xfId="0" applyAlignment="1" applyBorder="1" applyFill="1" applyFont="1" applyNumberFormat="1">
      <alignment shrinkToFit="0" vertical="bottom" wrapText="0"/>
    </xf>
    <xf borderId="4" fillId="19" fontId="9" numFmtId="2" xfId="0" applyAlignment="1" applyBorder="1" applyFill="1" applyFont="1" applyNumberFormat="1">
      <alignment shrinkToFit="0" vertical="bottom" wrapText="0"/>
    </xf>
    <xf borderId="0" fillId="0" fontId="11" numFmtId="0" xfId="0" applyAlignment="1" applyFont="1">
      <alignment shrinkToFit="0" vertical="bottom" wrapText="1"/>
    </xf>
    <xf borderId="4" fillId="19" fontId="9" numFmtId="165" xfId="0" applyAlignment="1" applyBorder="1" applyFill="1" applyFont="1" applyNumberFormat="1">
      <alignment shrinkToFit="0" vertical="bottom" wrapText="0"/>
    </xf>
    <xf borderId="4" fillId="5" fontId="5" numFmtId="0" xfId="0" applyAlignment="1" applyBorder="1" applyFill="1" applyFont="1">
      <alignment horizontal="center" readingOrder="0" shrinkToFit="0" vertical="center" wrapText="1"/>
    </xf>
    <xf borderId="4" fillId="0" fontId="8" numFmtId="2" xfId="0" applyAlignment="1" applyBorder="1" applyFont="1" applyNumberFormat="1">
      <alignment horizontal="center" shrinkToFit="0" vertical="center" wrapText="1"/>
    </xf>
    <xf borderId="4" fillId="4" fontId="8" numFmtId="2" xfId="0" applyAlignment="1" applyBorder="1" applyFill="1" applyFont="1" applyNumberFormat="1">
      <alignment horizontal="center" shrinkToFit="0" vertical="center" wrapText="1"/>
    </xf>
    <xf borderId="1" fillId="5" fontId="25" numFmtId="0" xfId="0" applyAlignment="1" applyBorder="1" applyFill="1" applyFont="1">
      <alignment horizontal="center" shrinkToFit="0" vertical="center" wrapText="0"/>
    </xf>
    <xf borderId="1" fillId="21" fontId="25" numFmtId="0" xfId="0" applyAlignment="1" applyBorder="1" applyFill="1" applyFont="1">
      <alignment horizontal="center" shrinkToFit="0" vertical="center" wrapText="0"/>
    </xf>
    <xf borderId="1" fillId="7" fontId="25" numFmtId="0" xfId="0" applyAlignment="1" applyBorder="1" applyFill="1" applyFont="1">
      <alignment horizontal="center" shrinkToFit="0" vertical="center" wrapText="0"/>
    </xf>
    <xf borderId="1" fillId="22" fontId="25" numFmtId="0" xfId="0" applyAlignment="1" applyBorder="1" applyFill="1" applyFont="1">
      <alignment horizontal="center" shrinkToFit="0" vertical="center" wrapText="0"/>
    </xf>
    <xf borderId="4" fillId="4" fontId="8" numFmtId="166" xfId="0" applyAlignment="1" applyBorder="1" applyFill="1" applyFont="1" applyNumberFormat="1">
      <alignment horizontal="left" shrinkToFit="0" vertical="center" wrapText="1"/>
    </xf>
    <xf borderId="4" fillId="22" fontId="5" numFmtId="0" xfId="0" applyAlignment="1" applyBorder="1" applyFill="1" applyFont="1">
      <alignment horizontal="center" shrinkToFit="0" vertical="center" wrapText="1"/>
    </xf>
    <xf borderId="1" fillId="3" fontId="26" numFmtId="0" xfId="0" applyAlignment="1" applyBorder="1" applyFill="1" applyFont="1">
      <alignment shrinkToFit="0" vertical="center" wrapText="0"/>
    </xf>
    <xf borderId="1" fillId="4" fontId="7" numFmtId="0" xfId="0" applyAlignment="1" applyBorder="1" applyFill="1" applyFont="1">
      <alignment shrinkToFit="0" vertical="center" wrapText="1"/>
    </xf>
    <xf borderId="1" fillId="23" fontId="26" numFmtId="0" xfId="0" applyAlignment="1" applyBorder="1" applyFill="1" applyFont="1">
      <alignment shrinkToFit="0" vertical="center" wrapText="0"/>
    </xf>
    <xf borderId="1" fillId="24" fontId="7" numFmtId="0" xfId="0" applyAlignment="1" applyBorder="1" applyFill="1" applyFont="1">
      <alignment shrinkToFit="0" vertical="center" wrapText="1"/>
    </xf>
    <xf borderId="0" fillId="0" fontId="21" numFmtId="0" xfId="0" applyAlignment="1" applyFont="1">
      <alignment horizontal="right" vertical="bottom"/>
    </xf>
    <xf borderId="0" fillId="0" fontId="21" numFmtId="0" xfId="0" applyAlignment="1" applyFont="1">
      <alignment vertical="bottom"/>
    </xf>
    <xf borderId="10" fillId="0" fontId="21" numFmtId="0" xfId="0" applyAlignment="1" applyBorder="1" applyFont="1">
      <alignment shrinkToFit="0" vertical="center" wrapText="1"/>
    </xf>
    <xf borderId="0" fillId="25" fontId="27" numFmtId="0" xfId="0" applyAlignment="1" applyFill="1" applyFont="1">
      <alignment shrinkToFit="0" vertical="center" wrapText="1"/>
    </xf>
    <xf borderId="11" fillId="0" fontId="28" numFmtId="0" xfId="0" applyAlignment="1" applyBorder="1" applyFont="1">
      <alignment shrinkToFit="0" vertical="center" wrapText="1"/>
    </xf>
    <xf borderId="12" fillId="0" fontId="19" numFmtId="0" xfId="0" applyAlignment="1" applyBorder="1" applyFont="1">
      <alignment shrinkToFit="0" vertical="center" wrapText="1"/>
    </xf>
    <xf borderId="0" fillId="26" fontId="21" numFmtId="0" xfId="0" applyAlignment="1" applyFill="1" applyFont="1">
      <alignment shrinkToFit="0" vertical="center" wrapText="1"/>
    </xf>
    <xf borderId="0" fillId="0" fontId="27" numFmtId="0" xfId="0" applyAlignment="1" applyFont="1">
      <alignment shrinkToFit="0" vertical="center" wrapText="1"/>
    </xf>
    <xf borderId="7" fillId="18" fontId="20" numFmtId="0" xfId="0" applyAlignment="1" applyBorder="1" applyFill="1" applyFont="1">
      <alignment shrinkToFit="0" vertical="top" wrapText="1"/>
    </xf>
    <xf borderId="0" fillId="0" fontId="16" numFmtId="0" xfId="0" applyAlignment="1" applyFont="1">
      <alignment shrinkToFit="0" wrapText="1"/>
    </xf>
    <xf borderId="13" fillId="0" fontId="28" numFmtId="0" xfId="0" applyAlignment="1" applyBorder="1" applyFont="1">
      <alignment shrinkToFit="0" vertical="center" wrapText="1"/>
    </xf>
    <xf borderId="0" fillId="25" fontId="29" numFmtId="0" xfId="0" applyAlignment="1" applyFill="1" applyFont="1">
      <alignment shrinkToFit="0" vertical="center" wrapText="1"/>
    </xf>
    <xf borderId="0" fillId="0" fontId="30" numFmtId="0" xfId="0" applyAlignment="1" applyFont="1">
      <alignment shrinkToFit="0" vertical="center" wrapText="1"/>
    </xf>
    <xf borderId="14" fillId="0" fontId="19" numFmtId="0" xfId="0" applyAlignment="1" applyBorder="1" applyFont="1">
      <alignment shrinkToFit="0" vertical="center" wrapText="1"/>
    </xf>
    <xf borderId="9" fillId="0" fontId="16" numFmtId="0" xfId="0" applyAlignment="1" applyBorder="1" applyFont="1">
      <alignment shrinkToFit="0" vertical="center" wrapText="1"/>
    </xf>
    <xf borderId="0" fillId="0" fontId="29" numFmtId="0" xfId="0" applyAlignment="1" applyFont="1">
      <alignment shrinkToFit="0" vertical="center" wrapText="1"/>
    </xf>
    <xf borderId="0" fillId="0" fontId="31" numFmtId="0" xfId="0" applyAlignment="1" applyFont="1">
      <alignment shrinkToFit="0" vertical="center" wrapText="1"/>
    </xf>
    <xf borderId="11" fillId="27" fontId="32" numFmtId="0" xfId="0" applyAlignment="1" applyBorder="1" applyFill="1" applyFont="1">
      <alignment shrinkToFit="0" vertical="center" wrapText="1"/>
    </xf>
    <xf borderId="8" fillId="0" fontId="19" numFmtId="0" xfId="0" applyAlignment="1" applyBorder="1" applyFont="1">
      <alignment shrinkToFit="0" vertical="center" wrapText="1"/>
    </xf>
    <xf borderId="15" fillId="27" fontId="32" numFmtId="0" xfId="0" applyAlignment="1" applyBorder="1" applyFill="1" applyFont="1">
      <alignment shrinkToFit="0" vertical="center" wrapText="1"/>
    </xf>
    <xf borderId="0" fillId="0" fontId="32" numFmtId="0" xfId="0" applyAlignment="1" applyFont="1">
      <alignment shrinkToFit="0" vertical="center" wrapText="1"/>
    </xf>
    <xf borderId="8" fillId="28" fontId="21" numFmtId="0" xfId="0" applyAlignment="1" applyBorder="1" applyFill="1" applyFont="1">
      <alignment shrinkToFit="0" vertical="center" wrapText="1"/>
    </xf>
    <xf borderId="4" fillId="26" fontId="19" numFmtId="0" xfId="0" applyAlignment="1" applyBorder="1" applyFill="1" applyFont="1">
      <alignment shrinkToFit="0" vertical="center" wrapText="1"/>
    </xf>
    <xf borderId="8" fillId="29" fontId="21" numFmtId="0" xfId="0" applyAlignment="1" applyBorder="1" applyFill="1" applyFont="1">
      <alignment shrinkToFit="0" vertical="center" wrapText="1"/>
    </xf>
    <xf borderId="4" fillId="26" fontId="19" numFmtId="0" xfId="0" applyAlignment="1" applyBorder="1" applyFill="1" applyFont="1">
      <alignment readingOrder="0" shrinkToFit="0" vertical="center" wrapText="1"/>
    </xf>
    <xf borderId="16" fillId="0" fontId="21" numFmtId="0" xfId="0" applyAlignment="1" applyBorder="1" applyFont="1">
      <alignment shrinkToFit="0" vertical="center" wrapText="1"/>
    </xf>
    <xf borderId="4" fillId="0" fontId="19" numFmtId="0" xfId="0" applyAlignment="1" applyBorder="1" applyFont="1">
      <alignment readingOrder="0" shrinkToFit="0" vertical="center" wrapText="1"/>
    </xf>
  </cellXfs>
  <cellStyles count="1">
    <cellStyle xfId="0" name="Normal" builtinId="0"/>
  </cellStyles>
  <dxfs count="1">
    <dxf>
      <font/>
      <fill>
        <patternFill patternType="solid">
          <fgColor rgb="FFF3D9D9"/>
          <bgColor rgb="FFF3D9D9"/>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Taxa de Acerto, Erro, Omissão e Alucinação por Configuração</a:t>
            </a:r>
          </a:p>
        </c:rich>
      </c:tx>
      <c:overlay val="0"/>
    </c:title>
    <c:plotArea>
      <c:layout/>
      <c:barChart>
        <c:barDir val="col"/>
        <c:ser>
          <c:idx val="0"/>
          <c:order val="0"/>
          <c:tx>
            <c:v>Taxa de Acerto</c:v>
          </c:tx>
          <c:spPr>
            <a:solidFill>
              <a:srgbClr val="4F81BD"/>
            </a:solidFill>
            <a:ln cmpd="sng">
              <a:noFill/>
            </a:ln>
          </c:spPr>
          <c:invertIfNegative val="0"/>
          <c:cat>
            <c:strRef>
              <c:f>DASHBOARD!$A$9:$A$17</c:f>
            </c:strRef>
          </c:cat>
          <c:val>
            <c:numRef>
              <c:f>DASHBOARD!$B$9:$B$17</c:f>
              <c:numCache/>
            </c:numRef>
          </c:val>
        </c:ser>
        <c:ser>
          <c:idx val="1"/>
          <c:order val="1"/>
          <c:tx>
            <c:v>Taxa de Erro</c:v>
          </c:tx>
          <c:spPr>
            <a:solidFill>
              <a:srgbClr val="C0504D"/>
            </a:solidFill>
            <a:ln cmpd="sng">
              <a:noFill/>
            </a:ln>
          </c:spPr>
          <c:invertIfNegative val="0"/>
          <c:cat>
            <c:strRef>
              <c:f>DASHBOARD!$A$9:$A$17</c:f>
            </c:strRef>
          </c:cat>
          <c:val>
            <c:numRef>
              <c:f>DASHBOARD!$C$9:$C$17</c:f>
              <c:numCache/>
            </c:numRef>
          </c:val>
        </c:ser>
        <c:ser>
          <c:idx val="2"/>
          <c:order val="2"/>
          <c:tx>
            <c:v>Taxa de Omissão</c:v>
          </c:tx>
          <c:spPr>
            <a:solidFill>
              <a:srgbClr val="9BBB59"/>
            </a:solidFill>
            <a:ln cmpd="sng">
              <a:noFill/>
            </a:ln>
          </c:spPr>
          <c:invertIfNegative val="0"/>
          <c:cat>
            <c:strRef>
              <c:f>DASHBOARD!$A$9:$A$17</c:f>
            </c:strRef>
          </c:cat>
          <c:val>
            <c:numRef>
              <c:f>DASHBOARD!$D$9:$D$17</c:f>
              <c:numCache/>
            </c:numRef>
          </c:val>
        </c:ser>
        <c:ser>
          <c:idx val="3"/>
          <c:order val="3"/>
          <c:tx>
            <c:v>Taxa de Alucinação</c:v>
          </c:tx>
          <c:spPr>
            <a:solidFill>
              <a:srgbClr val="8064A2"/>
            </a:solidFill>
            <a:ln cmpd="sng">
              <a:noFill/>
            </a:ln>
          </c:spPr>
          <c:invertIfNegative val="0"/>
          <c:cat>
            <c:strRef>
              <c:f>DASHBOARD!$A$9:$A$17</c:f>
            </c:strRef>
          </c:cat>
          <c:val>
            <c:numRef>
              <c:f>DASHBOARD!$E$9:$E$17</c:f>
              <c:numCache/>
            </c:numRef>
          </c:val>
        </c:ser>
        <c:axId val="325894659"/>
        <c:axId val="1788549720"/>
      </c:barChart>
      <c:catAx>
        <c:axId val="3258946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1788549720"/>
      </c:catAx>
      <c:valAx>
        <c:axId val="1788549720"/>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Percentual</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325894659"/>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Média de Correção e Fidelidade Documental por Configuração (escala 0-2)</a:t>
            </a:r>
          </a:p>
        </c:rich>
      </c:tx>
      <c:overlay val="0"/>
    </c:title>
    <c:plotArea>
      <c:layout/>
      <c:barChart>
        <c:barDir val="col"/>
        <c:ser>
          <c:idx val="0"/>
          <c:order val="0"/>
          <c:tx>
            <c:v>Média Correção (0-2)</c:v>
          </c:tx>
          <c:spPr>
            <a:solidFill>
              <a:srgbClr val="4F81BD"/>
            </a:solidFill>
            <a:ln cmpd="sng">
              <a:noFill/>
            </a:ln>
          </c:spPr>
          <c:invertIfNegative val="0"/>
          <c:cat>
            <c:strRef>
              <c:f>DASHBOARD!$A$20:$A$28</c:f>
            </c:strRef>
          </c:cat>
          <c:val>
            <c:numRef>
              <c:f>DASHBOARD!$B$20:$B$28</c:f>
              <c:numCache/>
            </c:numRef>
          </c:val>
        </c:ser>
        <c:ser>
          <c:idx val="1"/>
          <c:order val="1"/>
          <c:tx>
            <c:v>Média Fidelidade (0-2)</c:v>
          </c:tx>
          <c:spPr>
            <a:solidFill>
              <a:srgbClr val="C0504D"/>
            </a:solidFill>
            <a:ln cmpd="sng">
              <a:noFill/>
            </a:ln>
          </c:spPr>
          <c:invertIfNegative val="0"/>
          <c:cat>
            <c:strRef>
              <c:f>DASHBOARD!$A$20:$A$28</c:f>
            </c:strRef>
          </c:cat>
          <c:val>
            <c:numRef>
              <c:f>DASHBOARD!$C$20:$C$28</c:f>
              <c:numCache/>
            </c:numRef>
          </c:val>
        </c:ser>
        <c:axId val="307985144"/>
        <c:axId val="1851759766"/>
      </c:barChart>
      <c:catAx>
        <c:axId val="3079851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1851759766"/>
      </c:catAx>
      <c:valAx>
        <c:axId val="1851759766"/>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Média (0-2)</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307985144"/>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Tempo Médio de Resposta por Configuração (segundos)</a:t>
            </a:r>
          </a:p>
        </c:rich>
      </c:tx>
      <c:overlay val="0"/>
    </c:title>
    <c:plotArea>
      <c:layout/>
      <c:barChart>
        <c:barDir val="col"/>
        <c:varyColors val="0"/>
        <c:ser>
          <c:idx val="0"/>
          <c:order val="0"/>
          <c:tx>
            <c:strRef>
              <c:f>DASHBOARD!$D$19</c:f>
            </c:strRef>
          </c:tx>
          <c:invertIfNegative val="0"/>
          <c:cat>
            <c:strRef>
              <c:f>DASHBOARD!$A$20:$A$28</c:f>
            </c:strRef>
          </c:cat>
          <c:val>
            <c:numRef>
              <c:f>DASHBOARD!$D$20:$D$28</c:f>
              <c:numCache/>
            </c:numRef>
          </c:val>
        </c:ser>
        <c:axId val="1215194149"/>
        <c:axId val="898662383"/>
      </c:barChart>
      <c:catAx>
        <c:axId val="12151941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898662383"/>
      </c:catAx>
      <c:valAx>
        <c:axId val="898662383"/>
        <c:scaling>
          <c:orientation val="minMax"/>
        </c:scaling>
        <c:delete val="0"/>
        <c:axPos val="l"/>
        <c:tickLblPos val="nextTo"/>
        <c:spPr>
          <a:ln>
            <a:noFill/>
          </a:ln>
        </c:spPr>
        <c:crossAx val="1215194149"/>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30</xdr:row>
      <xdr:rowOff>0</xdr:rowOff>
    </xdr:from>
    <xdr:ext cx="8181975" cy="3400425"/>
    <xdr:graphicFrame>
      <xdr:nvGraphicFramePr>
        <xdr:cNvPr id="2001957385"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49</xdr:row>
      <xdr:rowOff>0</xdr:rowOff>
    </xdr:from>
    <xdr:ext cx="8181975" cy="3400425"/>
    <xdr:graphicFrame>
      <xdr:nvGraphicFramePr>
        <xdr:cNvPr id="1077512001"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68</xdr:row>
      <xdr:rowOff>0</xdr:rowOff>
    </xdr:from>
    <xdr:ext cx="8181975" cy="3400425"/>
    <xdr:graphicFrame>
      <xdr:nvGraphicFramePr>
        <xdr:cNvPr id="1092166697" name="Chart 3"/>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0.0"/>
    <col customWidth="1" min="2" max="2" width="55.0"/>
    <col customWidth="1" min="3" max="3" width="30.0"/>
    <col customWidth="1" min="4" max="26" width="8.71"/>
  </cols>
  <sheetData>
    <row r="1" ht="33.75" customHeight="1">
      <c r="A1" s="1" t="s">
        <v>0</v>
      </c>
      <c r="B1" s="2"/>
      <c r="C1" s="3"/>
    </row>
    <row r="2" ht="30.0" customHeight="1">
      <c r="A2" s="4" t="s">
        <v>1</v>
      </c>
    </row>
    <row r="4" ht="18.0" customHeight="1">
      <c r="A4" s="5" t="s">
        <v>2</v>
      </c>
      <c r="B4" s="2"/>
      <c r="C4" s="3"/>
    </row>
    <row r="5" ht="30.0" customHeight="1">
      <c r="A5" s="6" t="s">
        <v>5</v>
      </c>
      <c r="B5" s="8" t="s">
        <v>1</v>
      </c>
      <c r="C5" s="3"/>
    </row>
    <row r="6" ht="43.5" customHeight="1">
      <c r="A6" s="6" t="s">
        <v>6</v>
      </c>
      <c r="B6" s="8" t="s">
        <v>7</v>
      </c>
      <c r="C6" s="3"/>
    </row>
    <row r="7" ht="49.5" customHeight="1">
      <c r="A7" s="6" t="s">
        <v>8</v>
      </c>
      <c r="B7" s="8" t="s">
        <v>10</v>
      </c>
      <c r="C7" s="3"/>
    </row>
    <row r="9" ht="18.0" customHeight="1">
      <c r="A9" s="5" t="s">
        <v>11</v>
      </c>
      <c r="B9" s="2"/>
      <c r="C9" s="3"/>
    </row>
    <row r="10" ht="24.0" customHeight="1">
      <c r="A10" s="6" t="s">
        <v>18</v>
      </c>
      <c r="B10" s="10" t="s">
        <v>21</v>
      </c>
      <c r="C10" s="3"/>
    </row>
    <row r="11" ht="24.0" customHeight="1">
      <c r="A11" s="6" t="s">
        <v>29</v>
      </c>
      <c r="B11" s="10" t="s">
        <v>31</v>
      </c>
      <c r="C11" s="3"/>
    </row>
    <row r="12" ht="24.0" customHeight="1">
      <c r="A12" s="6" t="s">
        <v>36</v>
      </c>
      <c r="B12" s="10" t="s">
        <v>37</v>
      </c>
      <c r="C12" s="3"/>
    </row>
    <row r="13" ht="33.75" customHeight="1">
      <c r="A13" s="6" t="s">
        <v>41</v>
      </c>
      <c r="B13" s="10" t="s">
        <v>42</v>
      </c>
      <c r="C13" s="3"/>
    </row>
    <row r="14" ht="24.0" customHeight="1">
      <c r="A14" s="6" t="s">
        <v>50</v>
      </c>
      <c r="B14" s="10" t="s">
        <v>52</v>
      </c>
      <c r="C14" s="3"/>
    </row>
    <row r="16" ht="18.0" customHeight="1">
      <c r="A16" s="5" t="s">
        <v>59</v>
      </c>
      <c r="B16" s="2"/>
      <c r="C16" s="3"/>
    </row>
    <row r="17" ht="24.0" customHeight="1">
      <c r="A17" s="6" t="s">
        <v>65</v>
      </c>
      <c r="B17" s="8" t="s">
        <v>66</v>
      </c>
      <c r="C17" s="3"/>
    </row>
    <row r="18" ht="24.0" customHeight="1">
      <c r="A18" s="6" t="s">
        <v>69</v>
      </c>
      <c r="B18" s="10" t="s">
        <v>70</v>
      </c>
      <c r="C18" s="3"/>
    </row>
    <row r="19" ht="19.5" customHeight="1">
      <c r="A19" s="6" t="s">
        <v>72</v>
      </c>
      <c r="B19" s="8" t="s">
        <v>73</v>
      </c>
      <c r="C19" s="3"/>
    </row>
    <row r="20" ht="24.0" customHeight="1">
      <c r="A20" s="6" t="s">
        <v>78</v>
      </c>
      <c r="B20" s="8" t="s">
        <v>79</v>
      </c>
      <c r="C20" s="3"/>
    </row>
    <row r="21" ht="15.75" customHeight="1"/>
    <row r="22" ht="18.0" customHeight="1">
      <c r="A22" s="5" t="s">
        <v>82</v>
      </c>
      <c r="B22" s="2"/>
      <c r="C22" s="3"/>
    </row>
    <row r="23" ht="33.75" customHeight="1">
      <c r="A23" s="6" t="s">
        <v>86</v>
      </c>
      <c r="B23" s="10" t="s">
        <v>87</v>
      </c>
      <c r="C23" s="3"/>
    </row>
    <row r="24" ht="39.75" customHeight="1">
      <c r="A24" s="6" t="s">
        <v>89</v>
      </c>
      <c r="B24" s="10" t="s">
        <v>91</v>
      </c>
      <c r="C24" s="3"/>
    </row>
    <row r="25" ht="39.75" customHeight="1">
      <c r="A25" s="6" t="s">
        <v>95</v>
      </c>
      <c r="B25" s="10" t="s">
        <v>97</v>
      </c>
      <c r="C25" s="3"/>
    </row>
    <row r="26" ht="15.75" customHeight="1"/>
    <row r="27" ht="18.0" customHeight="1">
      <c r="A27" s="5" t="s">
        <v>102</v>
      </c>
      <c r="B27" s="2"/>
      <c r="C27" s="3"/>
    </row>
    <row r="28" ht="39.75" customHeight="1">
      <c r="A28" s="6" t="s">
        <v>108</v>
      </c>
      <c r="B28" s="10" t="s">
        <v>109</v>
      </c>
      <c r="C28" s="3"/>
    </row>
    <row r="29" ht="63.75" customHeight="1">
      <c r="A29" s="6" t="s">
        <v>114</v>
      </c>
      <c r="B29" s="8" t="s">
        <v>115</v>
      </c>
      <c r="C29" s="3"/>
    </row>
    <row r="30" ht="39.75" customHeight="1">
      <c r="A30" s="6" t="s">
        <v>119</v>
      </c>
      <c r="B30" s="10" t="s">
        <v>121</v>
      </c>
      <c r="C30" s="3"/>
    </row>
    <row r="31" ht="15.75" customHeight="1"/>
    <row r="32" ht="18.0" customHeight="1">
      <c r="A32" s="5" t="s">
        <v>127</v>
      </c>
      <c r="B32" s="2"/>
      <c r="C32" s="3"/>
    </row>
    <row r="33" ht="39.75" customHeight="1">
      <c r="A33" s="6" t="s">
        <v>129</v>
      </c>
      <c r="B33" s="10" t="s">
        <v>130</v>
      </c>
      <c r="C33" s="3"/>
    </row>
    <row r="34" ht="24.0" customHeight="1">
      <c r="A34" s="6" t="s">
        <v>138</v>
      </c>
      <c r="B34" s="10" t="s">
        <v>140</v>
      </c>
      <c r="C34" s="3"/>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C1"/>
    <mergeCell ref="A2:C2"/>
    <mergeCell ref="A4:C4"/>
    <mergeCell ref="B5:C5"/>
    <mergeCell ref="B6:C6"/>
    <mergeCell ref="B7:C7"/>
    <mergeCell ref="A9:C9"/>
    <mergeCell ref="B10:C10"/>
    <mergeCell ref="B11:C11"/>
    <mergeCell ref="B12:C12"/>
    <mergeCell ref="B13:C13"/>
    <mergeCell ref="B14:C14"/>
    <mergeCell ref="A16:C16"/>
    <mergeCell ref="B17:C17"/>
    <mergeCell ref="A27:C27"/>
    <mergeCell ref="B28:C28"/>
    <mergeCell ref="B29:C29"/>
    <mergeCell ref="B30:C30"/>
    <mergeCell ref="A32:C32"/>
    <mergeCell ref="B33:C33"/>
    <mergeCell ref="B34:C34"/>
    <mergeCell ref="B18:C18"/>
    <mergeCell ref="B19:C19"/>
    <mergeCell ref="B20:C20"/>
    <mergeCell ref="A22:C22"/>
    <mergeCell ref="B23:C23"/>
    <mergeCell ref="B24:C24"/>
    <mergeCell ref="B25:C25"/>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7.0"/>
    <col customWidth="1" min="2" max="2" width="30.0"/>
    <col customWidth="1" min="3" max="4" width="16.0"/>
    <col customWidth="1" min="5" max="5" width="34.0"/>
    <col customWidth="1" min="6" max="6" width="20.0"/>
    <col customWidth="1" min="7" max="7" width="12.0"/>
    <col customWidth="1" min="8" max="8" width="20.0"/>
    <col customWidth="1" min="9" max="9" width="12.0"/>
    <col customWidth="1" min="10" max="10" width="18.0"/>
    <col customWidth="1" min="11" max="11" width="26.0"/>
    <col customWidth="1" min="12" max="12" width="30.0"/>
    <col customWidth="1" min="13" max="13" width="10.0"/>
    <col customWidth="1" min="14" max="14" width="16.0"/>
    <col customWidth="1" min="15" max="15" width="14.0"/>
    <col customWidth="1" min="16" max="16" width="26.0"/>
    <col customWidth="1" min="17" max="17" width="32.0"/>
    <col customWidth="1" min="18" max="18" width="16.0"/>
    <col customWidth="1" min="19" max="20" width="20.0"/>
    <col customWidth="1" min="21" max="26" width="8.71"/>
  </cols>
  <sheetData>
    <row r="1" ht="27.75" customHeight="1">
      <c r="A1" s="7" t="s">
        <v>4</v>
      </c>
      <c r="B1" s="2"/>
      <c r="C1" s="2"/>
      <c r="D1" s="2"/>
      <c r="E1" s="2"/>
      <c r="F1" s="2"/>
      <c r="G1" s="2"/>
      <c r="H1" s="2"/>
      <c r="I1" s="2"/>
      <c r="J1" s="2"/>
      <c r="K1" s="2"/>
      <c r="L1" s="2"/>
      <c r="M1" s="2"/>
      <c r="N1" s="2"/>
      <c r="O1" s="2"/>
      <c r="P1" s="2"/>
      <c r="Q1" s="2"/>
      <c r="R1" s="2"/>
      <c r="S1" s="2"/>
      <c r="T1" s="3"/>
    </row>
    <row r="2">
      <c r="A2" s="9" t="s">
        <v>15</v>
      </c>
      <c r="B2" s="9" t="s">
        <v>20</v>
      </c>
      <c r="C2" s="9" t="s">
        <v>12</v>
      </c>
      <c r="D2" s="9" t="s">
        <v>25</v>
      </c>
      <c r="E2" s="9" t="s">
        <v>28</v>
      </c>
      <c r="F2" s="9" t="s">
        <v>32</v>
      </c>
      <c r="G2" s="9" t="s">
        <v>34</v>
      </c>
      <c r="H2" s="9" t="s">
        <v>35</v>
      </c>
      <c r="I2" s="9" t="s">
        <v>38</v>
      </c>
      <c r="J2" s="9" t="s">
        <v>39</v>
      </c>
      <c r="K2" s="9" t="s">
        <v>40</v>
      </c>
      <c r="L2" s="9" t="s">
        <v>43</v>
      </c>
      <c r="M2" s="9" t="s">
        <v>46</v>
      </c>
      <c r="N2" s="9" t="s">
        <v>49</v>
      </c>
      <c r="O2" s="9" t="s">
        <v>54</v>
      </c>
      <c r="P2" s="9" t="s">
        <v>57</v>
      </c>
      <c r="Q2" s="9" t="s">
        <v>58</v>
      </c>
      <c r="R2" s="9" t="s">
        <v>60</v>
      </c>
      <c r="S2" s="9" t="s">
        <v>61</v>
      </c>
      <c r="T2" s="9" t="s">
        <v>63</v>
      </c>
    </row>
    <row r="3" ht="25.5" customHeight="1">
      <c r="A3" s="13">
        <v>1.0</v>
      </c>
      <c r="B3" s="15" t="s">
        <v>71</v>
      </c>
      <c r="C3" s="16" t="s">
        <v>75</v>
      </c>
      <c r="D3" s="16" t="s">
        <v>80</v>
      </c>
      <c r="E3" s="16" t="s">
        <v>81</v>
      </c>
      <c r="F3" s="16" t="s">
        <v>83</v>
      </c>
      <c r="G3" s="16" t="s">
        <v>84</v>
      </c>
      <c r="H3" s="16" t="s">
        <v>85</v>
      </c>
      <c r="I3" s="16"/>
      <c r="J3" s="16"/>
      <c r="K3" s="16"/>
      <c r="L3" s="16"/>
      <c r="M3" s="16"/>
      <c r="N3" s="16"/>
      <c r="O3" s="16"/>
      <c r="P3" s="16"/>
      <c r="Q3" s="16" t="s">
        <v>88</v>
      </c>
      <c r="R3" s="16"/>
      <c r="S3" s="16"/>
      <c r="T3" s="16"/>
    </row>
    <row r="4" ht="25.5" customHeight="1">
      <c r="A4" s="13">
        <v>2.0</v>
      </c>
      <c r="B4" s="15" t="s">
        <v>71</v>
      </c>
      <c r="C4" s="16" t="s">
        <v>75</v>
      </c>
      <c r="D4" s="16" t="s">
        <v>96</v>
      </c>
      <c r="E4" s="16" t="s">
        <v>98</v>
      </c>
      <c r="F4" s="16" t="s">
        <v>99</v>
      </c>
      <c r="G4" s="16" t="s">
        <v>100</v>
      </c>
      <c r="H4" s="16" t="s">
        <v>85</v>
      </c>
      <c r="I4" s="16"/>
      <c r="J4" s="16"/>
      <c r="K4" s="16"/>
      <c r="L4" s="16"/>
      <c r="M4" s="16"/>
      <c r="N4" s="16"/>
      <c r="O4" s="16"/>
      <c r="P4" s="16"/>
      <c r="Q4" s="16" t="s">
        <v>104</v>
      </c>
      <c r="R4" s="16"/>
      <c r="S4" s="16"/>
      <c r="T4" s="16"/>
    </row>
    <row r="5" ht="25.5" customHeight="1">
      <c r="A5" s="13">
        <v>3.0</v>
      </c>
      <c r="B5" s="15" t="s">
        <v>71</v>
      </c>
      <c r="C5" s="16" t="s">
        <v>75</v>
      </c>
      <c r="D5" s="16" t="s">
        <v>110</v>
      </c>
      <c r="E5" s="16" t="s">
        <v>111</v>
      </c>
      <c r="F5" s="16" t="s">
        <v>111</v>
      </c>
      <c r="G5" s="16" t="s">
        <v>112</v>
      </c>
      <c r="H5" s="16" t="s">
        <v>113</v>
      </c>
      <c r="I5" s="16"/>
      <c r="J5" s="16"/>
      <c r="K5" s="16"/>
      <c r="L5" s="16"/>
      <c r="M5" s="16"/>
      <c r="N5" s="16"/>
      <c r="O5" s="16"/>
      <c r="P5" s="16"/>
      <c r="Q5" s="16" t="s">
        <v>116</v>
      </c>
      <c r="R5" s="16"/>
      <c r="S5" s="16"/>
      <c r="T5" s="16"/>
    </row>
    <row r="6" ht="25.5" customHeight="1">
      <c r="A6" s="13">
        <v>4.0</v>
      </c>
      <c r="B6" s="15" t="s">
        <v>71</v>
      </c>
      <c r="C6" s="16" t="s">
        <v>75</v>
      </c>
      <c r="D6" s="16" t="s">
        <v>123</v>
      </c>
      <c r="E6" s="16" t="s">
        <v>124</v>
      </c>
      <c r="F6" s="16" t="s">
        <v>125</v>
      </c>
      <c r="G6" s="16" t="s">
        <v>126</v>
      </c>
      <c r="H6" s="16" t="s">
        <v>113</v>
      </c>
      <c r="I6" s="16"/>
      <c r="J6" s="16"/>
      <c r="K6" s="16"/>
      <c r="L6" s="16"/>
      <c r="M6" s="16"/>
      <c r="N6" s="16"/>
      <c r="O6" s="16"/>
      <c r="P6" s="16"/>
      <c r="Q6" s="16" t="s">
        <v>128</v>
      </c>
      <c r="R6" s="16"/>
      <c r="S6" s="16"/>
      <c r="T6" s="16"/>
    </row>
    <row r="7" ht="25.5" customHeight="1">
      <c r="A7" s="13">
        <v>5.0</v>
      </c>
      <c r="B7" s="15" t="s">
        <v>71</v>
      </c>
      <c r="C7" s="16" t="s">
        <v>75</v>
      </c>
      <c r="D7" s="16" t="s">
        <v>134</v>
      </c>
      <c r="E7" s="16" t="s">
        <v>136</v>
      </c>
      <c r="F7" s="16" t="s">
        <v>139</v>
      </c>
      <c r="G7" s="16" t="s">
        <v>141</v>
      </c>
      <c r="H7" s="16" t="s">
        <v>143</v>
      </c>
      <c r="I7" s="16"/>
      <c r="J7" s="16"/>
      <c r="K7" s="16"/>
      <c r="L7" s="16"/>
      <c r="M7" s="16"/>
      <c r="N7" s="16"/>
      <c r="O7" s="16"/>
      <c r="P7" s="16"/>
      <c r="Q7" s="16" t="s">
        <v>145</v>
      </c>
      <c r="R7" s="16"/>
      <c r="S7" s="16"/>
      <c r="T7" s="16"/>
    </row>
    <row r="8" ht="25.5" customHeight="1">
      <c r="A8" s="13">
        <v>6.0</v>
      </c>
      <c r="B8" s="15" t="s">
        <v>71</v>
      </c>
      <c r="C8" s="16" t="s">
        <v>75</v>
      </c>
      <c r="D8" s="16" t="s">
        <v>152</v>
      </c>
      <c r="E8" s="16" t="s">
        <v>153</v>
      </c>
      <c r="F8" s="16" t="s">
        <v>154</v>
      </c>
      <c r="G8" s="16" t="s">
        <v>155</v>
      </c>
      <c r="H8" s="16" t="s">
        <v>157</v>
      </c>
      <c r="I8" s="16"/>
      <c r="J8" s="16"/>
      <c r="K8" s="16"/>
      <c r="L8" s="16"/>
      <c r="M8" s="16"/>
      <c r="N8" s="16"/>
      <c r="O8" s="16"/>
      <c r="P8" s="16"/>
      <c r="Q8" s="16" t="s">
        <v>161</v>
      </c>
      <c r="R8" s="16"/>
      <c r="S8" s="16"/>
      <c r="T8" s="16"/>
    </row>
    <row r="9" ht="15.75" customHeight="1"/>
    <row r="10" ht="30.0" customHeight="1">
      <c r="A10" s="18"/>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autoFilter ref="$A$2:$T$2"/>
  <mergeCells count="2">
    <mergeCell ref="A1:T1"/>
    <mergeCell ref="A10:T10"/>
  </mergeCells>
  <dataValidations>
    <dataValidation type="list" allowBlank="1" sqref="R3:R8">
      <formula1>"Vigente,Concluído,Em tramitação,Arquivado,Cancelado,Não se aplica"</formula1>
    </dataValidation>
    <dataValidation type="list" allowBlank="1" sqref="N3:N8">
      <formula1>"PDF nato-digital,PDF digitalizado,DOCX,XLSX,HTML/SEI,Outro"</formula1>
    </dataValidation>
    <dataValidation type="list" allowBlank="1" sqref="D3:D8">
      <formula1>"TR,ETP,Edital,Contrato,Termo Aditivo,Apostilamento,Termo de Recebimento,Parecer Administrativo,Parecer Técnico,Parecer Jurídico,Planilha de Custos,Pesquisa de Preços,Medição,Nota Fiscal,Nota de Empenho,Ordem Bancária,Despacho,Ofício,Portaria,E-mail"</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0.0"/>
    <col customWidth="1" min="2" max="2" width="22.0"/>
    <col customWidth="1" min="3" max="3" width="26.0"/>
    <col customWidth="1" min="4" max="4" width="40.0"/>
    <col customWidth="1" min="5" max="5" width="46.0"/>
    <col customWidth="1" min="6" max="6" width="34.0"/>
    <col customWidth="1" min="7" max="7" width="20.0"/>
    <col customWidth="1" min="8" max="8" width="10.0"/>
    <col customWidth="1" min="9" max="9" width="22.0"/>
    <col customWidth="1" min="10" max="10" width="30.0"/>
    <col customWidth="1" min="11" max="12" width="14.0"/>
    <col customWidth="1" min="13" max="13" width="40.0"/>
    <col customWidth="1" min="14" max="26" width="8.71"/>
  </cols>
  <sheetData>
    <row r="1" ht="27.75" customHeight="1">
      <c r="A1" s="7" t="s">
        <v>3</v>
      </c>
      <c r="B1" s="2"/>
      <c r="C1" s="2"/>
      <c r="D1" s="2"/>
      <c r="E1" s="2"/>
      <c r="F1" s="2"/>
      <c r="G1" s="2"/>
      <c r="H1" s="2"/>
      <c r="I1" s="2"/>
      <c r="J1" s="2"/>
      <c r="K1" s="2"/>
      <c r="L1" s="2"/>
      <c r="M1" s="3"/>
    </row>
    <row r="2">
      <c r="A2" s="9" t="s">
        <v>9</v>
      </c>
      <c r="B2" s="9" t="s">
        <v>12</v>
      </c>
      <c r="C2" s="9" t="s">
        <v>13</v>
      </c>
      <c r="D2" s="9" t="s">
        <v>14</v>
      </c>
      <c r="E2" s="9" t="s">
        <v>16</v>
      </c>
      <c r="F2" s="9" t="s">
        <v>17</v>
      </c>
      <c r="G2" s="9" t="s">
        <v>19</v>
      </c>
      <c r="H2" s="9" t="s">
        <v>22</v>
      </c>
      <c r="I2" s="9" t="s">
        <v>23</v>
      </c>
      <c r="J2" s="9" t="s">
        <v>24</v>
      </c>
      <c r="K2" s="9" t="s">
        <v>26</v>
      </c>
      <c r="L2" s="9" t="s">
        <v>27</v>
      </c>
      <c r="M2" s="9" t="s">
        <v>30</v>
      </c>
    </row>
    <row r="3" ht="42.0" customHeight="1">
      <c r="A3" s="11" t="s">
        <v>33</v>
      </c>
      <c r="B3" s="11" t="s">
        <v>44</v>
      </c>
      <c r="C3" s="11" t="s">
        <v>45</v>
      </c>
      <c r="D3" s="11" t="s">
        <v>47</v>
      </c>
      <c r="E3" s="11" t="s">
        <v>48</v>
      </c>
      <c r="F3" s="11" t="s">
        <v>51</v>
      </c>
      <c r="G3" s="11" t="s">
        <v>53</v>
      </c>
      <c r="H3" s="12">
        <v>1.0</v>
      </c>
      <c r="I3" s="11" t="s">
        <v>56</v>
      </c>
      <c r="J3" s="11" t="s">
        <v>62</v>
      </c>
      <c r="K3" s="11" t="s">
        <v>64</v>
      </c>
      <c r="L3" s="11" t="s">
        <v>64</v>
      </c>
      <c r="M3" s="11" t="s">
        <v>67</v>
      </c>
    </row>
    <row r="4" ht="42.0" customHeight="1">
      <c r="A4" s="14" t="s">
        <v>68</v>
      </c>
      <c r="B4" s="14" t="s">
        <v>44</v>
      </c>
      <c r="C4" s="14" t="s">
        <v>74</v>
      </c>
      <c r="D4" s="14" t="s">
        <v>76</v>
      </c>
      <c r="E4" s="14" t="s">
        <v>77</v>
      </c>
      <c r="F4" s="14" t="s">
        <v>51</v>
      </c>
      <c r="G4" s="14" t="s">
        <v>53</v>
      </c>
      <c r="H4" s="17">
        <v>1.0</v>
      </c>
      <c r="I4" s="14" t="s">
        <v>56</v>
      </c>
      <c r="J4" s="14" t="s">
        <v>62</v>
      </c>
      <c r="K4" s="14" t="s">
        <v>64</v>
      </c>
      <c r="L4" s="14" t="s">
        <v>64</v>
      </c>
      <c r="M4" s="14" t="s">
        <v>67</v>
      </c>
    </row>
    <row r="5" ht="42.0" customHeight="1">
      <c r="A5" s="11" t="s">
        <v>90</v>
      </c>
      <c r="B5" s="11" t="s">
        <v>44</v>
      </c>
      <c r="C5" s="11" t="s">
        <v>92</v>
      </c>
      <c r="D5" s="11" t="s">
        <v>93</v>
      </c>
      <c r="E5" s="11" t="s">
        <v>94</v>
      </c>
      <c r="F5" s="11" t="s">
        <v>51</v>
      </c>
      <c r="G5" s="11" t="s">
        <v>53</v>
      </c>
      <c r="H5" s="12">
        <v>1.0</v>
      </c>
      <c r="I5" s="11" t="s">
        <v>56</v>
      </c>
      <c r="J5" s="11" t="s">
        <v>62</v>
      </c>
      <c r="K5" s="11" t="s">
        <v>101</v>
      </c>
      <c r="L5" s="11" t="s">
        <v>64</v>
      </c>
      <c r="M5" s="11" t="s">
        <v>67</v>
      </c>
    </row>
    <row r="6" ht="42.0" customHeight="1">
      <c r="A6" s="14" t="s">
        <v>103</v>
      </c>
      <c r="B6" s="14" t="s">
        <v>44</v>
      </c>
      <c r="C6" s="14" t="s">
        <v>105</v>
      </c>
      <c r="D6" s="14" t="s">
        <v>106</v>
      </c>
      <c r="E6" s="14" t="s">
        <v>107</v>
      </c>
      <c r="F6" s="14" t="s">
        <v>51</v>
      </c>
      <c r="G6" s="14" t="s">
        <v>53</v>
      </c>
      <c r="H6" s="17">
        <v>1.0</v>
      </c>
      <c r="I6" s="14" t="s">
        <v>56</v>
      </c>
      <c r="J6" s="14" t="s">
        <v>62</v>
      </c>
      <c r="K6" s="14" t="s">
        <v>101</v>
      </c>
      <c r="L6" s="14" t="s">
        <v>64</v>
      </c>
      <c r="M6" s="14" t="s">
        <v>67</v>
      </c>
    </row>
    <row r="7" ht="42.0" customHeight="1">
      <c r="A7" s="11" t="s">
        <v>117</v>
      </c>
      <c r="B7" s="11" t="s">
        <v>44</v>
      </c>
      <c r="C7" s="11" t="s">
        <v>118</v>
      </c>
      <c r="D7" s="11" t="s">
        <v>120</v>
      </c>
      <c r="E7" s="11" t="s">
        <v>122</v>
      </c>
      <c r="F7" s="11" t="s">
        <v>51</v>
      </c>
      <c r="G7" s="11" t="s">
        <v>53</v>
      </c>
      <c r="H7" s="12">
        <v>1.0</v>
      </c>
      <c r="I7" s="11" t="s">
        <v>56</v>
      </c>
      <c r="J7" s="11" t="s">
        <v>62</v>
      </c>
      <c r="K7" s="11" t="s">
        <v>101</v>
      </c>
      <c r="L7" s="11" t="s">
        <v>64</v>
      </c>
      <c r="M7" s="11" t="s">
        <v>67</v>
      </c>
    </row>
    <row r="8" ht="42.0" customHeight="1">
      <c r="A8" s="14" t="s">
        <v>131</v>
      </c>
      <c r="B8" s="14" t="s">
        <v>44</v>
      </c>
      <c r="C8" s="14" t="s">
        <v>132</v>
      </c>
      <c r="D8" s="14" t="s">
        <v>133</v>
      </c>
      <c r="E8" s="14" t="s">
        <v>135</v>
      </c>
      <c r="F8" s="14" t="s">
        <v>137</v>
      </c>
      <c r="G8" s="14" t="s">
        <v>53</v>
      </c>
      <c r="H8" s="17">
        <v>2.0</v>
      </c>
      <c r="I8" s="14" t="s">
        <v>142</v>
      </c>
      <c r="J8" s="14" t="s">
        <v>62</v>
      </c>
      <c r="K8" s="14" t="s">
        <v>101</v>
      </c>
      <c r="L8" s="14" t="s">
        <v>64</v>
      </c>
      <c r="M8" s="14" t="s">
        <v>67</v>
      </c>
    </row>
    <row r="9" ht="42.0" customHeight="1">
      <c r="A9" s="11" t="s">
        <v>144</v>
      </c>
      <c r="B9" s="11" t="s">
        <v>146</v>
      </c>
      <c r="C9" s="11" t="s">
        <v>147</v>
      </c>
      <c r="D9" s="11" t="s">
        <v>148</v>
      </c>
      <c r="E9" s="11" t="s">
        <v>149</v>
      </c>
      <c r="F9" s="11" t="s">
        <v>150</v>
      </c>
      <c r="G9" s="11" t="s">
        <v>53</v>
      </c>
      <c r="H9" s="12">
        <v>2.0</v>
      </c>
      <c r="I9" s="11" t="s">
        <v>151</v>
      </c>
      <c r="J9" s="11" t="s">
        <v>62</v>
      </c>
      <c r="K9" s="11" t="s">
        <v>101</v>
      </c>
      <c r="L9" s="11" t="s">
        <v>64</v>
      </c>
      <c r="M9" s="11" t="s">
        <v>67</v>
      </c>
    </row>
    <row r="10" ht="42.0" customHeight="1">
      <c r="A10" s="14" t="s">
        <v>156</v>
      </c>
      <c r="B10" s="14" t="s">
        <v>146</v>
      </c>
      <c r="C10" s="14" t="s">
        <v>158</v>
      </c>
      <c r="D10" s="14" t="s">
        <v>159</v>
      </c>
      <c r="E10" s="14" t="s">
        <v>160</v>
      </c>
      <c r="F10" s="14" t="s">
        <v>150</v>
      </c>
      <c r="G10" s="14" t="s">
        <v>53</v>
      </c>
      <c r="H10" s="17">
        <v>2.0</v>
      </c>
      <c r="I10" s="14" t="s">
        <v>151</v>
      </c>
      <c r="J10" s="14" t="s">
        <v>62</v>
      </c>
      <c r="K10" s="14" t="s">
        <v>101</v>
      </c>
      <c r="L10" s="14" t="s">
        <v>64</v>
      </c>
      <c r="M10" s="14" t="s">
        <v>67</v>
      </c>
    </row>
    <row r="11" ht="42.0" customHeight="1">
      <c r="A11" s="11" t="s">
        <v>162</v>
      </c>
      <c r="B11" s="11" t="s">
        <v>146</v>
      </c>
      <c r="C11" s="11" t="s">
        <v>163</v>
      </c>
      <c r="D11" s="11" t="s">
        <v>164</v>
      </c>
      <c r="E11" s="11" t="s">
        <v>165</v>
      </c>
      <c r="F11" s="11" t="s">
        <v>166</v>
      </c>
      <c r="G11" s="11" t="s">
        <v>53</v>
      </c>
      <c r="H11" s="12">
        <v>1.0</v>
      </c>
      <c r="I11" s="11" t="s">
        <v>167</v>
      </c>
      <c r="J11" s="11" t="s">
        <v>62</v>
      </c>
      <c r="K11" s="11" t="s">
        <v>101</v>
      </c>
      <c r="L11" s="11" t="s">
        <v>64</v>
      </c>
      <c r="M11" s="11" t="s">
        <v>67</v>
      </c>
    </row>
    <row r="12" ht="42.0" customHeight="1">
      <c r="A12" s="14" t="s">
        <v>168</v>
      </c>
      <c r="B12" s="14" t="s">
        <v>146</v>
      </c>
      <c r="C12" s="14" t="s">
        <v>169</v>
      </c>
      <c r="D12" s="14" t="s">
        <v>170</v>
      </c>
      <c r="E12" s="14" t="s">
        <v>171</v>
      </c>
      <c r="F12" s="14" t="s">
        <v>166</v>
      </c>
      <c r="G12" s="14" t="s">
        <v>53</v>
      </c>
      <c r="H12" s="17">
        <v>1.0</v>
      </c>
      <c r="I12" s="14" t="s">
        <v>167</v>
      </c>
      <c r="J12" s="14" t="s">
        <v>62</v>
      </c>
      <c r="K12" s="14" t="s">
        <v>101</v>
      </c>
      <c r="L12" s="14" t="s">
        <v>64</v>
      </c>
      <c r="M12" s="14" t="s">
        <v>67</v>
      </c>
    </row>
    <row r="13" ht="42.0" customHeight="1">
      <c r="A13" s="11" t="s">
        <v>172</v>
      </c>
      <c r="B13" s="11" t="s">
        <v>173</v>
      </c>
      <c r="C13" s="11" t="s">
        <v>174</v>
      </c>
      <c r="D13" s="11" t="s">
        <v>175</v>
      </c>
      <c r="E13" s="11" t="s">
        <v>176</v>
      </c>
      <c r="F13" s="11" t="s">
        <v>177</v>
      </c>
      <c r="G13" s="11" t="s">
        <v>53</v>
      </c>
      <c r="H13" s="12">
        <v>2.0</v>
      </c>
      <c r="I13" s="11" t="s">
        <v>178</v>
      </c>
      <c r="J13" s="11" t="s">
        <v>62</v>
      </c>
      <c r="K13" s="11" t="s">
        <v>64</v>
      </c>
      <c r="L13" s="11" t="s">
        <v>64</v>
      </c>
      <c r="M13" s="11" t="s">
        <v>67</v>
      </c>
    </row>
    <row r="14" ht="42.0" customHeight="1">
      <c r="A14" s="14" t="s">
        <v>179</v>
      </c>
      <c r="B14" s="14" t="s">
        <v>173</v>
      </c>
      <c r="C14" s="14" t="s">
        <v>180</v>
      </c>
      <c r="D14" s="14" t="s">
        <v>181</v>
      </c>
      <c r="E14" s="14" t="s">
        <v>182</v>
      </c>
      <c r="F14" s="14" t="s">
        <v>183</v>
      </c>
      <c r="G14" s="14" t="s">
        <v>53</v>
      </c>
      <c r="H14" s="17">
        <v>2.0</v>
      </c>
      <c r="I14" s="14" t="s">
        <v>184</v>
      </c>
      <c r="J14" s="14" t="s">
        <v>62</v>
      </c>
      <c r="K14" s="14" t="s">
        <v>101</v>
      </c>
      <c r="L14" s="14" t="s">
        <v>64</v>
      </c>
      <c r="M14" s="14" t="s">
        <v>67</v>
      </c>
    </row>
    <row r="15" ht="42.0" customHeight="1">
      <c r="A15" s="11" t="s">
        <v>186</v>
      </c>
      <c r="B15" s="11" t="s">
        <v>173</v>
      </c>
      <c r="C15" s="11" t="s">
        <v>187</v>
      </c>
      <c r="D15" s="11" t="s">
        <v>188</v>
      </c>
      <c r="E15" s="11" t="s">
        <v>189</v>
      </c>
      <c r="F15" s="11" t="s">
        <v>177</v>
      </c>
      <c r="G15" s="11" t="s">
        <v>53</v>
      </c>
      <c r="H15" s="12">
        <v>2.0</v>
      </c>
      <c r="I15" s="11" t="s">
        <v>178</v>
      </c>
      <c r="J15" s="11" t="s">
        <v>62</v>
      </c>
      <c r="K15" s="11" t="s">
        <v>101</v>
      </c>
      <c r="L15" s="11" t="s">
        <v>64</v>
      </c>
      <c r="M15" s="11" t="s">
        <v>67</v>
      </c>
    </row>
    <row r="16" ht="42.0" customHeight="1">
      <c r="A16" s="14" t="s">
        <v>190</v>
      </c>
      <c r="B16" s="14" t="s">
        <v>191</v>
      </c>
      <c r="C16" s="14" t="s">
        <v>192</v>
      </c>
      <c r="D16" s="14" t="s">
        <v>194</v>
      </c>
      <c r="E16" s="14" t="s">
        <v>195</v>
      </c>
      <c r="F16" s="14" t="s">
        <v>196</v>
      </c>
      <c r="G16" s="14" t="s">
        <v>53</v>
      </c>
      <c r="H16" s="17">
        <v>3.0</v>
      </c>
      <c r="I16" s="14" t="s">
        <v>197</v>
      </c>
      <c r="J16" s="14" t="s">
        <v>62</v>
      </c>
      <c r="K16" s="14" t="s">
        <v>101</v>
      </c>
      <c r="L16" s="14" t="s">
        <v>64</v>
      </c>
      <c r="M16" s="14" t="s">
        <v>67</v>
      </c>
    </row>
    <row r="17" ht="42.0" customHeight="1">
      <c r="A17" s="11" t="s">
        <v>199</v>
      </c>
      <c r="B17" s="11" t="s">
        <v>191</v>
      </c>
      <c r="C17" s="11" t="s">
        <v>200</v>
      </c>
      <c r="D17" s="11" t="s">
        <v>201</v>
      </c>
      <c r="E17" s="11" t="s">
        <v>202</v>
      </c>
      <c r="F17" s="11" t="s">
        <v>196</v>
      </c>
      <c r="G17" s="11" t="s">
        <v>53</v>
      </c>
      <c r="H17" s="12">
        <v>3.0</v>
      </c>
      <c r="I17" s="11" t="s">
        <v>197</v>
      </c>
      <c r="J17" s="11" t="s">
        <v>62</v>
      </c>
      <c r="K17" s="11" t="s">
        <v>64</v>
      </c>
      <c r="L17" s="11" t="s">
        <v>64</v>
      </c>
      <c r="M17" s="11" t="s">
        <v>67</v>
      </c>
    </row>
    <row r="18" ht="42.0" customHeight="1">
      <c r="A18" s="14" t="s">
        <v>203</v>
      </c>
      <c r="B18" s="14" t="s">
        <v>191</v>
      </c>
      <c r="C18" s="14" t="s">
        <v>204</v>
      </c>
      <c r="D18" s="14" t="s">
        <v>205</v>
      </c>
      <c r="E18" s="14" t="s">
        <v>206</v>
      </c>
      <c r="F18" s="14" t="s">
        <v>196</v>
      </c>
      <c r="G18" s="14" t="s">
        <v>53</v>
      </c>
      <c r="H18" s="17">
        <v>3.0</v>
      </c>
      <c r="I18" s="14" t="s">
        <v>197</v>
      </c>
      <c r="J18" s="14" t="s">
        <v>62</v>
      </c>
      <c r="K18" s="14" t="s">
        <v>101</v>
      </c>
      <c r="L18" s="14" t="s">
        <v>64</v>
      </c>
      <c r="M18" s="14" t="s">
        <v>67</v>
      </c>
    </row>
    <row r="19" ht="42.0" customHeight="1">
      <c r="A19" s="11" t="s">
        <v>208</v>
      </c>
      <c r="B19" s="11" t="s">
        <v>209</v>
      </c>
      <c r="C19" s="11" t="s">
        <v>210</v>
      </c>
      <c r="D19" s="11" t="s">
        <v>211</v>
      </c>
      <c r="E19" s="11" t="s">
        <v>212</v>
      </c>
      <c r="F19" s="11" t="s">
        <v>213</v>
      </c>
      <c r="G19" s="11" t="s">
        <v>53</v>
      </c>
      <c r="H19" s="12">
        <v>4.0</v>
      </c>
      <c r="I19" s="11" t="s">
        <v>214</v>
      </c>
      <c r="J19" s="11" t="s">
        <v>62</v>
      </c>
      <c r="K19" s="11" t="s">
        <v>101</v>
      </c>
      <c r="L19" s="11" t="s">
        <v>64</v>
      </c>
      <c r="M19" s="11" t="s">
        <v>67</v>
      </c>
    </row>
    <row r="20" ht="42.0" customHeight="1">
      <c r="A20" s="14" t="s">
        <v>215</v>
      </c>
      <c r="B20" s="14" t="s">
        <v>209</v>
      </c>
      <c r="C20" s="14" t="s">
        <v>216</v>
      </c>
      <c r="D20" s="14" t="s">
        <v>217</v>
      </c>
      <c r="E20" s="14" t="s">
        <v>218</v>
      </c>
      <c r="F20" s="14" t="s">
        <v>213</v>
      </c>
      <c r="G20" s="14" t="s">
        <v>53</v>
      </c>
      <c r="H20" s="17">
        <v>4.0</v>
      </c>
      <c r="I20" s="14" t="s">
        <v>214</v>
      </c>
      <c r="J20" s="14" t="s">
        <v>62</v>
      </c>
      <c r="K20" s="14" t="s">
        <v>101</v>
      </c>
      <c r="L20" s="14" t="s">
        <v>64</v>
      </c>
      <c r="M20" s="14" t="s">
        <v>67</v>
      </c>
    </row>
    <row r="21" ht="42.0" customHeight="1">
      <c r="A21" s="11" t="s">
        <v>219</v>
      </c>
      <c r="B21" s="11" t="s">
        <v>221</v>
      </c>
      <c r="C21" s="11" t="s">
        <v>222</v>
      </c>
      <c r="D21" s="11" t="s">
        <v>223</v>
      </c>
      <c r="E21" s="11" t="s">
        <v>224</v>
      </c>
      <c r="F21" s="11" t="s">
        <v>225</v>
      </c>
      <c r="G21" s="11" t="s">
        <v>53</v>
      </c>
      <c r="H21" s="12">
        <v>4.0</v>
      </c>
      <c r="I21" s="11" t="s">
        <v>214</v>
      </c>
      <c r="J21" s="11" t="s">
        <v>62</v>
      </c>
      <c r="K21" s="11" t="s">
        <v>101</v>
      </c>
      <c r="L21" s="11" t="s">
        <v>64</v>
      </c>
      <c r="M21" s="11" t="s">
        <v>67</v>
      </c>
    </row>
    <row r="22" ht="42.0" customHeight="1">
      <c r="A22" s="14" t="s">
        <v>226</v>
      </c>
      <c r="B22" s="14" t="s">
        <v>227</v>
      </c>
      <c r="C22" s="14" t="s">
        <v>228</v>
      </c>
      <c r="D22" s="14" t="s">
        <v>229</v>
      </c>
      <c r="E22" s="14" t="s">
        <v>230</v>
      </c>
      <c r="F22" s="14" t="s">
        <v>231</v>
      </c>
      <c r="G22" s="14" t="s">
        <v>53</v>
      </c>
      <c r="H22" s="17">
        <v>4.0</v>
      </c>
      <c r="I22" s="14" t="s">
        <v>214</v>
      </c>
      <c r="J22" s="14" t="s">
        <v>62</v>
      </c>
      <c r="K22" s="14" t="s">
        <v>101</v>
      </c>
      <c r="L22" s="14" t="s">
        <v>64</v>
      </c>
      <c r="M22" s="14" t="s">
        <v>67</v>
      </c>
    </row>
    <row r="23" ht="42.0" customHeight="1">
      <c r="A23" s="11" t="s">
        <v>232</v>
      </c>
      <c r="B23" s="11" t="s">
        <v>233</v>
      </c>
      <c r="C23" s="11" t="s">
        <v>234</v>
      </c>
      <c r="D23" s="11" t="s">
        <v>235</v>
      </c>
      <c r="E23" s="11" t="s">
        <v>236</v>
      </c>
      <c r="F23" s="11" t="s">
        <v>237</v>
      </c>
      <c r="G23" s="11" t="s">
        <v>53</v>
      </c>
      <c r="H23" s="12">
        <v>4.0</v>
      </c>
      <c r="I23" s="11" t="s">
        <v>238</v>
      </c>
      <c r="J23" s="11" t="s">
        <v>62</v>
      </c>
      <c r="K23" s="11" t="s">
        <v>101</v>
      </c>
      <c r="L23" s="11" t="s">
        <v>64</v>
      </c>
      <c r="M23" s="11" t="s">
        <v>67</v>
      </c>
    </row>
    <row r="24" ht="42.0" customHeight="1">
      <c r="A24" s="14" t="s">
        <v>240</v>
      </c>
      <c r="B24" s="14" t="s">
        <v>241</v>
      </c>
      <c r="C24" s="14" t="s">
        <v>242</v>
      </c>
      <c r="D24" s="14" t="s">
        <v>243</v>
      </c>
      <c r="E24" s="14" t="s">
        <v>244</v>
      </c>
      <c r="F24" s="14" t="s">
        <v>245</v>
      </c>
      <c r="G24" s="14" t="s">
        <v>53</v>
      </c>
      <c r="H24" s="17">
        <v>4.0</v>
      </c>
      <c r="I24" s="14" t="s">
        <v>246</v>
      </c>
      <c r="J24" s="14" t="s">
        <v>62</v>
      </c>
      <c r="K24" s="14" t="s">
        <v>101</v>
      </c>
      <c r="L24" s="14" t="s">
        <v>64</v>
      </c>
      <c r="M24" s="14" t="s">
        <v>67</v>
      </c>
    </row>
    <row r="25" ht="42.0" customHeight="1">
      <c r="A25" s="11" t="s">
        <v>247</v>
      </c>
      <c r="B25" s="11" t="s">
        <v>241</v>
      </c>
      <c r="C25" s="11" t="s">
        <v>248</v>
      </c>
      <c r="D25" s="11" t="s">
        <v>249</v>
      </c>
      <c r="E25" s="11" t="s">
        <v>250</v>
      </c>
      <c r="F25" s="11" t="s">
        <v>251</v>
      </c>
      <c r="G25" s="11" t="s">
        <v>53</v>
      </c>
      <c r="H25" s="12">
        <v>2.0</v>
      </c>
      <c r="I25" s="11" t="s">
        <v>178</v>
      </c>
      <c r="J25" s="11" t="s">
        <v>62</v>
      </c>
      <c r="K25" s="11" t="s">
        <v>101</v>
      </c>
      <c r="L25" s="11" t="s">
        <v>64</v>
      </c>
      <c r="M25" s="11" t="s">
        <v>67</v>
      </c>
    </row>
    <row r="26" ht="42.0" customHeight="1">
      <c r="A26" s="14" t="s">
        <v>252</v>
      </c>
      <c r="B26" s="14" t="s">
        <v>221</v>
      </c>
      <c r="C26" s="14" t="s">
        <v>253</v>
      </c>
      <c r="D26" s="14" t="s">
        <v>254</v>
      </c>
      <c r="E26" s="14" t="s">
        <v>255</v>
      </c>
      <c r="F26" s="14" t="s">
        <v>225</v>
      </c>
      <c r="G26" s="14" t="s">
        <v>53</v>
      </c>
      <c r="H26" s="17">
        <v>4.0</v>
      </c>
      <c r="I26" s="14" t="s">
        <v>214</v>
      </c>
      <c r="J26" s="14" t="s">
        <v>62</v>
      </c>
      <c r="K26" s="14" t="s">
        <v>101</v>
      </c>
      <c r="L26" s="14" t="s">
        <v>64</v>
      </c>
      <c r="M26" s="14" t="s">
        <v>67</v>
      </c>
    </row>
    <row r="27" ht="42.0" customHeight="1">
      <c r="A27" s="11" t="s">
        <v>257</v>
      </c>
      <c r="B27" s="11" t="s">
        <v>258</v>
      </c>
      <c r="C27" s="11" t="s">
        <v>259</v>
      </c>
      <c r="D27" s="11" t="s">
        <v>260</v>
      </c>
      <c r="E27" s="11" t="s">
        <v>261</v>
      </c>
      <c r="F27" s="11" t="s">
        <v>262</v>
      </c>
      <c r="G27" s="11" t="s">
        <v>53</v>
      </c>
      <c r="H27" s="12">
        <v>5.0</v>
      </c>
      <c r="I27" s="11" t="s">
        <v>263</v>
      </c>
      <c r="J27" s="11" t="s">
        <v>62</v>
      </c>
      <c r="K27" s="11" t="s">
        <v>101</v>
      </c>
      <c r="L27" s="11" t="s">
        <v>101</v>
      </c>
      <c r="M27" s="11" t="s">
        <v>67</v>
      </c>
    </row>
    <row r="28" ht="42.0" customHeight="1">
      <c r="A28" s="14" t="s">
        <v>264</v>
      </c>
      <c r="B28" s="14" t="s">
        <v>258</v>
      </c>
      <c r="C28" s="14" t="s">
        <v>265</v>
      </c>
      <c r="D28" s="14" t="s">
        <v>266</v>
      </c>
      <c r="E28" s="14" t="s">
        <v>267</v>
      </c>
      <c r="F28" s="14" t="s">
        <v>262</v>
      </c>
      <c r="G28" s="14" t="s">
        <v>53</v>
      </c>
      <c r="H28" s="17">
        <v>5.0</v>
      </c>
      <c r="I28" s="14" t="s">
        <v>263</v>
      </c>
      <c r="J28" s="14" t="s">
        <v>62</v>
      </c>
      <c r="K28" s="14" t="s">
        <v>101</v>
      </c>
      <c r="L28" s="14" t="s">
        <v>101</v>
      </c>
      <c r="M28" s="14" t="s">
        <v>67</v>
      </c>
    </row>
    <row r="29" ht="42.0" customHeight="1">
      <c r="A29" s="11" t="s">
        <v>269</v>
      </c>
      <c r="B29" s="11" t="s">
        <v>270</v>
      </c>
      <c r="C29" s="11" t="s">
        <v>271</v>
      </c>
      <c r="D29" s="11" t="s">
        <v>272</v>
      </c>
      <c r="E29" s="11" t="s">
        <v>273</v>
      </c>
      <c r="F29" s="11" t="s">
        <v>274</v>
      </c>
      <c r="G29" s="11" t="s">
        <v>53</v>
      </c>
      <c r="H29" s="12">
        <v>5.0</v>
      </c>
      <c r="I29" s="11" t="s">
        <v>275</v>
      </c>
      <c r="J29" s="11" t="s">
        <v>62</v>
      </c>
      <c r="K29" s="11" t="s">
        <v>101</v>
      </c>
      <c r="L29" s="11" t="s">
        <v>101</v>
      </c>
      <c r="M29" s="11" t="s">
        <v>67</v>
      </c>
    </row>
    <row r="30" ht="42.0" customHeight="1">
      <c r="A30" s="14" t="s">
        <v>276</v>
      </c>
      <c r="B30" s="14" t="s">
        <v>233</v>
      </c>
      <c r="C30" s="14" t="s">
        <v>277</v>
      </c>
      <c r="D30" s="14" t="s">
        <v>278</v>
      </c>
      <c r="E30" s="14" t="s">
        <v>279</v>
      </c>
      <c r="F30" s="14" t="s">
        <v>280</v>
      </c>
      <c r="G30" s="14" t="s">
        <v>53</v>
      </c>
      <c r="H30" s="17">
        <v>4.0</v>
      </c>
      <c r="I30" s="14" t="s">
        <v>281</v>
      </c>
      <c r="J30" s="14" t="s">
        <v>62</v>
      </c>
      <c r="K30" s="14" t="s">
        <v>101</v>
      </c>
      <c r="L30" s="14" t="s">
        <v>64</v>
      </c>
      <c r="M30" s="14" t="s">
        <v>67</v>
      </c>
    </row>
    <row r="31" ht="42.0" customHeight="1">
      <c r="A31" s="11" t="s">
        <v>284</v>
      </c>
      <c r="B31" s="11" t="s">
        <v>233</v>
      </c>
      <c r="C31" s="11" t="s">
        <v>285</v>
      </c>
      <c r="D31" s="11" t="s">
        <v>286</v>
      </c>
      <c r="E31" s="11" t="s">
        <v>287</v>
      </c>
      <c r="F31" s="11" t="s">
        <v>280</v>
      </c>
      <c r="G31" s="11" t="s">
        <v>53</v>
      </c>
      <c r="H31" s="12">
        <v>4.0</v>
      </c>
      <c r="I31" s="11" t="s">
        <v>281</v>
      </c>
      <c r="J31" s="11" t="s">
        <v>62</v>
      </c>
      <c r="K31" s="11" t="s">
        <v>101</v>
      </c>
      <c r="L31" s="11" t="s">
        <v>64</v>
      </c>
      <c r="M31" s="11" t="s">
        <v>67</v>
      </c>
    </row>
    <row r="32" ht="42.0" customHeight="1">
      <c r="A32" s="14" t="s">
        <v>288</v>
      </c>
      <c r="B32" s="14" t="s">
        <v>233</v>
      </c>
      <c r="C32" s="14" t="s">
        <v>289</v>
      </c>
      <c r="D32" s="14" t="s">
        <v>291</v>
      </c>
      <c r="E32" s="14" t="s">
        <v>292</v>
      </c>
      <c r="F32" s="14" t="s">
        <v>280</v>
      </c>
      <c r="G32" s="14" t="s">
        <v>53</v>
      </c>
      <c r="H32" s="17">
        <v>4.0</v>
      </c>
      <c r="I32" s="14" t="s">
        <v>281</v>
      </c>
      <c r="J32" s="14" t="s">
        <v>62</v>
      </c>
      <c r="K32" s="14" t="s">
        <v>101</v>
      </c>
      <c r="L32" s="14" t="s">
        <v>64</v>
      </c>
      <c r="M32" s="14" t="s">
        <v>67</v>
      </c>
    </row>
    <row r="33" ht="42.0" customHeight="1">
      <c r="A33" s="11" t="s">
        <v>294</v>
      </c>
      <c r="B33" s="11" t="s">
        <v>296</v>
      </c>
      <c r="C33" s="11" t="s">
        <v>297</v>
      </c>
      <c r="D33" s="11" t="s">
        <v>298</v>
      </c>
      <c r="E33" s="11" t="s">
        <v>299</v>
      </c>
      <c r="F33" s="11" t="s">
        <v>300</v>
      </c>
      <c r="G33" s="11" t="s">
        <v>53</v>
      </c>
      <c r="H33" s="12">
        <v>3.0</v>
      </c>
      <c r="I33" s="11" t="s">
        <v>301</v>
      </c>
      <c r="J33" s="11" t="s">
        <v>62</v>
      </c>
      <c r="K33" s="11" t="s">
        <v>64</v>
      </c>
      <c r="L33" s="11" t="s">
        <v>64</v>
      </c>
      <c r="M33" s="11" t="s">
        <v>67</v>
      </c>
    </row>
    <row r="34" ht="42.0" customHeight="1">
      <c r="A34" s="14" t="s">
        <v>302</v>
      </c>
      <c r="B34" s="14" t="s">
        <v>296</v>
      </c>
      <c r="C34" s="14" t="s">
        <v>303</v>
      </c>
      <c r="D34" s="14" t="s">
        <v>304</v>
      </c>
      <c r="E34" s="14" t="s">
        <v>305</v>
      </c>
      <c r="F34" s="14" t="s">
        <v>300</v>
      </c>
      <c r="G34" s="14" t="s">
        <v>53</v>
      </c>
      <c r="H34" s="17">
        <v>2.0</v>
      </c>
      <c r="I34" s="14" t="s">
        <v>301</v>
      </c>
      <c r="J34" s="14" t="s">
        <v>62</v>
      </c>
      <c r="K34" s="14" t="s">
        <v>64</v>
      </c>
      <c r="L34" s="14" t="s">
        <v>64</v>
      </c>
      <c r="M34" s="14" t="s">
        <v>67</v>
      </c>
    </row>
    <row r="35" ht="42.0" customHeight="1">
      <c r="A35" s="11" t="s">
        <v>307</v>
      </c>
      <c r="B35" s="11" t="s">
        <v>296</v>
      </c>
      <c r="C35" s="11" t="s">
        <v>308</v>
      </c>
      <c r="D35" s="11" t="s">
        <v>309</v>
      </c>
      <c r="E35" s="11" t="s">
        <v>310</v>
      </c>
      <c r="F35" s="11" t="s">
        <v>311</v>
      </c>
      <c r="G35" s="11" t="s">
        <v>53</v>
      </c>
      <c r="H35" s="12">
        <v>3.0</v>
      </c>
      <c r="I35" s="11" t="s">
        <v>312</v>
      </c>
      <c r="J35" s="11" t="s">
        <v>62</v>
      </c>
      <c r="K35" s="11" t="s">
        <v>64</v>
      </c>
      <c r="L35" s="11" t="s">
        <v>64</v>
      </c>
      <c r="M35" s="11" t="s">
        <v>67</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sheetData>
  <autoFilter ref="$A$2:$M$2"/>
  <mergeCells count="1">
    <mergeCell ref="A1:M1"/>
  </mergeCells>
  <dataValidations>
    <dataValidation type="list" allowBlank="1" sqref="H3:H35">
      <formula1>"1,2,3,4,5"</formula1>
    </dataValidation>
    <dataValidation type="list" allowBlank="1" sqref="B3:B35">
      <formula1>"Identificação,Localização,Extração,Organização,Interpretação,Identificação de Inconsistências,Detecção de Erros,Identificação de Omissões,Conformidade Documental,Análise de Risco,Comparação,Síntese,Rastreabilidade da Informação,Análise de Relações entre I"</formula1>
    </dataValidation>
    <dataValidation type="list" allowBlank="1" sqref="K3:L35">
      <formula1>"Sim,Não"</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4.43" defaultRowHeight="15.0"/>
  <cols>
    <col customWidth="1" min="1" max="1" width="8.0"/>
    <col customWidth="1" min="2" max="2" width="10.0"/>
    <col customWidth="1" min="3" max="3" width="19.14"/>
    <col customWidth="1" min="4" max="4" width="22.29"/>
    <col customWidth="1" min="5" max="5" width="11.86"/>
    <col customWidth="1" min="6" max="6" width="7.0"/>
    <col customWidth="1" hidden="1" min="7" max="7" width="71.29"/>
    <col customWidth="1" hidden="1" min="8" max="8" width="9.0"/>
    <col customWidth="1" hidden="1" min="9" max="9" width="8.0"/>
    <col customWidth="1" hidden="1" min="10" max="10" width="9.0"/>
    <col customWidth="1" hidden="1" min="11" max="11" width="8.0"/>
    <col customWidth="1" hidden="1" min="12" max="14" width="9.0"/>
    <col customWidth="1" hidden="1" min="15" max="15" width="12.0"/>
    <col customWidth="1" hidden="1" min="16" max="16" width="9.0"/>
    <col customWidth="1" hidden="1" min="17" max="17" width="8.0"/>
    <col customWidth="1" hidden="1" min="18" max="18" width="7.0"/>
    <col customWidth="1" hidden="1" min="19" max="19" width="18.0"/>
    <col customWidth="1" hidden="1" min="20" max="20" width="22.0"/>
    <col customWidth="1" min="21" max="21" width="26.0"/>
    <col customWidth="1" hidden="1" min="22" max="22" width="9.0"/>
    <col customWidth="1" min="23" max="23" width="8.0"/>
    <col customWidth="1" min="24" max="24" width="9.0"/>
    <col customWidth="1" min="25" max="25" width="8.0"/>
    <col customWidth="1" min="26" max="28" width="9.0"/>
    <col customWidth="1" min="29" max="29" width="12.0"/>
    <col customWidth="1" min="30" max="30" width="9.0"/>
    <col customWidth="1" min="31" max="31" width="8.0"/>
    <col customWidth="1" min="32" max="32" width="7.0"/>
    <col customWidth="1" min="33" max="33" width="18.0"/>
    <col customWidth="1" min="34" max="34" width="24.0"/>
    <col customWidth="1" min="35" max="35" width="26.0"/>
    <col customWidth="1" hidden="1" min="36" max="36" width="9.0"/>
    <col customWidth="1" min="37" max="37" width="8.0"/>
    <col customWidth="1" min="38" max="38" width="9.0"/>
    <col customWidth="1" min="39" max="39" width="8.0"/>
    <col customWidth="1" min="40" max="42" width="9.0"/>
    <col customWidth="1" min="43" max="43" width="12.0"/>
    <col customWidth="1" min="44" max="44" width="9.0"/>
    <col customWidth="1" min="45" max="45" width="8.0"/>
    <col customWidth="1" min="46" max="46" width="7.0"/>
    <col customWidth="1" min="47" max="47" width="18.0"/>
    <col customWidth="1" min="48" max="48" width="24.0"/>
    <col customWidth="1" hidden="1" min="49" max="49" width="26.0"/>
    <col customWidth="1" hidden="1" min="50" max="50" width="9.0"/>
    <col customWidth="1" hidden="1" min="51" max="51" width="8.0"/>
    <col customWidth="1" hidden="1" min="52" max="52" width="9.0"/>
    <col customWidth="1" hidden="1" min="53" max="53" width="8.0"/>
    <col customWidth="1" hidden="1" min="54" max="56" width="9.0"/>
    <col customWidth="1" hidden="1" min="57" max="57" width="12.0"/>
    <col customWidth="1" hidden="1" min="58" max="58" width="9.0"/>
    <col customWidth="1" hidden="1" min="59" max="59" width="8.0"/>
    <col customWidth="1" hidden="1" min="60" max="60" width="7.0"/>
    <col customWidth="1" hidden="1" min="61" max="61" width="18.0"/>
    <col customWidth="1" hidden="1" min="62" max="62" width="24.0"/>
    <col customWidth="1" min="63" max="63" width="26.0"/>
    <col customWidth="1" hidden="1" min="64" max="64" width="9.0"/>
    <col customWidth="1" min="65" max="65" width="8.0"/>
    <col customWidth="1" min="66" max="66" width="9.0"/>
    <col customWidth="1" min="67" max="67" width="8.0"/>
    <col customWidth="1" min="68" max="70" width="9.0"/>
    <col customWidth="1" min="71" max="71" width="12.0"/>
    <col customWidth="1" min="72" max="72" width="9.0"/>
    <col customWidth="1" min="73" max="73" width="8.0"/>
    <col customWidth="1" min="74" max="74" width="7.0"/>
    <col customWidth="1" min="75" max="75" width="18.0"/>
    <col customWidth="1" min="76" max="76" width="24.0"/>
    <col customWidth="1" min="77" max="77" width="26.0"/>
    <col customWidth="1" hidden="1" min="78" max="78" width="9.0"/>
    <col customWidth="1" min="79" max="79" width="8.0"/>
    <col customWidth="1" min="80" max="80" width="9.0"/>
    <col customWidth="1" min="81" max="81" width="8.0"/>
    <col customWidth="1" min="82" max="84" width="9.0"/>
    <col customWidth="1" min="85" max="85" width="12.0"/>
    <col customWidth="1" min="86" max="86" width="9.0"/>
    <col customWidth="1" min="87" max="87" width="8.0"/>
    <col customWidth="1" min="88" max="88" width="7.0"/>
    <col customWidth="1" min="89" max="89" width="18.0"/>
    <col customWidth="1" min="90" max="90" width="24.0"/>
    <col customWidth="1" hidden="1" min="91" max="91" width="26.0"/>
    <col customWidth="1" hidden="1" min="92" max="92" width="9.0"/>
    <col customWidth="1" hidden="1" min="93" max="93" width="8.0"/>
    <col customWidth="1" hidden="1" min="94" max="94" width="9.0"/>
    <col customWidth="1" hidden="1" min="95" max="95" width="8.0"/>
    <col customWidth="1" hidden="1" min="96" max="98" width="9.0"/>
    <col customWidth="1" hidden="1" min="99" max="99" width="12.0"/>
    <col customWidth="1" hidden="1" min="100" max="100" width="9.0"/>
    <col customWidth="1" hidden="1" min="101" max="101" width="8.0"/>
    <col customWidth="1" hidden="1" min="102" max="102" width="7.0"/>
    <col customWidth="1" hidden="1" min="103" max="103" width="18.0"/>
    <col customWidth="1" hidden="1" min="104" max="104" width="24.0"/>
    <col customWidth="1" min="105" max="105" width="26.0"/>
    <col customWidth="1" hidden="1" min="106" max="106" width="9.0"/>
    <col customWidth="1" min="107" max="107" width="8.0"/>
    <col customWidth="1" min="108" max="108" width="9.0"/>
    <col customWidth="1" min="109" max="109" width="8.0"/>
    <col customWidth="1" min="110" max="112" width="9.0"/>
    <col customWidth="1" min="113" max="113" width="12.0"/>
    <col customWidth="1" min="114" max="114" width="9.0"/>
    <col customWidth="1" min="115" max="115" width="8.0"/>
    <col customWidth="1" min="116" max="116" width="7.0"/>
    <col customWidth="1" min="117" max="117" width="18.0"/>
    <col customWidth="1" min="118" max="118" width="24.0"/>
    <col customWidth="1" min="119" max="119" width="26.0"/>
    <col customWidth="1" hidden="1" min="120" max="120" width="9.0"/>
    <col customWidth="1" min="121" max="121" width="8.0"/>
    <col customWidth="1" min="122" max="122" width="9.0"/>
    <col customWidth="1" min="123" max="123" width="8.0"/>
    <col customWidth="1" min="124" max="126" width="9.0"/>
    <col customWidth="1" min="127" max="127" width="12.0"/>
    <col customWidth="1" min="128" max="128" width="9.0"/>
    <col customWidth="1" min="129" max="129" width="8.0"/>
    <col customWidth="1" min="130" max="130" width="7.0"/>
    <col customWidth="1" min="131" max="131" width="18.0"/>
    <col customWidth="1" min="132" max="132" width="24.0"/>
  </cols>
  <sheetData>
    <row r="1" ht="27.75" customHeight="1">
      <c r="A1" s="7" t="s">
        <v>55</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3"/>
    </row>
    <row r="2" ht="19.5" customHeight="1">
      <c r="A2" s="19" t="s">
        <v>15</v>
      </c>
      <c r="B2" s="19" t="s">
        <v>9</v>
      </c>
      <c r="C2" s="19" t="s">
        <v>185</v>
      </c>
      <c r="D2" s="19" t="s">
        <v>14</v>
      </c>
      <c r="E2" s="19" t="s">
        <v>12</v>
      </c>
      <c r="F2" s="19" t="s">
        <v>193</v>
      </c>
      <c r="G2" s="20" t="s">
        <v>198</v>
      </c>
      <c r="H2" s="2"/>
      <c r="I2" s="2"/>
      <c r="J2" s="2"/>
      <c r="K2" s="2"/>
      <c r="L2" s="2"/>
      <c r="M2" s="2"/>
      <c r="N2" s="2"/>
      <c r="O2" s="2"/>
      <c r="P2" s="2"/>
      <c r="Q2" s="2"/>
      <c r="R2" s="2"/>
      <c r="S2" s="2"/>
      <c r="T2" s="3"/>
      <c r="U2" s="21" t="s">
        <v>207</v>
      </c>
      <c r="V2" s="2"/>
      <c r="W2" s="2"/>
      <c r="X2" s="2"/>
      <c r="Y2" s="2"/>
      <c r="Z2" s="2"/>
      <c r="AA2" s="2"/>
      <c r="AB2" s="2"/>
      <c r="AC2" s="2"/>
      <c r="AD2" s="2"/>
      <c r="AE2" s="2"/>
      <c r="AF2" s="2"/>
      <c r="AG2" s="2"/>
      <c r="AH2" s="3"/>
      <c r="AI2" s="22" t="s">
        <v>220</v>
      </c>
      <c r="AJ2" s="2"/>
      <c r="AK2" s="2"/>
      <c r="AL2" s="2"/>
      <c r="AM2" s="2"/>
      <c r="AN2" s="2"/>
      <c r="AO2" s="2"/>
      <c r="AP2" s="2"/>
      <c r="AQ2" s="2"/>
      <c r="AR2" s="2"/>
      <c r="AS2" s="2"/>
      <c r="AT2" s="2"/>
      <c r="AU2" s="2"/>
      <c r="AV2" s="3"/>
      <c r="AW2" s="23" t="s">
        <v>239</v>
      </c>
      <c r="AX2" s="2"/>
      <c r="AY2" s="2"/>
      <c r="AZ2" s="2"/>
      <c r="BA2" s="2"/>
      <c r="BB2" s="2"/>
      <c r="BC2" s="2"/>
      <c r="BD2" s="2"/>
      <c r="BE2" s="2"/>
      <c r="BF2" s="2"/>
      <c r="BG2" s="2"/>
      <c r="BH2" s="2"/>
      <c r="BI2" s="2"/>
      <c r="BJ2" s="3"/>
      <c r="BK2" s="24" t="s">
        <v>256</v>
      </c>
      <c r="BL2" s="2"/>
      <c r="BM2" s="2"/>
      <c r="BN2" s="2"/>
      <c r="BO2" s="2"/>
      <c r="BP2" s="2"/>
      <c r="BQ2" s="2"/>
      <c r="BR2" s="2"/>
      <c r="BS2" s="2"/>
      <c r="BT2" s="2"/>
      <c r="BU2" s="2"/>
      <c r="BV2" s="2"/>
      <c r="BW2" s="2"/>
      <c r="BX2" s="3"/>
      <c r="BY2" s="25" t="s">
        <v>268</v>
      </c>
      <c r="BZ2" s="2"/>
      <c r="CA2" s="2"/>
      <c r="CB2" s="2"/>
      <c r="CC2" s="2"/>
      <c r="CD2" s="2"/>
      <c r="CE2" s="2"/>
      <c r="CF2" s="2"/>
      <c r="CG2" s="2"/>
      <c r="CH2" s="2"/>
      <c r="CI2" s="2"/>
      <c r="CJ2" s="2"/>
      <c r="CK2" s="2"/>
      <c r="CL2" s="3"/>
      <c r="CM2" s="26" t="s">
        <v>282</v>
      </c>
      <c r="CN2" s="2"/>
      <c r="CO2" s="2"/>
      <c r="CP2" s="2"/>
      <c r="CQ2" s="2"/>
      <c r="CR2" s="2"/>
      <c r="CS2" s="2"/>
      <c r="CT2" s="2"/>
      <c r="CU2" s="2"/>
      <c r="CV2" s="2"/>
      <c r="CW2" s="2"/>
      <c r="CX2" s="2"/>
      <c r="CY2" s="2"/>
      <c r="CZ2" s="3"/>
      <c r="DA2" s="28" t="s">
        <v>293</v>
      </c>
      <c r="DB2" s="2"/>
      <c r="DC2" s="2"/>
      <c r="DD2" s="2"/>
      <c r="DE2" s="2"/>
      <c r="DF2" s="2"/>
      <c r="DG2" s="2"/>
      <c r="DH2" s="2"/>
      <c r="DI2" s="2"/>
      <c r="DJ2" s="2"/>
      <c r="DK2" s="2"/>
      <c r="DL2" s="2"/>
      <c r="DM2" s="2"/>
      <c r="DN2" s="3"/>
      <c r="DO2" s="30" t="s">
        <v>306</v>
      </c>
      <c r="DP2" s="2"/>
      <c r="DQ2" s="2"/>
      <c r="DR2" s="2"/>
      <c r="DS2" s="2"/>
      <c r="DT2" s="2"/>
      <c r="DU2" s="2"/>
      <c r="DV2" s="2"/>
      <c r="DW2" s="2"/>
      <c r="DX2" s="2"/>
      <c r="DY2" s="2"/>
      <c r="DZ2" s="2"/>
      <c r="EA2" s="2"/>
      <c r="EB2" s="3"/>
    </row>
    <row r="3" ht="27.75" customHeight="1">
      <c r="A3" s="32"/>
      <c r="B3" s="32"/>
      <c r="C3" s="32"/>
      <c r="D3" s="32"/>
      <c r="E3" s="32"/>
      <c r="F3" s="32"/>
      <c r="G3" s="33" t="s">
        <v>316</v>
      </c>
      <c r="H3" s="33" t="s">
        <v>317</v>
      </c>
      <c r="I3" s="33" t="s">
        <v>318</v>
      </c>
      <c r="J3" s="33" t="s">
        <v>319</v>
      </c>
      <c r="K3" s="33" t="s">
        <v>321</v>
      </c>
      <c r="L3" s="33" t="s">
        <v>322</v>
      </c>
      <c r="M3" s="33" t="s">
        <v>323</v>
      </c>
      <c r="N3" s="33" t="s">
        <v>324</v>
      </c>
      <c r="O3" s="33" t="s">
        <v>325</v>
      </c>
      <c r="P3" s="33" t="s">
        <v>326</v>
      </c>
      <c r="Q3" s="33" t="s">
        <v>328</v>
      </c>
      <c r="R3" s="33" t="s">
        <v>329</v>
      </c>
      <c r="S3" s="33" t="s">
        <v>330</v>
      </c>
      <c r="T3" s="33" t="s">
        <v>332</v>
      </c>
      <c r="U3" s="34" t="s">
        <v>316</v>
      </c>
      <c r="V3" s="34" t="s">
        <v>317</v>
      </c>
      <c r="W3" s="34" t="s">
        <v>318</v>
      </c>
      <c r="X3" s="34" t="s">
        <v>319</v>
      </c>
      <c r="Y3" s="34" t="s">
        <v>321</v>
      </c>
      <c r="Z3" s="34" t="s">
        <v>322</v>
      </c>
      <c r="AA3" s="34" t="s">
        <v>323</v>
      </c>
      <c r="AB3" s="34" t="s">
        <v>324</v>
      </c>
      <c r="AC3" s="34" t="s">
        <v>325</v>
      </c>
      <c r="AD3" s="34" t="s">
        <v>326</v>
      </c>
      <c r="AE3" s="34" t="s">
        <v>328</v>
      </c>
      <c r="AF3" s="34" t="s">
        <v>329</v>
      </c>
      <c r="AG3" s="34" t="s">
        <v>330</v>
      </c>
      <c r="AH3" s="34" t="s">
        <v>332</v>
      </c>
      <c r="AI3" s="35" t="s">
        <v>316</v>
      </c>
      <c r="AJ3" s="35" t="s">
        <v>317</v>
      </c>
      <c r="AK3" s="35" t="s">
        <v>318</v>
      </c>
      <c r="AL3" s="35" t="s">
        <v>319</v>
      </c>
      <c r="AM3" s="35" t="s">
        <v>321</v>
      </c>
      <c r="AN3" s="35" t="s">
        <v>322</v>
      </c>
      <c r="AO3" s="35" t="s">
        <v>323</v>
      </c>
      <c r="AP3" s="35" t="s">
        <v>324</v>
      </c>
      <c r="AQ3" s="35" t="s">
        <v>325</v>
      </c>
      <c r="AR3" s="35" t="s">
        <v>326</v>
      </c>
      <c r="AS3" s="35" t="s">
        <v>328</v>
      </c>
      <c r="AT3" s="35" t="s">
        <v>329</v>
      </c>
      <c r="AU3" s="35" t="s">
        <v>330</v>
      </c>
      <c r="AV3" s="35" t="s">
        <v>332</v>
      </c>
      <c r="AW3" s="36" t="s">
        <v>316</v>
      </c>
      <c r="AX3" s="36" t="s">
        <v>317</v>
      </c>
      <c r="AY3" s="36" t="s">
        <v>318</v>
      </c>
      <c r="AZ3" s="36" t="s">
        <v>319</v>
      </c>
      <c r="BA3" s="36" t="s">
        <v>321</v>
      </c>
      <c r="BB3" s="36" t="s">
        <v>322</v>
      </c>
      <c r="BC3" s="36" t="s">
        <v>323</v>
      </c>
      <c r="BD3" s="36" t="s">
        <v>324</v>
      </c>
      <c r="BE3" s="36" t="s">
        <v>325</v>
      </c>
      <c r="BF3" s="36" t="s">
        <v>326</v>
      </c>
      <c r="BG3" s="36" t="s">
        <v>328</v>
      </c>
      <c r="BH3" s="36" t="s">
        <v>329</v>
      </c>
      <c r="BI3" s="36" t="s">
        <v>330</v>
      </c>
      <c r="BJ3" s="36" t="s">
        <v>332</v>
      </c>
      <c r="BK3" s="37" t="s">
        <v>316</v>
      </c>
      <c r="BL3" s="37" t="s">
        <v>317</v>
      </c>
      <c r="BM3" s="37" t="s">
        <v>318</v>
      </c>
      <c r="BN3" s="37" t="s">
        <v>319</v>
      </c>
      <c r="BO3" s="37" t="s">
        <v>321</v>
      </c>
      <c r="BP3" s="37" t="s">
        <v>322</v>
      </c>
      <c r="BQ3" s="37" t="s">
        <v>323</v>
      </c>
      <c r="BR3" s="37" t="s">
        <v>324</v>
      </c>
      <c r="BS3" s="37" t="s">
        <v>325</v>
      </c>
      <c r="BT3" s="37" t="s">
        <v>326</v>
      </c>
      <c r="BU3" s="37" t="s">
        <v>328</v>
      </c>
      <c r="BV3" s="37" t="s">
        <v>329</v>
      </c>
      <c r="BW3" s="37" t="s">
        <v>330</v>
      </c>
      <c r="BX3" s="37" t="s">
        <v>332</v>
      </c>
      <c r="BY3" s="38" t="s">
        <v>316</v>
      </c>
      <c r="BZ3" s="39" t="s">
        <v>317</v>
      </c>
      <c r="CA3" s="39" t="s">
        <v>318</v>
      </c>
      <c r="CB3" s="39" t="s">
        <v>319</v>
      </c>
      <c r="CC3" s="39" t="s">
        <v>321</v>
      </c>
      <c r="CD3" s="39" t="s">
        <v>322</v>
      </c>
      <c r="CE3" s="39" t="s">
        <v>323</v>
      </c>
      <c r="CF3" s="39" t="s">
        <v>324</v>
      </c>
      <c r="CG3" s="39" t="s">
        <v>325</v>
      </c>
      <c r="CH3" s="39" t="s">
        <v>326</v>
      </c>
      <c r="CI3" s="39" t="s">
        <v>328</v>
      </c>
      <c r="CJ3" s="39" t="s">
        <v>329</v>
      </c>
      <c r="CK3" s="39" t="s">
        <v>330</v>
      </c>
      <c r="CL3" s="39" t="s">
        <v>332</v>
      </c>
      <c r="CM3" s="41" t="s">
        <v>316</v>
      </c>
      <c r="CN3" s="41" t="s">
        <v>317</v>
      </c>
      <c r="CO3" s="41" t="s">
        <v>318</v>
      </c>
      <c r="CP3" s="41" t="s">
        <v>319</v>
      </c>
      <c r="CQ3" s="41" t="s">
        <v>321</v>
      </c>
      <c r="CR3" s="41" t="s">
        <v>322</v>
      </c>
      <c r="CS3" s="41" t="s">
        <v>323</v>
      </c>
      <c r="CT3" s="41" t="s">
        <v>324</v>
      </c>
      <c r="CU3" s="41" t="s">
        <v>325</v>
      </c>
      <c r="CV3" s="41" t="s">
        <v>326</v>
      </c>
      <c r="CW3" s="41" t="s">
        <v>328</v>
      </c>
      <c r="CX3" s="41" t="s">
        <v>329</v>
      </c>
      <c r="CY3" s="41" t="s">
        <v>330</v>
      </c>
      <c r="CZ3" s="41" t="s">
        <v>332</v>
      </c>
      <c r="DA3" s="42" t="s">
        <v>316</v>
      </c>
      <c r="DB3" s="42" t="s">
        <v>317</v>
      </c>
      <c r="DC3" s="42" t="s">
        <v>318</v>
      </c>
      <c r="DD3" s="42" t="s">
        <v>319</v>
      </c>
      <c r="DE3" s="42" t="s">
        <v>321</v>
      </c>
      <c r="DF3" s="42" t="s">
        <v>322</v>
      </c>
      <c r="DG3" s="42" t="s">
        <v>323</v>
      </c>
      <c r="DH3" s="42" t="s">
        <v>324</v>
      </c>
      <c r="DI3" s="42" t="s">
        <v>325</v>
      </c>
      <c r="DJ3" s="42" t="s">
        <v>326</v>
      </c>
      <c r="DK3" s="42" t="s">
        <v>328</v>
      </c>
      <c r="DL3" s="42" t="s">
        <v>329</v>
      </c>
      <c r="DM3" s="42" t="s">
        <v>330</v>
      </c>
      <c r="DN3" s="42" t="s">
        <v>332</v>
      </c>
      <c r="DO3" s="43" t="s">
        <v>316</v>
      </c>
      <c r="DP3" s="43" t="s">
        <v>317</v>
      </c>
      <c r="DQ3" s="43" t="s">
        <v>318</v>
      </c>
      <c r="DR3" s="43" t="s">
        <v>319</v>
      </c>
      <c r="DS3" s="43" t="s">
        <v>321</v>
      </c>
      <c r="DT3" s="43" t="s">
        <v>322</v>
      </c>
      <c r="DU3" s="43" t="s">
        <v>323</v>
      </c>
      <c r="DV3" s="43" t="s">
        <v>324</v>
      </c>
      <c r="DW3" s="43" t="s">
        <v>325</v>
      </c>
      <c r="DX3" s="43" t="s">
        <v>326</v>
      </c>
      <c r="DY3" s="43" t="s">
        <v>328</v>
      </c>
      <c r="DZ3" s="43" t="s">
        <v>329</v>
      </c>
      <c r="EA3" s="43" t="s">
        <v>330</v>
      </c>
      <c r="EB3" s="43" t="s">
        <v>332</v>
      </c>
    </row>
    <row r="4" ht="15.75" customHeight="1">
      <c r="A4" s="14">
        <v>11.0</v>
      </c>
      <c r="B4" s="14" t="s">
        <v>33</v>
      </c>
      <c r="C4" s="14" t="str">
        <f t="array" ref="C4">IFERROR(INDEX(DOCUMENTOS!$E:$E,MATCH($A4,DOCUMENTOS!$A:$A,0)),"")</f>
        <v/>
      </c>
      <c r="D4" s="14" t="str">
        <f t="array" ref="D4">IFERROR(INDEX('BANCO DE PERGUNTAS'!$D:$D,MATCH($B4,'BANCO DE PERGUNTAS'!$A:$A,0)),"")</f>
        <v>Qual é o objeto principal deste documento?</v>
      </c>
      <c r="E4" s="14" t="str">
        <f t="array" ref="E4">IFERROR(INDEX('BANCO DE PERGUNTAS'!$B:$B,MATCH($B4,'BANCO DE PERGUNTAS'!$A:$A,0)),"")</f>
        <v>Identificação</v>
      </c>
      <c r="F4" s="17">
        <f t="array" ref="F4">IFERROR(INDEX('BANCO DE PERGUNTAS'!$H:$H,MATCH($B4,'BANCO DE PERGUNTAS'!$A:$A,0)),"")</f>
        <v>1</v>
      </c>
      <c r="I4" s="50"/>
      <c r="J4" s="50"/>
      <c r="K4" s="50"/>
      <c r="L4" s="50"/>
      <c r="M4" s="50"/>
      <c r="N4" s="50"/>
      <c r="O4" s="50"/>
      <c r="P4" s="50"/>
      <c r="Q4" s="50"/>
      <c r="R4" s="50"/>
      <c r="S4" s="50"/>
      <c r="U4" s="51" t="s">
        <v>366</v>
      </c>
      <c r="W4" s="50">
        <v>2.0</v>
      </c>
      <c r="X4" s="50">
        <v>2.0</v>
      </c>
      <c r="Y4" s="50">
        <v>2.0</v>
      </c>
      <c r="Z4" s="50">
        <v>2.0</v>
      </c>
      <c r="AA4" s="50">
        <v>2.0</v>
      </c>
      <c r="AB4" s="50">
        <v>2.0</v>
      </c>
      <c r="AC4" s="50">
        <v>2.0</v>
      </c>
      <c r="AD4" s="50" t="s">
        <v>64</v>
      </c>
      <c r="AE4" s="50" t="s">
        <v>64</v>
      </c>
      <c r="AF4" s="50" t="s">
        <v>64</v>
      </c>
      <c r="AG4" s="50"/>
      <c r="AI4" s="52" t="s">
        <v>367</v>
      </c>
      <c r="AK4" s="50">
        <v>2.0</v>
      </c>
      <c r="AL4" s="50">
        <v>2.0</v>
      </c>
      <c r="AM4" s="50">
        <v>2.0</v>
      </c>
      <c r="AN4" s="50">
        <v>2.0</v>
      </c>
      <c r="AO4" s="50">
        <v>2.0</v>
      </c>
      <c r="AP4" s="50">
        <v>2.0</v>
      </c>
      <c r="AQ4" s="50">
        <v>2.0</v>
      </c>
      <c r="AR4" s="50" t="s">
        <v>64</v>
      </c>
      <c r="AS4" s="50" t="s">
        <v>64</v>
      </c>
      <c r="AT4" s="50" t="s">
        <v>64</v>
      </c>
      <c r="AU4" s="50"/>
      <c r="AY4" s="50"/>
      <c r="AZ4" s="50"/>
      <c r="BA4" s="50"/>
      <c r="BB4" s="50"/>
      <c r="BC4" s="50"/>
      <c r="BD4" s="50"/>
      <c r="BE4" s="50"/>
      <c r="BF4" s="50"/>
      <c r="BG4" s="50"/>
      <c r="BH4" s="50"/>
      <c r="BI4" s="50"/>
      <c r="BK4" s="53" t="s">
        <v>368</v>
      </c>
      <c r="BM4" s="50">
        <v>2.0</v>
      </c>
      <c r="BN4" s="50">
        <v>2.0</v>
      </c>
      <c r="BO4" s="50">
        <v>2.0</v>
      </c>
      <c r="BP4" s="50">
        <v>2.0</v>
      </c>
      <c r="BQ4" s="50">
        <v>2.0</v>
      </c>
      <c r="BR4" s="50">
        <v>2.0</v>
      </c>
      <c r="BS4" s="50">
        <v>2.0</v>
      </c>
      <c r="BT4" s="50" t="s">
        <v>64</v>
      </c>
      <c r="BU4" s="50" t="s">
        <v>64</v>
      </c>
      <c r="BV4" s="50" t="s">
        <v>64</v>
      </c>
      <c r="BW4" s="50"/>
      <c r="BY4" s="58" t="s">
        <v>382</v>
      </c>
      <c r="CA4" s="50">
        <v>2.0</v>
      </c>
      <c r="CB4" s="50">
        <v>2.0</v>
      </c>
      <c r="CC4" s="50">
        <v>2.0</v>
      </c>
      <c r="CD4" s="50">
        <v>2.0</v>
      </c>
      <c r="CE4" s="50">
        <v>2.0</v>
      </c>
      <c r="CF4" s="50">
        <v>2.0</v>
      </c>
      <c r="CG4" s="50">
        <v>2.0</v>
      </c>
      <c r="CH4" s="50" t="s">
        <v>64</v>
      </c>
      <c r="CI4" s="50" t="s">
        <v>64</v>
      </c>
      <c r="CJ4" s="50" t="s">
        <v>64</v>
      </c>
      <c r="CK4" s="50"/>
      <c r="CO4" s="50"/>
      <c r="CP4" s="50"/>
      <c r="CQ4" s="50"/>
      <c r="CR4" s="50"/>
      <c r="CS4" s="50"/>
      <c r="CT4" s="50"/>
      <c r="CU4" s="50"/>
      <c r="CV4" s="50"/>
      <c r="CW4" s="50"/>
      <c r="CX4" s="50"/>
      <c r="CY4" s="50"/>
      <c r="DA4" s="59" t="s">
        <v>385</v>
      </c>
      <c r="DC4" s="50">
        <v>2.0</v>
      </c>
      <c r="DD4" s="50">
        <v>2.0</v>
      </c>
      <c r="DE4" s="50">
        <v>2.0</v>
      </c>
      <c r="DF4" s="50">
        <v>2.0</v>
      </c>
      <c r="DG4" s="50">
        <v>2.0</v>
      </c>
      <c r="DH4" s="50">
        <v>2.0</v>
      </c>
      <c r="DI4" s="50">
        <v>2.0</v>
      </c>
      <c r="DJ4" s="50" t="s">
        <v>64</v>
      </c>
      <c r="DK4" s="50" t="s">
        <v>64</v>
      </c>
      <c r="DL4" s="50" t="s">
        <v>64</v>
      </c>
      <c r="DM4" s="50"/>
      <c r="DO4" s="60" t="s">
        <v>393</v>
      </c>
      <c r="DQ4" s="50">
        <v>2.0</v>
      </c>
      <c r="DR4" s="50">
        <v>2.0</v>
      </c>
      <c r="DS4" s="50">
        <v>2.0</v>
      </c>
      <c r="DT4" s="50">
        <v>2.0</v>
      </c>
      <c r="DU4" s="50">
        <v>2.0</v>
      </c>
      <c r="DV4" s="50">
        <v>2.0</v>
      </c>
      <c r="DW4" s="50">
        <v>2.0</v>
      </c>
      <c r="DX4" s="50" t="s">
        <v>64</v>
      </c>
      <c r="DY4" s="50" t="s">
        <v>64</v>
      </c>
      <c r="DZ4" s="50" t="s">
        <v>64</v>
      </c>
      <c r="EA4" s="50"/>
    </row>
    <row r="5" ht="15.75" customHeight="1">
      <c r="A5" s="11">
        <v>11.0</v>
      </c>
      <c r="B5" s="11" t="s">
        <v>68</v>
      </c>
      <c r="C5" s="11" t="str">
        <f t="array" ref="C5">IFERROR(INDEX(DOCUMENTOS!$E:$E,MATCH($A5,DOCUMENTOS!$A:$A,0)),"")</f>
        <v/>
      </c>
      <c r="D5" s="11" t="str">
        <f t="array" ref="D5">IFERROR(INDEX('BANCO DE PERGUNTAS'!$D:$D,MATCH($B5,'BANCO DE PERGUNTAS'!$A:$A,0)),"")</f>
        <v>Qual é o número ou identificação do documento?</v>
      </c>
      <c r="E5" s="11" t="str">
        <f t="array" ref="E5">IFERROR(INDEX('BANCO DE PERGUNTAS'!$B:$B,MATCH($B5,'BANCO DE PERGUNTAS'!$A:$A,0)),"")</f>
        <v>Identificação</v>
      </c>
      <c r="F5" s="12">
        <f t="array" ref="F5">IFERROR(INDEX('BANCO DE PERGUNTAS'!$H:$H,MATCH($B5,'BANCO DE PERGUNTAS'!$A:$A,0)),"")</f>
        <v>1</v>
      </c>
      <c r="I5" s="50"/>
      <c r="J5" s="50"/>
      <c r="K5" s="50"/>
      <c r="L5" s="50"/>
      <c r="M5" s="50"/>
      <c r="N5" s="50"/>
      <c r="O5" s="50"/>
      <c r="P5" s="50"/>
      <c r="Q5" s="50"/>
      <c r="R5" s="50"/>
      <c r="S5" s="50"/>
      <c r="U5" s="63" t="s">
        <v>422</v>
      </c>
      <c r="W5" s="50">
        <v>2.0</v>
      </c>
      <c r="X5" s="50">
        <v>2.0</v>
      </c>
      <c r="Y5" s="50">
        <v>2.0</v>
      </c>
      <c r="Z5" s="50">
        <v>2.0</v>
      </c>
      <c r="AA5" s="50">
        <v>2.0</v>
      </c>
      <c r="AB5" s="50">
        <v>2.0</v>
      </c>
      <c r="AC5" s="50">
        <v>2.0</v>
      </c>
      <c r="AD5" s="50" t="s">
        <v>64</v>
      </c>
      <c r="AE5" s="50" t="s">
        <v>64</v>
      </c>
      <c r="AF5" s="50" t="s">
        <v>64</v>
      </c>
      <c r="AG5" s="50"/>
      <c r="AI5" s="52" t="s">
        <v>423</v>
      </c>
      <c r="AK5" s="50">
        <v>2.0</v>
      </c>
      <c r="AL5" s="50">
        <v>2.0</v>
      </c>
      <c r="AM5" s="50">
        <v>2.0</v>
      </c>
      <c r="AN5" s="50">
        <v>2.0</v>
      </c>
      <c r="AO5" s="50">
        <v>2.0</v>
      </c>
      <c r="AP5" s="50">
        <v>2.0</v>
      </c>
      <c r="AQ5" s="50">
        <v>2.0</v>
      </c>
      <c r="AR5" s="50" t="s">
        <v>64</v>
      </c>
      <c r="AS5" s="50" t="s">
        <v>64</v>
      </c>
      <c r="AT5" s="50" t="s">
        <v>64</v>
      </c>
      <c r="AU5" s="50"/>
      <c r="AY5" s="50"/>
      <c r="AZ5" s="50"/>
      <c r="BA5" s="50"/>
      <c r="BB5" s="50"/>
      <c r="BC5" s="50"/>
      <c r="BD5" s="50"/>
      <c r="BE5" s="50"/>
      <c r="BF5" s="50"/>
      <c r="BG5" s="50"/>
      <c r="BH5" s="50"/>
      <c r="BI5" s="50"/>
      <c r="BK5" s="53" t="s">
        <v>432</v>
      </c>
      <c r="BM5" s="50">
        <v>2.0</v>
      </c>
      <c r="BN5" s="50">
        <v>2.0</v>
      </c>
      <c r="BO5" s="50">
        <v>2.0</v>
      </c>
      <c r="BP5" s="50">
        <v>2.0</v>
      </c>
      <c r="BQ5" s="50">
        <v>2.0</v>
      </c>
      <c r="BR5" s="50">
        <v>2.0</v>
      </c>
      <c r="BS5" s="50">
        <v>2.0</v>
      </c>
      <c r="BT5" s="50" t="s">
        <v>64</v>
      </c>
      <c r="BU5" s="50" t="s">
        <v>64</v>
      </c>
      <c r="BV5" s="50" t="s">
        <v>64</v>
      </c>
      <c r="BW5" s="50"/>
      <c r="BY5" s="58" t="s">
        <v>434</v>
      </c>
      <c r="CA5" s="50">
        <v>2.0</v>
      </c>
      <c r="CB5" s="50">
        <v>2.0</v>
      </c>
      <c r="CC5" s="50">
        <v>2.0</v>
      </c>
      <c r="CD5" s="50">
        <v>2.0</v>
      </c>
      <c r="CE5" s="50">
        <v>2.0</v>
      </c>
      <c r="CF5" s="50">
        <v>2.0</v>
      </c>
      <c r="CG5" s="50">
        <v>2.0</v>
      </c>
      <c r="CH5" s="50" t="s">
        <v>64</v>
      </c>
      <c r="CI5" s="50" t="s">
        <v>64</v>
      </c>
      <c r="CJ5" s="50" t="s">
        <v>64</v>
      </c>
      <c r="CK5" s="50"/>
      <c r="CO5" s="50"/>
      <c r="CP5" s="50"/>
      <c r="CQ5" s="50"/>
      <c r="CR5" s="50"/>
      <c r="CS5" s="50"/>
      <c r="CT5" s="50"/>
      <c r="CU5" s="50"/>
      <c r="CV5" s="50"/>
      <c r="CW5" s="50"/>
      <c r="CX5" s="50"/>
      <c r="CY5" s="50"/>
      <c r="DA5" s="59" t="s">
        <v>435</v>
      </c>
      <c r="DC5" s="50">
        <v>2.0</v>
      </c>
      <c r="DD5" s="50">
        <v>2.0</v>
      </c>
      <c r="DE5" s="50">
        <v>2.0</v>
      </c>
      <c r="DF5" s="50">
        <v>2.0</v>
      </c>
      <c r="DG5" s="50">
        <v>2.0</v>
      </c>
      <c r="DH5" s="50">
        <v>2.0</v>
      </c>
      <c r="DI5" s="50">
        <v>2.0</v>
      </c>
      <c r="DJ5" s="50" t="s">
        <v>64</v>
      </c>
      <c r="DK5" s="50" t="s">
        <v>64</v>
      </c>
      <c r="DL5" s="50" t="s">
        <v>64</v>
      </c>
      <c r="DM5" s="50"/>
      <c r="DO5" s="60" t="s">
        <v>439</v>
      </c>
      <c r="DQ5" s="50">
        <v>1.0</v>
      </c>
      <c r="DR5" s="50">
        <v>2.0</v>
      </c>
      <c r="DS5" s="50">
        <v>1.0</v>
      </c>
      <c r="DT5" s="50">
        <v>1.0</v>
      </c>
      <c r="DU5" s="50">
        <v>2.0</v>
      </c>
      <c r="DV5" s="50">
        <v>2.0</v>
      </c>
      <c r="DW5" s="50">
        <v>1.0</v>
      </c>
      <c r="DX5" s="50" t="s">
        <v>64</v>
      </c>
      <c r="DY5" s="50" t="s">
        <v>64</v>
      </c>
      <c r="DZ5" s="50" t="s">
        <v>101</v>
      </c>
      <c r="EA5" s="50" t="s">
        <v>447</v>
      </c>
    </row>
    <row r="6" ht="15.75" customHeight="1">
      <c r="A6" s="14">
        <v>11.0</v>
      </c>
      <c r="B6" s="14" t="s">
        <v>90</v>
      </c>
      <c r="C6" s="14" t="str">
        <f t="array" ref="C6">IFERROR(INDEX(DOCUMENTOS!$E:$E,MATCH($A6,DOCUMENTOS!$A:$A,0)),"")</f>
        <v/>
      </c>
      <c r="D6" s="14" t="str">
        <f t="array" ref="D6">IFERROR(INDEX('BANCO DE PERGUNTAS'!$D:$D,MATCH($B6,'BANCO DE PERGUNTAS'!$A:$A,0)),"")</f>
        <v>Qual é o número do processo relacionado?</v>
      </c>
      <c r="E6" s="14" t="str">
        <f t="array" ref="E6">IFERROR(INDEX('BANCO DE PERGUNTAS'!$B:$B,MATCH($B6,'BANCO DE PERGUNTAS'!$A:$A,0)),"")</f>
        <v>Identificação</v>
      </c>
      <c r="F6" s="17">
        <f t="array" ref="F6">IFERROR(INDEX('BANCO DE PERGUNTAS'!$H:$H,MATCH($B6,'BANCO DE PERGUNTAS'!$A:$A,0)),"")</f>
        <v>1</v>
      </c>
      <c r="I6" s="50"/>
      <c r="J6" s="50"/>
      <c r="K6" s="50"/>
      <c r="L6" s="50"/>
      <c r="M6" s="50"/>
      <c r="N6" s="50"/>
      <c r="O6" s="50"/>
      <c r="P6" s="50"/>
      <c r="Q6" s="50"/>
      <c r="R6" s="50"/>
      <c r="S6" s="50"/>
      <c r="U6" s="51" t="s">
        <v>473</v>
      </c>
      <c r="W6" s="50">
        <v>2.0</v>
      </c>
      <c r="X6" s="50">
        <v>2.0</v>
      </c>
      <c r="Y6" s="50">
        <v>2.0</v>
      </c>
      <c r="Z6" s="50">
        <v>2.0</v>
      </c>
      <c r="AA6" s="50">
        <v>2.0</v>
      </c>
      <c r="AB6" s="50">
        <v>2.0</v>
      </c>
      <c r="AC6" s="50">
        <v>2.0</v>
      </c>
      <c r="AD6" s="50" t="s">
        <v>64</v>
      </c>
      <c r="AE6" s="50" t="s">
        <v>64</v>
      </c>
      <c r="AF6" s="50" t="s">
        <v>64</v>
      </c>
      <c r="AG6" s="50"/>
      <c r="AI6" s="52" t="s">
        <v>476</v>
      </c>
      <c r="AK6" s="50">
        <v>2.0</v>
      </c>
      <c r="AL6" s="50">
        <v>2.0</v>
      </c>
      <c r="AM6" s="50">
        <v>2.0</v>
      </c>
      <c r="AN6" s="50">
        <v>2.0</v>
      </c>
      <c r="AO6" s="50">
        <v>2.0</v>
      </c>
      <c r="AP6" s="50">
        <v>2.0</v>
      </c>
      <c r="AQ6" s="50">
        <v>2.0</v>
      </c>
      <c r="AR6" s="50" t="s">
        <v>64</v>
      </c>
      <c r="AS6" s="50" t="s">
        <v>64</v>
      </c>
      <c r="AT6" s="50" t="s">
        <v>64</v>
      </c>
      <c r="AU6" s="50"/>
      <c r="AY6" s="50"/>
      <c r="AZ6" s="50"/>
      <c r="BA6" s="50"/>
      <c r="BB6" s="50"/>
      <c r="BC6" s="50"/>
      <c r="BD6" s="50"/>
      <c r="BE6" s="50"/>
      <c r="BF6" s="50"/>
      <c r="BG6" s="50"/>
      <c r="BH6" s="50"/>
      <c r="BI6" s="50"/>
      <c r="BK6" s="53" t="s">
        <v>480</v>
      </c>
      <c r="BM6" s="50">
        <v>2.0</v>
      </c>
      <c r="BN6" s="50">
        <v>2.0</v>
      </c>
      <c r="BO6" s="50">
        <v>2.0</v>
      </c>
      <c r="BP6" s="50">
        <v>2.0</v>
      </c>
      <c r="BQ6" s="50">
        <v>2.0</v>
      </c>
      <c r="BR6" s="50">
        <v>2.0</v>
      </c>
      <c r="BS6" s="50">
        <v>2.0</v>
      </c>
      <c r="BT6" s="50" t="s">
        <v>64</v>
      </c>
      <c r="BU6" s="50" t="s">
        <v>64</v>
      </c>
      <c r="BV6" s="50" t="s">
        <v>64</v>
      </c>
      <c r="BW6" s="50"/>
      <c r="BY6" s="58" t="s">
        <v>480</v>
      </c>
      <c r="CA6" s="50">
        <v>2.0</v>
      </c>
      <c r="CB6" s="50">
        <v>2.0</v>
      </c>
      <c r="CC6" s="50">
        <v>2.0</v>
      </c>
      <c r="CD6" s="50">
        <v>2.0</v>
      </c>
      <c r="CE6" s="50">
        <v>2.0</v>
      </c>
      <c r="CF6" s="50">
        <v>2.0</v>
      </c>
      <c r="CG6" s="50">
        <v>2.0</v>
      </c>
      <c r="CH6" s="50" t="s">
        <v>64</v>
      </c>
      <c r="CI6" s="50" t="s">
        <v>64</v>
      </c>
      <c r="CJ6" s="50" t="s">
        <v>64</v>
      </c>
      <c r="CK6" s="50"/>
      <c r="CO6" s="50"/>
      <c r="CP6" s="50"/>
      <c r="CQ6" s="50"/>
      <c r="CR6" s="50"/>
      <c r="CS6" s="50"/>
      <c r="CT6" s="50"/>
      <c r="CU6" s="50"/>
      <c r="CV6" s="50"/>
      <c r="CW6" s="50"/>
      <c r="CX6" s="50"/>
      <c r="CY6" s="50"/>
      <c r="DA6" s="59" t="s">
        <v>481</v>
      </c>
      <c r="DC6" s="50">
        <v>2.0</v>
      </c>
      <c r="DD6" s="50">
        <v>2.0</v>
      </c>
      <c r="DE6" s="50">
        <v>2.0</v>
      </c>
      <c r="DF6" s="50">
        <v>2.0</v>
      </c>
      <c r="DG6" s="50">
        <v>2.0</v>
      </c>
      <c r="DH6" s="50">
        <v>2.0</v>
      </c>
      <c r="DI6" s="50">
        <v>2.0</v>
      </c>
      <c r="DJ6" s="50" t="s">
        <v>64</v>
      </c>
      <c r="DK6" s="50" t="s">
        <v>64</v>
      </c>
      <c r="DL6" s="50" t="s">
        <v>64</v>
      </c>
      <c r="DM6" s="50"/>
      <c r="DO6" s="60" t="s">
        <v>481</v>
      </c>
      <c r="DQ6" s="50">
        <v>2.0</v>
      </c>
      <c r="DR6" s="50">
        <v>2.0</v>
      </c>
      <c r="DS6" s="50">
        <v>2.0</v>
      </c>
      <c r="DT6" s="50">
        <v>2.0</v>
      </c>
      <c r="DU6" s="50">
        <v>2.0</v>
      </c>
      <c r="DV6" s="50">
        <v>2.0</v>
      </c>
      <c r="DW6" s="50">
        <v>2.0</v>
      </c>
      <c r="DX6" s="50" t="s">
        <v>64</v>
      </c>
      <c r="DY6" s="50" t="s">
        <v>64</v>
      </c>
      <c r="DZ6" s="50" t="s">
        <v>64</v>
      </c>
      <c r="EA6" s="50"/>
    </row>
    <row r="7" ht="15.75" customHeight="1">
      <c r="A7" s="11">
        <v>11.0</v>
      </c>
      <c r="B7" s="11" t="s">
        <v>103</v>
      </c>
      <c r="C7" s="11" t="str">
        <f t="array" ref="C7">IFERROR(INDEX(DOCUMENTOS!$E:$E,MATCH($A7,DOCUMENTOS!$A:$A,0)),"")</f>
        <v/>
      </c>
      <c r="D7" s="11" t="str">
        <f t="array" ref="D7">IFERROR(INDEX('BANCO DE PERGUNTAS'!$D:$D,MATCH($B7,'BANCO DE PERGUNTAS'!$A:$A,0)),"")</f>
        <v>Qual é a data do documento?</v>
      </c>
      <c r="E7" s="11" t="str">
        <f t="array" ref="E7">IFERROR(INDEX('BANCO DE PERGUNTAS'!$B:$B,MATCH($B7,'BANCO DE PERGUNTAS'!$A:$A,0)),"")</f>
        <v>Identificação</v>
      </c>
      <c r="F7" s="12">
        <f t="array" ref="F7">IFERROR(INDEX('BANCO DE PERGUNTAS'!$H:$H,MATCH($B7,'BANCO DE PERGUNTAS'!$A:$A,0)),"")</f>
        <v>1</v>
      </c>
      <c r="I7" s="50"/>
      <c r="J7" s="50"/>
      <c r="K7" s="50"/>
      <c r="L7" s="50"/>
      <c r="M7" s="50"/>
      <c r="N7" s="50"/>
      <c r="O7" s="50"/>
      <c r="P7" s="50"/>
      <c r="Q7" s="50"/>
      <c r="R7" s="50"/>
      <c r="S7" s="50"/>
      <c r="U7" s="63" t="s">
        <v>513</v>
      </c>
      <c r="W7" s="50">
        <v>2.0</v>
      </c>
      <c r="X7" s="50">
        <v>2.0</v>
      </c>
      <c r="Y7" s="50">
        <v>2.0</v>
      </c>
      <c r="Z7" s="50">
        <v>2.0</v>
      </c>
      <c r="AA7" s="50">
        <v>2.0</v>
      </c>
      <c r="AB7" s="50">
        <v>2.0</v>
      </c>
      <c r="AC7" s="50">
        <v>2.0</v>
      </c>
      <c r="AD7" s="50" t="s">
        <v>64</v>
      </c>
      <c r="AE7" s="50" t="s">
        <v>64</v>
      </c>
      <c r="AF7" s="50" t="s">
        <v>64</v>
      </c>
      <c r="AG7" s="50"/>
      <c r="AI7" s="52" t="s">
        <v>514</v>
      </c>
      <c r="AK7" s="50">
        <v>2.0</v>
      </c>
      <c r="AL7" s="50">
        <v>2.0</v>
      </c>
      <c r="AM7" s="50">
        <v>2.0</v>
      </c>
      <c r="AN7" s="50">
        <v>2.0</v>
      </c>
      <c r="AO7" s="50">
        <v>2.0</v>
      </c>
      <c r="AP7" s="50">
        <v>2.0</v>
      </c>
      <c r="AQ7" s="50">
        <v>2.0</v>
      </c>
      <c r="AR7" s="50" t="s">
        <v>64</v>
      </c>
      <c r="AS7" s="50" t="s">
        <v>64</v>
      </c>
      <c r="AT7" s="50" t="s">
        <v>64</v>
      </c>
      <c r="AU7" s="50"/>
      <c r="AY7" s="50"/>
      <c r="AZ7" s="50"/>
      <c r="BA7" s="50"/>
      <c r="BB7" s="50"/>
      <c r="BC7" s="50"/>
      <c r="BD7" s="50"/>
      <c r="BE7" s="50"/>
      <c r="BF7" s="50"/>
      <c r="BG7" s="50"/>
      <c r="BH7" s="50"/>
      <c r="BI7" s="50"/>
      <c r="BK7" s="53" t="s">
        <v>522</v>
      </c>
      <c r="BM7" s="50">
        <v>2.0</v>
      </c>
      <c r="BN7" s="50">
        <v>2.0</v>
      </c>
      <c r="BO7" s="50">
        <v>2.0</v>
      </c>
      <c r="BP7" s="50">
        <v>2.0</v>
      </c>
      <c r="BQ7" s="50">
        <v>2.0</v>
      </c>
      <c r="BR7" s="50">
        <v>2.0</v>
      </c>
      <c r="BS7" s="50">
        <v>2.0</v>
      </c>
      <c r="BT7" s="50" t="s">
        <v>64</v>
      </c>
      <c r="BU7" s="50" t="s">
        <v>64</v>
      </c>
      <c r="BV7" s="50" t="s">
        <v>64</v>
      </c>
      <c r="BW7" s="50"/>
      <c r="BY7" s="58" t="s">
        <v>523</v>
      </c>
      <c r="CA7" s="50">
        <v>2.0</v>
      </c>
      <c r="CB7" s="50">
        <v>2.0</v>
      </c>
      <c r="CC7" s="50">
        <v>2.0</v>
      </c>
      <c r="CD7" s="50">
        <v>2.0</v>
      </c>
      <c r="CE7" s="50">
        <v>2.0</v>
      </c>
      <c r="CF7" s="50">
        <v>2.0</v>
      </c>
      <c r="CG7" s="50">
        <v>2.0</v>
      </c>
      <c r="CH7" s="50" t="s">
        <v>64</v>
      </c>
      <c r="CI7" s="50" t="s">
        <v>64</v>
      </c>
      <c r="CJ7" s="50" t="s">
        <v>64</v>
      </c>
      <c r="CK7" s="50"/>
      <c r="CO7" s="50"/>
      <c r="CP7" s="50"/>
      <c r="CQ7" s="50"/>
      <c r="CR7" s="50"/>
      <c r="CS7" s="50"/>
      <c r="CT7" s="50"/>
      <c r="CU7" s="50"/>
      <c r="CV7" s="50"/>
      <c r="CW7" s="50"/>
      <c r="CX7" s="50"/>
      <c r="CY7" s="50"/>
      <c r="DA7" s="59" t="s">
        <v>534</v>
      </c>
      <c r="DC7" s="50">
        <v>2.0</v>
      </c>
      <c r="DD7" s="50">
        <v>2.0</v>
      </c>
      <c r="DE7" s="50">
        <v>2.0</v>
      </c>
      <c r="DF7" s="50">
        <v>2.0</v>
      </c>
      <c r="DG7" s="50">
        <v>2.0</v>
      </c>
      <c r="DH7" s="50">
        <v>2.0</v>
      </c>
      <c r="DI7" s="50">
        <v>2.0</v>
      </c>
      <c r="DJ7" s="50" t="s">
        <v>64</v>
      </c>
      <c r="DK7" s="50" t="s">
        <v>64</v>
      </c>
      <c r="DL7" s="50" t="s">
        <v>64</v>
      </c>
      <c r="DM7" s="50"/>
      <c r="DO7" s="60" t="s">
        <v>534</v>
      </c>
      <c r="DQ7" s="50">
        <v>2.0</v>
      </c>
      <c r="DR7" s="50">
        <v>2.0</v>
      </c>
      <c r="DS7" s="50">
        <v>2.0</v>
      </c>
      <c r="DT7" s="50">
        <v>2.0</v>
      </c>
      <c r="DU7" s="50">
        <v>2.0</v>
      </c>
      <c r="DV7" s="50">
        <v>2.0</v>
      </c>
      <c r="DW7" s="50">
        <v>2.0</v>
      </c>
      <c r="DX7" s="50" t="s">
        <v>64</v>
      </c>
      <c r="DY7" s="50" t="s">
        <v>64</v>
      </c>
      <c r="DZ7" s="50" t="s">
        <v>64</v>
      </c>
      <c r="EA7" s="50"/>
    </row>
    <row r="8" ht="15.75" customHeight="1">
      <c r="A8" s="14">
        <v>11.0</v>
      </c>
      <c r="B8" s="14" t="s">
        <v>117</v>
      </c>
      <c r="C8" s="14" t="str">
        <f t="array" ref="C8">IFERROR(INDEX(DOCUMENTOS!$E:$E,MATCH($A8,DOCUMENTOS!$A:$A,0)),"")</f>
        <v/>
      </c>
      <c r="D8" s="14" t="str">
        <f t="array" ref="D8">IFERROR(INDEX('BANCO DE PERGUNTAS'!$D:$D,MATCH($B8,'BANCO DE PERGUNTAS'!$A:$A,0)),"")</f>
        <v>Qual setor ou unidade está relacionado ao documento?</v>
      </c>
      <c r="E8" s="14" t="str">
        <f t="array" ref="E8">IFERROR(INDEX('BANCO DE PERGUNTAS'!$B:$B,MATCH($B8,'BANCO DE PERGUNTAS'!$A:$A,0)),"")</f>
        <v>Identificação</v>
      </c>
      <c r="F8" s="17">
        <f t="array" ref="F8">IFERROR(INDEX('BANCO DE PERGUNTAS'!$H:$H,MATCH($B8,'BANCO DE PERGUNTAS'!$A:$A,0)),"")</f>
        <v>1</v>
      </c>
      <c r="I8" s="50"/>
      <c r="J8" s="50"/>
      <c r="K8" s="50"/>
      <c r="L8" s="50"/>
      <c r="M8" s="50"/>
      <c r="N8" s="50"/>
      <c r="O8" s="50"/>
      <c r="P8" s="50"/>
      <c r="Q8" s="50"/>
      <c r="R8" s="50"/>
      <c r="S8" s="50"/>
      <c r="U8" s="51" t="s">
        <v>564</v>
      </c>
      <c r="W8" s="50">
        <v>2.0</v>
      </c>
      <c r="X8" s="50">
        <v>2.0</v>
      </c>
      <c r="Y8" s="50">
        <v>2.0</v>
      </c>
      <c r="Z8" s="50">
        <v>2.0</v>
      </c>
      <c r="AA8" s="50">
        <v>2.0</v>
      </c>
      <c r="AB8" s="50">
        <v>2.0</v>
      </c>
      <c r="AC8" s="50">
        <v>2.0</v>
      </c>
      <c r="AD8" s="50" t="s">
        <v>64</v>
      </c>
      <c r="AE8" s="50" t="s">
        <v>64</v>
      </c>
      <c r="AF8" s="50" t="s">
        <v>64</v>
      </c>
      <c r="AG8" s="50"/>
      <c r="AI8" s="52" t="s">
        <v>565</v>
      </c>
      <c r="AK8" s="50">
        <v>2.0</v>
      </c>
      <c r="AL8" s="50">
        <v>2.0</v>
      </c>
      <c r="AM8" s="50">
        <v>2.0</v>
      </c>
      <c r="AN8" s="50">
        <v>2.0</v>
      </c>
      <c r="AO8" s="50">
        <v>2.0</v>
      </c>
      <c r="AP8" s="50">
        <v>2.0</v>
      </c>
      <c r="AQ8" s="50">
        <v>2.0</v>
      </c>
      <c r="AR8" s="50" t="s">
        <v>64</v>
      </c>
      <c r="AS8" s="50" t="s">
        <v>64</v>
      </c>
      <c r="AT8" s="50" t="s">
        <v>64</v>
      </c>
      <c r="AU8" s="50"/>
      <c r="AY8" s="50"/>
      <c r="AZ8" s="50"/>
      <c r="BA8" s="50"/>
      <c r="BB8" s="50"/>
      <c r="BC8" s="50"/>
      <c r="BD8" s="50"/>
      <c r="BE8" s="50"/>
      <c r="BF8" s="50"/>
      <c r="BG8" s="50"/>
      <c r="BH8" s="50"/>
      <c r="BI8" s="50"/>
      <c r="BK8" s="53" t="s">
        <v>574</v>
      </c>
      <c r="BM8" s="50">
        <v>2.0</v>
      </c>
      <c r="BN8" s="50">
        <v>2.0</v>
      </c>
      <c r="BO8" s="50">
        <v>2.0</v>
      </c>
      <c r="BP8" s="50">
        <v>2.0</v>
      </c>
      <c r="BQ8" s="50">
        <v>2.0</v>
      </c>
      <c r="BR8" s="50">
        <v>2.0</v>
      </c>
      <c r="BS8" s="50">
        <v>2.0</v>
      </c>
      <c r="BT8" s="50" t="s">
        <v>64</v>
      </c>
      <c r="BU8" s="50" t="s">
        <v>64</v>
      </c>
      <c r="BV8" s="50" t="s">
        <v>64</v>
      </c>
      <c r="BW8" s="50"/>
      <c r="BY8" s="58" t="s">
        <v>575</v>
      </c>
      <c r="CA8" s="50">
        <v>2.0</v>
      </c>
      <c r="CB8" s="50">
        <v>2.0</v>
      </c>
      <c r="CC8" s="50">
        <v>2.0</v>
      </c>
      <c r="CD8" s="50">
        <v>2.0</v>
      </c>
      <c r="CE8" s="50">
        <v>2.0</v>
      </c>
      <c r="CF8" s="50">
        <v>2.0</v>
      </c>
      <c r="CG8" s="50">
        <v>2.0</v>
      </c>
      <c r="CH8" s="50" t="s">
        <v>64</v>
      </c>
      <c r="CI8" s="50" t="s">
        <v>64</v>
      </c>
      <c r="CJ8" s="50" t="s">
        <v>64</v>
      </c>
      <c r="CK8" s="50"/>
      <c r="CO8" s="50"/>
      <c r="CP8" s="50"/>
      <c r="CQ8" s="50"/>
      <c r="CR8" s="50"/>
      <c r="CS8" s="50"/>
      <c r="CT8" s="50"/>
      <c r="CU8" s="50"/>
      <c r="CV8" s="50"/>
      <c r="CW8" s="50"/>
      <c r="CX8" s="50"/>
      <c r="CY8" s="50"/>
      <c r="DA8" s="59" t="s">
        <v>576</v>
      </c>
      <c r="DC8" s="50">
        <v>2.0</v>
      </c>
      <c r="DD8" s="50">
        <v>2.0</v>
      </c>
      <c r="DE8" s="50">
        <v>2.0</v>
      </c>
      <c r="DF8" s="50">
        <v>2.0</v>
      </c>
      <c r="DG8" s="50">
        <v>2.0</v>
      </c>
      <c r="DH8" s="50">
        <v>2.0</v>
      </c>
      <c r="DI8" s="50">
        <v>2.0</v>
      </c>
      <c r="DJ8" s="50" t="s">
        <v>64</v>
      </c>
      <c r="DK8" s="50" t="s">
        <v>64</v>
      </c>
      <c r="DL8" s="50" t="s">
        <v>64</v>
      </c>
      <c r="DM8" s="50"/>
      <c r="DO8" s="60" t="s">
        <v>584</v>
      </c>
      <c r="DQ8" s="50">
        <v>2.0</v>
      </c>
      <c r="DR8" s="50">
        <v>2.0</v>
      </c>
      <c r="DS8" s="50">
        <v>2.0</v>
      </c>
      <c r="DT8" s="50">
        <v>2.0</v>
      </c>
      <c r="DU8" s="50">
        <v>2.0</v>
      </c>
      <c r="DV8" s="50">
        <v>2.0</v>
      </c>
      <c r="DW8" s="50">
        <v>2.0</v>
      </c>
      <c r="DX8" s="50" t="s">
        <v>64</v>
      </c>
      <c r="DY8" s="50" t="s">
        <v>64</v>
      </c>
      <c r="DZ8" s="50" t="s">
        <v>64</v>
      </c>
      <c r="EA8" s="50"/>
    </row>
    <row r="9" ht="15.75" customHeight="1">
      <c r="A9" s="11">
        <v>11.0</v>
      </c>
      <c r="B9" s="11" t="s">
        <v>131</v>
      </c>
      <c r="C9" s="11" t="str">
        <f t="array" ref="C9">IFERROR(INDEX(DOCUMENTOS!$E:$E,MATCH($A9,DOCUMENTOS!$A:$A,0)),"")</f>
        <v/>
      </c>
      <c r="D9" s="11" t="str">
        <f t="array" ref="D9">IFERROR(INDEX('BANCO DE PERGUNTAS'!$D:$D,MATCH($B9,'BANCO DE PERGUNTAS'!$A:$A,0)),"")</f>
        <v>Quais são as partes ou instituições mencionadas?</v>
      </c>
      <c r="E9" s="11" t="str">
        <f t="array" ref="E9">IFERROR(INDEX('BANCO DE PERGUNTAS'!$B:$B,MATCH($B9,'BANCO DE PERGUNTAS'!$A:$A,0)),"")</f>
        <v>Identificação</v>
      </c>
      <c r="F9" s="12">
        <f t="array" ref="F9">IFERROR(INDEX('BANCO DE PERGUNTAS'!$H:$H,MATCH($B9,'BANCO DE PERGUNTAS'!$A:$A,0)),"")</f>
        <v>2</v>
      </c>
      <c r="I9" s="50"/>
      <c r="J9" s="50"/>
      <c r="K9" s="50"/>
      <c r="L9" s="50"/>
      <c r="M9" s="50"/>
      <c r="N9" s="50"/>
      <c r="O9" s="50"/>
      <c r="P9" s="50"/>
      <c r="Q9" s="50"/>
      <c r="R9" s="50"/>
      <c r="S9" s="50"/>
      <c r="U9" s="63" t="s">
        <v>602</v>
      </c>
      <c r="W9" s="50">
        <v>2.0</v>
      </c>
      <c r="X9" s="50">
        <v>2.0</v>
      </c>
      <c r="Y9" s="50">
        <v>2.0</v>
      </c>
      <c r="Z9" s="50">
        <v>2.0</v>
      </c>
      <c r="AA9" s="50">
        <v>2.0</v>
      </c>
      <c r="AB9" s="50">
        <v>2.0</v>
      </c>
      <c r="AC9" s="50">
        <v>2.0</v>
      </c>
      <c r="AD9" s="50" t="s">
        <v>64</v>
      </c>
      <c r="AE9" s="50" t="s">
        <v>64</v>
      </c>
      <c r="AF9" s="50" t="s">
        <v>64</v>
      </c>
      <c r="AG9" s="50"/>
      <c r="AI9" s="52" t="s">
        <v>612</v>
      </c>
      <c r="AK9" s="50">
        <v>2.0</v>
      </c>
      <c r="AL9" s="50">
        <v>2.0</v>
      </c>
      <c r="AM9" s="50">
        <v>2.0</v>
      </c>
      <c r="AN9" s="50">
        <v>2.0</v>
      </c>
      <c r="AO9" s="50">
        <v>2.0</v>
      </c>
      <c r="AP9" s="50">
        <v>2.0</v>
      </c>
      <c r="AQ9" s="50">
        <v>2.0</v>
      </c>
      <c r="AR9" s="50" t="s">
        <v>64</v>
      </c>
      <c r="AS9" s="50" t="s">
        <v>64</v>
      </c>
      <c r="AT9" s="50" t="s">
        <v>64</v>
      </c>
      <c r="AU9" s="50"/>
      <c r="AY9" s="50"/>
      <c r="AZ9" s="50"/>
      <c r="BA9" s="50"/>
      <c r="BB9" s="50"/>
      <c r="BC9" s="50"/>
      <c r="BD9" s="50"/>
      <c r="BE9" s="50"/>
      <c r="BF9" s="50"/>
      <c r="BG9" s="50"/>
      <c r="BH9" s="50"/>
      <c r="BI9" s="50"/>
      <c r="BK9" s="53" t="s">
        <v>617</v>
      </c>
      <c r="BM9" s="50">
        <v>2.0</v>
      </c>
      <c r="BN9" s="50">
        <v>2.0</v>
      </c>
      <c r="BO9" s="50">
        <v>2.0</v>
      </c>
      <c r="BP9" s="50">
        <v>2.0</v>
      </c>
      <c r="BQ9" s="50">
        <v>2.0</v>
      </c>
      <c r="BR9" s="50">
        <v>2.0</v>
      </c>
      <c r="BS9" s="50">
        <v>2.0</v>
      </c>
      <c r="BT9" s="50" t="s">
        <v>64</v>
      </c>
      <c r="BU9" s="50" t="s">
        <v>64</v>
      </c>
      <c r="BV9" s="50" t="s">
        <v>64</v>
      </c>
      <c r="BW9" s="50"/>
      <c r="BY9" s="58" t="s">
        <v>618</v>
      </c>
      <c r="CA9" s="50">
        <v>2.0</v>
      </c>
      <c r="CB9" s="50">
        <v>2.0</v>
      </c>
      <c r="CC9" s="50">
        <v>2.0</v>
      </c>
      <c r="CD9" s="50">
        <v>2.0</v>
      </c>
      <c r="CE9" s="50">
        <v>2.0</v>
      </c>
      <c r="CF9" s="50">
        <v>2.0</v>
      </c>
      <c r="CG9" s="50">
        <v>2.0</v>
      </c>
      <c r="CH9" s="50" t="s">
        <v>64</v>
      </c>
      <c r="CI9" s="50" t="s">
        <v>64</v>
      </c>
      <c r="CJ9" s="50" t="s">
        <v>64</v>
      </c>
      <c r="CK9" s="50"/>
      <c r="CO9" s="50"/>
      <c r="CP9" s="50"/>
      <c r="CQ9" s="50"/>
      <c r="CR9" s="50"/>
      <c r="CS9" s="50"/>
      <c r="CT9" s="50"/>
      <c r="CU9" s="50"/>
      <c r="CV9" s="50"/>
      <c r="CW9" s="50"/>
      <c r="CX9" s="50"/>
      <c r="CY9" s="50"/>
      <c r="DA9" s="59" t="s">
        <v>632</v>
      </c>
      <c r="DC9" s="50">
        <v>1.0</v>
      </c>
      <c r="DD9" s="50">
        <v>2.0</v>
      </c>
      <c r="DE9" s="50">
        <v>1.0</v>
      </c>
      <c r="DF9" s="50">
        <v>1.0</v>
      </c>
      <c r="DG9" s="50">
        <v>2.0</v>
      </c>
      <c r="DH9" s="50">
        <v>2.0</v>
      </c>
      <c r="DI9" s="50">
        <v>1.0</v>
      </c>
      <c r="DJ9" s="50" t="s">
        <v>64</v>
      </c>
      <c r="DK9" s="50" t="s">
        <v>64</v>
      </c>
      <c r="DL9" s="50" t="s">
        <v>101</v>
      </c>
      <c r="DM9" s="50" t="s">
        <v>447</v>
      </c>
      <c r="DO9" s="60" t="s">
        <v>632</v>
      </c>
      <c r="DQ9" s="50">
        <v>1.0</v>
      </c>
      <c r="DR9" s="50">
        <v>2.0</v>
      </c>
      <c r="DS9" s="50">
        <v>1.0</v>
      </c>
      <c r="DT9" s="50">
        <v>1.0</v>
      </c>
      <c r="DU9" s="50">
        <v>2.0</v>
      </c>
      <c r="DV9" s="50">
        <v>2.0</v>
      </c>
      <c r="DW9" s="50">
        <v>1.0</v>
      </c>
      <c r="DX9" s="50" t="s">
        <v>64</v>
      </c>
      <c r="DY9" s="50" t="s">
        <v>64</v>
      </c>
      <c r="DZ9" s="50" t="s">
        <v>101</v>
      </c>
      <c r="EA9" s="50" t="s">
        <v>447</v>
      </c>
    </row>
    <row r="10" ht="15.75" customHeight="1">
      <c r="A10" s="14">
        <v>11.0</v>
      </c>
      <c r="B10" s="14" t="s">
        <v>144</v>
      </c>
      <c r="C10" s="14" t="str">
        <f t="array" ref="C10">IFERROR(INDEX(DOCUMENTOS!$E:$E,MATCH($A10,DOCUMENTOS!$A:$A,0)),"")</f>
        <v/>
      </c>
      <c r="D10" s="14" t="str">
        <f t="array" ref="D10">IFERROR(INDEX('BANCO DE PERGUNTAS'!$D:$D,MATCH($B10,'BANCO DE PERGUNTAS'!$A:$A,0)),"")</f>
        <v>Qual informação específica está apresentada na seção 08?</v>
      </c>
      <c r="E10" s="14" t="str">
        <f t="array" ref="E10">IFERROR(INDEX('BANCO DE PERGUNTAS'!$B:$B,MATCH($B10,'BANCO DE PERGUNTAS'!$A:$A,0)),"")</f>
        <v>Localização</v>
      </c>
      <c r="F10" s="17">
        <f t="array" ref="F10">IFERROR(INDEX('BANCO DE PERGUNTAS'!$H:$H,MATCH($B10,'BANCO DE PERGUNTAS'!$A:$A,0)),"")</f>
        <v>2</v>
      </c>
      <c r="I10" s="50"/>
      <c r="J10" s="50"/>
      <c r="K10" s="50"/>
      <c r="L10" s="50"/>
      <c r="M10" s="50"/>
      <c r="N10" s="50"/>
      <c r="O10" s="50"/>
      <c r="P10" s="50"/>
      <c r="Q10" s="50"/>
      <c r="R10" s="50"/>
      <c r="S10" s="50"/>
      <c r="U10" s="51" t="s">
        <v>646</v>
      </c>
      <c r="W10" s="50">
        <v>2.0</v>
      </c>
      <c r="X10" s="50">
        <v>2.0</v>
      </c>
      <c r="Y10" s="50">
        <v>2.0</v>
      </c>
      <c r="Z10" s="50">
        <v>2.0</v>
      </c>
      <c r="AA10" s="50">
        <v>2.0</v>
      </c>
      <c r="AB10" s="50">
        <v>2.0</v>
      </c>
      <c r="AC10" s="50">
        <v>2.0</v>
      </c>
      <c r="AD10" s="50" t="s">
        <v>64</v>
      </c>
      <c r="AE10" s="50" t="s">
        <v>64</v>
      </c>
      <c r="AF10" s="50" t="s">
        <v>64</v>
      </c>
      <c r="AG10" s="50"/>
      <c r="AI10" s="52" t="s">
        <v>647</v>
      </c>
      <c r="AK10" s="50">
        <v>2.0</v>
      </c>
      <c r="AL10" s="50">
        <v>2.0</v>
      </c>
      <c r="AM10" s="50">
        <v>2.0</v>
      </c>
      <c r="AN10" s="50">
        <v>2.0</v>
      </c>
      <c r="AO10" s="50">
        <v>2.0</v>
      </c>
      <c r="AP10" s="50">
        <v>2.0</v>
      </c>
      <c r="AQ10" s="50">
        <v>2.0</v>
      </c>
      <c r="AR10" s="50" t="s">
        <v>64</v>
      </c>
      <c r="AS10" s="50" t="s">
        <v>64</v>
      </c>
      <c r="AT10" s="50" t="s">
        <v>64</v>
      </c>
      <c r="AU10" s="50"/>
      <c r="AY10" s="50"/>
      <c r="AZ10" s="50"/>
      <c r="BA10" s="50"/>
      <c r="BB10" s="50"/>
      <c r="BC10" s="50"/>
      <c r="BD10" s="50"/>
      <c r="BE10" s="50"/>
      <c r="BF10" s="50"/>
      <c r="BG10" s="50"/>
      <c r="BH10" s="50"/>
      <c r="BI10" s="50"/>
      <c r="BK10" s="53" t="s">
        <v>648</v>
      </c>
      <c r="BM10" s="50">
        <v>2.0</v>
      </c>
      <c r="BN10" s="50">
        <v>2.0</v>
      </c>
      <c r="BO10" s="50">
        <v>2.0</v>
      </c>
      <c r="BP10" s="50">
        <v>2.0</v>
      </c>
      <c r="BQ10" s="50">
        <v>2.0</v>
      </c>
      <c r="BR10" s="50">
        <v>2.0</v>
      </c>
      <c r="BS10" s="50">
        <v>2.0</v>
      </c>
      <c r="BT10" s="50" t="s">
        <v>64</v>
      </c>
      <c r="BU10" s="50" t="s">
        <v>64</v>
      </c>
      <c r="BV10" s="50" t="s">
        <v>64</v>
      </c>
      <c r="BW10" s="50"/>
      <c r="BY10" s="58" t="s">
        <v>649</v>
      </c>
      <c r="CA10" s="50">
        <v>2.0</v>
      </c>
      <c r="CB10" s="50">
        <v>2.0</v>
      </c>
      <c r="CC10" s="50">
        <v>2.0</v>
      </c>
      <c r="CD10" s="50">
        <v>2.0</v>
      </c>
      <c r="CE10" s="50">
        <v>2.0</v>
      </c>
      <c r="CF10" s="50">
        <v>2.0</v>
      </c>
      <c r="CG10" s="50">
        <v>2.0</v>
      </c>
      <c r="CH10" s="50" t="s">
        <v>64</v>
      </c>
      <c r="CI10" s="50" t="s">
        <v>64</v>
      </c>
      <c r="CJ10" s="50" t="s">
        <v>64</v>
      </c>
      <c r="CK10" s="50"/>
      <c r="CO10" s="50"/>
      <c r="CP10" s="50"/>
      <c r="CQ10" s="50"/>
      <c r="CR10" s="50"/>
      <c r="CS10" s="50"/>
      <c r="CT10" s="50"/>
      <c r="CU10" s="50"/>
      <c r="CV10" s="50"/>
      <c r="CW10" s="50"/>
      <c r="CX10" s="50"/>
      <c r="CY10" s="50"/>
      <c r="DA10" s="59" t="s">
        <v>657</v>
      </c>
      <c r="DC10" s="50">
        <v>2.0</v>
      </c>
      <c r="DD10" s="50">
        <v>2.0</v>
      </c>
      <c r="DE10" s="50">
        <v>2.0</v>
      </c>
      <c r="DF10" s="50">
        <v>2.0</v>
      </c>
      <c r="DG10" s="50">
        <v>2.0</v>
      </c>
      <c r="DH10" s="50">
        <v>2.0</v>
      </c>
      <c r="DI10" s="50">
        <v>2.0</v>
      </c>
      <c r="DJ10" s="50" t="s">
        <v>64</v>
      </c>
      <c r="DK10" s="50" t="s">
        <v>64</v>
      </c>
      <c r="DL10" s="50" t="s">
        <v>64</v>
      </c>
      <c r="DM10" s="50"/>
      <c r="DO10" s="60" t="s">
        <v>661</v>
      </c>
      <c r="DQ10" s="50">
        <v>2.0</v>
      </c>
      <c r="DR10" s="50">
        <v>2.0</v>
      </c>
      <c r="DS10" s="50">
        <v>2.0</v>
      </c>
      <c r="DT10" s="50">
        <v>2.0</v>
      </c>
      <c r="DU10" s="50">
        <v>2.0</v>
      </c>
      <c r="DV10" s="50">
        <v>2.0</v>
      </c>
      <c r="DW10" s="50">
        <v>2.0</v>
      </c>
      <c r="DX10" s="50" t="s">
        <v>64</v>
      </c>
      <c r="DY10" s="50" t="s">
        <v>64</v>
      </c>
      <c r="DZ10" s="50" t="s">
        <v>64</v>
      </c>
      <c r="EA10" s="50"/>
    </row>
    <row r="11" ht="15.75" customHeight="1">
      <c r="A11" s="11">
        <v>11.0</v>
      </c>
      <c r="B11" s="11" t="s">
        <v>156</v>
      </c>
      <c r="C11" s="11" t="str">
        <f t="array" ref="C11">IFERROR(INDEX(DOCUMENTOS!$E:$E,MATCH($A11,DOCUMENTOS!$A:$A,0)),"")</f>
        <v/>
      </c>
      <c r="D11" s="11" t="str">
        <f t="array" ref="D11">IFERROR(INDEX('BANCO DE PERGUNTAS'!$D:$D,MATCH($B11,'BANCO DE PERGUNTAS'!$A:$A,0)),"")</f>
        <v>Em qual seção do documento está localizada a informação solicitada?</v>
      </c>
      <c r="E11" s="11" t="str">
        <f t="array" ref="E11">IFERROR(INDEX('BANCO DE PERGUNTAS'!$B:$B,MATCH($B11,'BANCO DE PERGUNTAS'!$A:$A,0)),"")</f>
        <v>Localização</v>
      </c>
      <c r="F11" s="12">
        <f t="array" ref="F11">IFERROR(INDEX('BANCO DE PERGUNTAS'!$H:$H,MATCH($B11,'BANCO DE PERGUNTAS'!$A:$A,0)),"")</f>
        <v>2</v>
      </c>
      <c r="I11" s="50"/>
      <c r="J11" s="50"/>
      <c r="K11" s="50"/>
      <c r="L11" s="50"/>
      <c r="M11" s="50"/>
      <c r="N11" s="50"/>
      <c r="O11" s="50"/>
      <c r="P11" s="50"/>
      <c r="Q11" s="50"/>
      <c r="R11" s="50"/>
      <c r="S11" s="50"/>
      <c r="U11" s="63" t="s">
        <v>669</v>
      </c>
      <c r="W11" s="50">
        <v>2.0</v>
      </c>
      <c r="X11" s="50">
        <v>2.0</v>
      </c>
      <c r="Y11" s="50">
        <v>2.0</v>
      </c>
      <c r="Z11" s="50">
        <v>2.0</v>
      </c>
      <c r="AA11" s="50">
        <v>2.0</v>
      </c>
      <c r="AB11" s="50">
        <v>2.0</v>
      </c>
      <c r="AC11" s="50">
        <v>2.0</v>
      </c>
      <c r="AD11" s="50" t="s">
        <v>64</v>
      </c>
      <c r="AE11" s="50" t="s">
        <v>64</v>
      </c>
      <c r="AF11" s="50" t="s">
        <v>64</v>
      </c>
      <c r="AG11" s="50"/>
      <c r="AI11" s="52" t="s">
        <v>670</v>
      </c>
      <c r="AK11" s="50">
        <v>2.0</v>
      </c>
      <c r="AL11" s="50">
        <v>2.0</v>
      </c>
      <c r="AM11" s="50">
        <v>2.0</v>
      </c>
      <c r="AN11" s="50">
        <v>2.0</v>
      </c>
      <c r="AO11" s="50">
        <v>2.0</v>
      </c>
      <c r="AP11" s="50">
        <v>2.0</v>
      </c>
      <c r="AQ11" s="50">
        <v>2.0</v>
      </c>
      <c r="AR11" s="50" t="s">
        <v>64</v>
      </c>
      <c r="AS11" s="50" t="s">
        <v>64</v>
      </c>
      <c r="AT11" s="50" t="s">
        <v>64</v>
      </c>
      <c r="AU11" s="50"/>
      <c r="AY11" s="50"/>
      <c r="AZ11" s="50"/>
      <c r="BA11" s="50"/>
      <c r="BB11" s="50"/>
      <c r="BC11" s="50"/>
      <c r="BD11" s="50"/>
      <c r="BE11" s="50"/>
      <c r="BF11" s="50"/>
      <c r="BG11" s="50"/>
      <c r="BH11" s="50"/>
      <c r="BI11" s="50"/>
      <c r="BK11" s="53" t="s">
        <v>673</v>
      </c>
      <c r="BM11" s="50">
        <v>2.0</v>
      </c>
      <c r="BN11" s="50">
        <v>2.0</v>
      </c>
      <c r="BO11" s="50">
        <v>2.0</v>
      </c>
      <c r="BP11" s="50">
        <v>2.0</v>
      </c>
      <c r="BQ11" s="50">
        <v>2.0</v>
      </c>
      <c r="BR11" s="50">
        <v>2.0</v>
      </c>
      <c r="BS11" s="50">
        <v>2.0</v>
      </c>
      <c r="BT11" s="50" t="s">
        <v>64</v>
      </c>
      <c r="BU11" s="50" t="s">
        <v>64</v>
      </c>
      <c r="BV11" s="50" t="s">
        <v>64</v>
      </c>
      <c r="BW11" s="50"/>
      <c r="BY11" s="58" t="s">
        <v>680</v>
      </c>
      <c r="CA11" s="50">
        <v>2.0</v>
      </c>
      <c r="CB11" s="50">
        <v>2.0</v>
      </c>
      <c r="CC11" s="50">
        <v>2.0</v>
      </c>
      <c r="CD11" s="50">
        <v>2.0</v>
      </c>
      <c r="CE11" s="50">
        <v>2.0</v>
      </c>
      <c r="CF11" s="50">
        <v>2.0</v>
      </c>
      <c r="CG11" s="50">
        <v>2.0</v>
      </c>
      <c r="CH11" s="50" t="s">
        <v>64</v>
      </c>
      <c r="CI11" s="50" t="s">
        <v>64</v>
      </c>
      <c r="CJ11" s="50" t="s">
        <v>64</v>
      </c>
      <c r="CK11" s="50"/>
      <c r="CO11" s="50"/>
      <c r="CP11" s="50"/>
      <c r="CQ11" s="50"/>
      <c r="CR11" s="50"/>
      <c r="CS11" s="50"/>
      <c r="CT11" s="50"/>
      <c r="CU11" s="50"/>
      <c r="CV11" s="50"/>
      <c r="CW11" s="50"/>
      <c r="CX11" s="50"/>
      <c r="CY11" s="50"/>
      <c r="DA11" s="59" t="s">
        <v>681</v>
      </c>
      <c r="DC11" s="50">
        <v>2.0</v>
      </c>
      <c r="DD11" s="50">
        <v>2.0</v>
      </c>
      <c r="DE11" s="50">
        <v>2.0</v>
      </c>
      <c r="DF11" s="50">
        <v>2.0</v>
      </c>
      <c r="DG11" s="50">
        <v>2.0</v>
      </c>
      <c r="DH11" s="50">
        <v>2.0</v>
      </c>
      <c r="DI11" s="50">
        <v>2.0</v>
      </c>
      <c r="DJ11" s="50" t="s">
        <v>64</v>
      </c>
      <c r="DK11" s="50" t="s">
        <v>64</v>
      </c>
      <c r="DL11" s="50" t="s">
        <v>64</v>
      </c>
      <c r="DM11" s="50"/>
      <c r="DO11" s="60" t="s">
        <v>682</v>
      </c>
      <c r="DQ11" s="50">
        <v>2.0</v>
      </c>
      <c r="DR11" s="50">
        <v>2.0</v>
      </c>
      <c r="DS11" s="50">
        <v>2.0</v>
      </c>
      <c r="DT11" s="50">
        <v>2.0</v>
      </c>
      <c r="DU11" s="50">
        <v>2.0</v>
      </c>
      <c r="DV11" s="50">
        <v>2.0</v>
      </c>
      <c r="DW11" s="50">
        <v>2.0</v>
      </c>
      <c r="DX11" s="50" t="s">
        <v>64</v>
      </c>
      <c r="DY11" s="50" t="s">
        <v>64</v>
      </c>
      <c r="DZ11" s="50" t="s">
        <v>64</v>
      </c>
      <c r="EA11" s="50"/>
    </row>
    <row r="12" ht="15.75" customHeight="1">
      <c r="A12" s="14">
        <v>11.0</v>
      </c>
      <c r="B12" s="14" t="s">
        <v>162</v>
      </c>
      <c r="C12" s="14" t="str">
        <f t="array" ref="C12">IFERROR(INDEX(DOCUMENTOS!$E:$E,MATCH($A12,DOCUMENTOS!$A:$A,0)),"")</f>
        <v/>
      </c>
      <c r="D12" s="14" t="str">
        <f t="array" ref="D12">IFERROR(INDEX('BANCO DE PERGUNTAS'!$D:$D,MATCH($B12,'BANCO DE PERGUNTAS'!$A:$A,0)),"")</f>
        <v>Qual é o valor indicado para o Valor Total Anual do Objeto licitado?</v>
      </c>
      <c r="E12" s="14" t="str">
        <f t="array" ref="E12">IFERROR(INDEX('BANCO DE PERGUNTAS'!$B:$B,MATCH($B12,'BANCO DE PERGUNTAS'!$A:$A,0)),"")</f>
        <v>Localização</v>
      </c>
      <c r="F12" s="17">
        <f t="array" ref="F12">IFERROR(INDEX('BANCO DE PERGUNTAS'!$H:$H,MATCH($B12,'BANCO DE PERGUNTAS'!$A:$A,0)),"")</f>
        <v>1</v>
      </c>
      <c r="I12" s="50"/>
      <c r="J12" s="50"/>
      <c r="K12" s="50"/>
      <c r="L12" s="50"/>
      <c r="M12" s="50"/>
      <c r="N12" s="50"/>
      <c r="O12" s="50"/>
      <c r="P12" s="50"/>
      <c r="Q12" s="50"/>
      <c r="R12" s="50"/>
      <c r="S12" s="50"/>
      <c r="U12" s="51" t="s">
        <v>694</v>
      </c>
      <c r="W12" s="50">
        <v>2.0</v>
      </c>
      <c r="X12" s="50">
        <v>2.0</v>
      </c>
      <c r="Y12" s="50">
        <v>2.0</v>
      </c>
      <c r="Z12" s="50">
        <v>2.0</v>
      </c>
      <c r="AA12" s="50">
        <v>2.0</v>
      </c>
      <c r="AB12" s="50">
        <v>2.0</v>
      </c>
      <c r="AC12" s="50">
        <v>2.0</v>
      </c>
      <c r="AD12" s="50" t="s">
        <v>64</v>
      </c>
      <c r="AE12" s="50" t="s">
        <v>64</v>
      </c>
      <c r="AF12" s="50" t="s">
        <v>64</v>
      </c>
      <c r="AG12" s="50"/>
      <c r="AI12" s="52" t="s">
        <v>695</v>
      </c>
      <c r="AK12" s="50">
        <v>2.0</v>
      </c>
      <c r="AL12" s="50">
        <v>2.0</v>
      </c>
      <c r="AM12" s="50">
        <v>2.0</v>
      </c>
      <c r="AN12" s="50">
        <v>2.0</v>
      </c>
      <c r="AO12" s="50">
        <v>2.0</v>
      </c>
      <c r="AP12" s="50">
        <v>2.0</v>
      </c>
      <c r="AQ12" s="50">
        <v>2.0</v>
      </c>
      <c r="AR12" s="50" t="s">
        <v>64</v>
      </c>
      <c r="AS12" s="50" t="s">
        <v>64</v>
      </c>
      <c r="AT12" s="50" t="s">
        <v>64</v>
      </c>
      <c r="AU12" s="50"/>
      <c r="AY12" s="50"/>
      <c r="AZ12" s="50"/>
      <c r="BA12" s="50"/>
      <c r="BB12" s="50"/>
      <c r="BC12" s="50"/>
      <c r="BD12" s="50"/>
      <c r="BE12" s="50"/>
      <c r="BF12" s="50"/>
      <c r="BG12" s="50"/>
      <c r="BH12" s="50"/>
      <c r="BI12" s="50"/>
      <c r="BK12" s="53" t="s">
        <v>696</v>
      </c>
      <c r="BM12" s="50">
        <v>2.0</v>
      </c>
      <c r="BN12" s="50">
        <v>2.0</v>
      </c>
      <c r="BO12" s="50">
        <v>2.0</v>
      </c>
      <c r="BP12" s="50">
        <v>2.0</v>
      </c>
      <c r="BQ12" s="50">
        <v>2.0</v>
      </c>
      <c r="BR12" s="50">
        <v>2.0</v>
      </c>
      <c r="BS12" s="50">
        <v>2.0</v>
      </c>
      <c r="BT12" s="50" t="s">
        <v>64</v>
      </c>
      <c r="BU12" s="50" t="s">
        <v>64</v>
      </c>
      <c r="BV12" s="50" t="s">
        <v>64</v>
      </c>
      <c r="BW12" s="50"/>
      <c r="BY12" s="58" t="s">
        <v>701</v>
      </c>
      <c r="CA12" s="50">
        <v>2.0</v>
      </c>
      <c r="CB12" s="50">
        <v>2.0</v>
      </c>
      <c r="CC12" s="50">
        <v>2.0</v>
      </c>
      <c r="CD12" s="50">
        <v>2.0</v>
      </c>
      <c r="CE12" s="50">
        <v>2.0</v>
      </c>
      <c r="CF12" s="50">
        <v>2.0</v>
      </c>
      <c r="CG12" s="50">
        <v>2.0</v>
      </c>
      <c r="CH12" s="50" t="s">
        <v>64</v>
      </c>
      <c r="CI12" s="50" t="s">
        <v>64</v>
      </c>
      <c r="CJ12" s="50" t="s">
        <v>64</v>
      </c>
      <c r="CK12" s="50"/>
      <c r="CO12" s="50"/>
      <c r="CP12" s="50"/>
      <c r="CQ12" s="50"/>
      <c r="CR12" s="50"/>
      <c r="CS12" s="50"/>
      <c r="CT12" s="50"/>
      <c r="CU12" s="50"/>
      <c r="CV12" s="50"/>
      <c r="CW12" s="50"/>
      <c r="CX12" s="50"/>
      <c r="CY12" s="50"/>
      <c r="DA12" s="59" t="s">
        <v>703</v>
      </c>
      <c r="DC12" s="50">
        <v>2.0</v>
      </c>
      <c r="DD12" s="50">
        <v>2.0</v>
      </c>
      <c r="DE12" s="50">
        <v>2.0</v>
      </c>
      <c r="DF12" s="50">
        <v>2.0</v>
      </c>
      <c r="DG12" s="50">
        <v>2.0</v>
      </c>
      <c r="DH12" s="50">
        <v>2.0</v>
      </c>
      <c r="DI12" s="50">
        <v>2.0</v>
      </c>
      <c r="DJ12" s="50" t="s">
        <v>64</v>
      </c>
      <c r="DK12" s="50" t="s">
        <v>64</v>
      </c>
      <c r="DL12" s="50" t="s">
        <v>64</v>
      </c>
      <c r="DM12" s="50"/>
      <c r="DO12" s="60" t="s">
        <v>704</v>
      </c>
      <c r="DQ12" s="50">
        <v>2.0</v>
      </c>
      <c r="DR12" s="50">
        <v>2.0</v>
      </c>
      <c r="DS12" s="50">
        <v>2.0</v>
      </c>
      <c r="DT12" s="50">
        <v>2.0</v>
      </c>
      <c r="DU12" s="50">
        <v>2.0</v>
      </c>
      <c r="DV12" s="50">
        <v>2.0</v>
      </c>
      <c r="DW12" s="50">
        <v>2.0</v>
      </c>
      <c r="DX12" s="50" t="s">
        <v>64</v>
      </c>
      <c r="DY12" s="50" t="s">
        <v>64</v>
      </c>
      <c r="DZ12" s="50" t="s">
        <v>64</v>
      </c>
      <c r="EA12" s="50"/>
    </row>
    <row r="13" ht="15.75" customHeight="1">
      <c r="A13" s="11">
        <v>11.0</v>
      </c>
      <c r="B13" s="11" t="s">
        <v>168</v>
      </c>
      <c r="C13" s="11" t="str">
        <f t="array" ref="C13">IFERROR(INDEX(DOCUMENTOS!$E:$E,MATCH($A13,DOCUMENTOS!$A:$A,0)),"")</f>
        <v/>
      </c>
      <c r="D13" s="11" t="str">
        <f t="array" ref="D13">IFERROR(INDEX('BANCO DE PERGUNTAS'!$D:$D,MATCH($B13,'BANCO DE PERGUNTAS'!$A:$A,0)),"")</f>
        <v>Qual é a data indicada para de assinatura de todos os membros da comissão da contratação?</v>
      </c>
      <c r="E13" s="11" t="str">
        <f t="array" ref="E13">IFERROR(INDEX('BANCO DE PERGUNTAS'!$B:$B,MATCH($B13,'BANCO DE PERGUNTAS'!$A:$A,0)),"")</f>
        <v>Localização</v>
      </c>
      <c r="F13" s="12">
        <f t="array" ref="F13">IFERROR(INDEX('BANCO DE PERGUNTAS'!$H:$H,MATCH($B13,'BANCO DE PERGUNTAS'!$A:$A,0)),"")</f>
        <v>1</v>
      </c>
      <c r="I13" s="50"/>
      <c r="J13" s="50"/>
      <c r="K13" s="50"/>
      <c r="L13" s="50"/>
      <c r="M13" s="50"/>
      <c r="N13" s="50"/>
      <c r="O13" s="50"/>
      <c r="P13" s="50"/>
      <c r="Q13" s="50"/>
      <c r="R13" s="50"/>
      <c r="S13" s="50"/>
      <c r="U13" s="63" t="s">
        <v>716</v>
      </c>
      <c r="W13" s="50">
        <v>2.0</v>
      </c>
      <c r="X13" s="50">
        <v>2.0</v>
      </c>
      <c r="Y13" s="50">
        <v>2.0</v>
      </c>
      <c r="Z13" s="50">
        <v>2.0</v>
      </c>
      <c r="AA13" s="50">
        <v>2.0</v>
      </c>
      <c r="AB13" s="50">
        <v>2.0</v>
      </c>
      <c r="AC13" s="50">
        <v>2.0</v>
      </c>
      <c r="AD13" s="50" t="s">
        <v>64</v>
      </c>
      <c r="AE13" s="50" t="s">
        <v>64</v>
      </c>
      <c r="AF13" s="50" t="s">
        <v>64</v>
      </c>
      <c r="AG13" s="50"/>
      <c r="AI13" s="52" t="s">
        <v>717</v>
      </c>
      <c r="AK13" s="50">
        <v>2.0</v>
      </c>
      <c r="AL13" s="50">
        <v>2.0</v>
      </c>
      <c r="AM13" s="50">
        <v>2.0</v>
      </c>
      <c r="AN13" s="50">
        <v>2.0</v>
      </c>
      <c r="AO13" s="50">
        <v>2.0</v>
      </c>
      <c r="AP13" s="50">
        <v>2.0</v>
      </c>
      <c r="AQ13" s="50">
        <v>2.0</v>
      </c>
      <c r="AR13" s="50" t="s">
        <v>64</v>
      </c>
      <c r="AS13" s="50" t="s">
        <v>64</v>
      </c>
      <c r="AT13" s="50" t="s">
        <v>64</v>
      </c>
      <c r="AU13" s="50"/>
      <c r="AY13" s="50"/>
      <c r="AZ13" s="50"/>
      <c r="BA13" s="50"/>
      <c r="BB13" s="50"/>
      <c r="BC13" s="50"/>
      <c r="BD13" s="50"/>
      <c r="BE13" s="50"/>
      <c r="BF13" s="50"/>
      <c r="BG13" s="50"/>
      <c r="BH13" s="50"/>
      <c r="BI13" s="50"/>
      <c r="BK13" s="53" t="s">
        <v>718</v>
      </c>
      <c r="BM13" s="50">
        <v>2.0</v>
      </c>
      <c r="BN13" s="50">
        <v>2.0</v>
      </c>
      <c r="BO13" s="50">
        <v>2.0</v>
      </c>
      <c r="BP13" s="50">
        <v>2.0</v>
      </c>
      <c r="BQ13" s="50">
        <v>2.0</v>
      </c>
      <c r="BR13" s="50">
        <v>2.0</v>
      </c>
      <c r="BS13" s="50">
        <v>2.0</v>
      </c>
      <c r="BT13" s="50" t="s">
        <v>64</v>
      </c>
      <c r="BU13" s="50" t="s">
        <v>64</v>
      </c>
      <c r="BV13" s="50" t="s">
        <v>64</v>
      </c>
      <c r="BW13" s="50"/>
      <c r="BY13" s="58" t="s">
        <v>725</v>
      </c>
      <c r="CA13" s="50">
        <v>2.0</v>
      </c>
      <c r="CB13" s="50">
        <v>2.0</v>
      </c>
      <c r="CC13" s="50">
        <v>2.0</v>
      </c>
      <c r="CD13" s="50">
        <v>2.0</v>
      </c>
      <c r="CE13" s="50">
        <v>2.0</v>
      </c>
      <c r="CF13" s="50">
        <v>2.0</v>
      </c>
      <c r="CG13" s="50">
        <v>2.0</v>
      </c>
      <c r="CH13" s="50" t="s">
        <v>64</v>
      </c>
      <c r="CI13" s="50" t="s">
        <v>64</v>
      </c>
      <c r="CJ13" s="50" t="s">
        <v>64</v>
      </c>
      <c r="CK13" s="50"/>
      <c r="CO13" s="50"/>
      <c r="CP13" s="50"/>
      <c r="CQ13" s="50"/>
      <c r="CR13" s="50"/>
      <c r="CS13" s="50"/>
      <c r="CT13" s="50"/>
      <c r="CU13" s="50"/>
      <c r="CV13" s="50"/>
      <c r="CW13" s="50"/>
      <c r="CX13" s="50"/>
      <c r="CY13" s="50"/>
      <c r="DA13" s="59" t="s">
        <v>726</v>
      </c>
      <c r="DC13" s="50">
        <v>2.0</v>
      </c>
      <c r="DD13" s="50">
        <v>2.0</v>
      </c>
      <c r="DE13" s="50">
        <v>2.0</v>
      </c>
      <c r="DF13" s="50">
        <v>2.0</v>
      </c>
      <c r="DG13" s="50">
        <v>2.0</v>
      </c>
      <c r="DH13" s="50">
        <v>2.0</v>
      </c>
      <c r="DI13" s="50">
        <v>2.0</v>
      </c>
      <c r="DJ13" s="50" t="s">
        <v>64</v>
      </c>
      <c r="DK13" s="50" t="s">
        <v>64</v>
      </c>
      <c r="DL13" s="50" t="s">
        <v>64</v>
      </c>
      <c r="DM13" s="50"/>
      <c r="DO13" s="60" t="s">
        <v>727</v>
      </c>
      <c r="DQ13" s="50">
        <v>2.0</v>
      </c>
      <c r="DR13" s="50">
        <v>2.0</v>
      </c>
      <c r="DS13" s="50">
        <v>2.0</v>
      </c>
      <c r="DT13" s="50">
        <v>2.0</v>
      </c>
      <c r="DU13" s="50">
        <v>2.0</v>
      </c>
      <c r="DV13" s="50">
        <v>2.0</v>
      </c>
      <c r="DW13" s="50">
        <v>2.0</v>
      </c>
      <c r="DX13" s="50" t="s">
        <v>64</v>
      </c>
      <c r="DY13" s="50" t="s">
        <v>64</v>
      </c>
      <c r="DZ13" s="50" t="s">
        <v>64</v>
      </c>
      <c r="EA13" s="50"/>
    </row>
    <row r="14" ht="15.75" customHeight="1">
      <c r="A14" s="14">
        <v>11.0</v>
      </c>
      <c r="B14" s="14" t="s">
        <v>172</v>
      </c>
      <c r="C14" s="14" t="str">
        <f t="array" ref="C14">IFERROR(INDEX(DOCUMENTOS!$E:$E,MATCH($A14,DOCUMENTOS!$A:$A,0)),"")</f>
        <v/>
      </c>
      <c r="D14" s="14" t="str">
        <f t="array" ref="D14">IFERROR(INDEX('BANCO DE PERGUNTAS'!$D:$D,MATCH($B14,'BANCO DE PERGUNTAS'!$A:$A,0)),"")</f>
        <v>Extraia os principais dados do documento em formato estruturado.</v>
      </c>
      <c r="E14" s="14" t="str">
        <f t="array" ref="E14">IFERROR(INDEX('BANCO DE PERGUNTAS'!$B:$B,MATCH($B14,'BANCO DE PERGUNTAS'!$A:$A,0)),"")</f>
        <v>Extração</v>
      </c>
      <c r="F14" s="17">
        <f t="array" ref="F14">IFERROR(INDEX('BANCO DE PERGUNTAS'!$H:$H,MATCH($B14,'BANCO DE PERGUNTAS'!$A:$A,0)),"")</f>
        <v>2</v>
      </c>
      <c r="I14" s="50"/>
      <c r="J14" s="50"/>
      <c r="K14" s="50"/>
      <c r="L14" s="50"/>
      <c r="M14" s="50"/>
      <c r="N14" s="50"/>
      <c r="O14" s="50"/>
      <c r="P14" s="50"/>
      <c r="Q14" s="50"/>
      <c r="R14" s="50"/>
      <c r="S14" s="50"/>
      <c r="U14" s="51" t="s">
        <v>749</v>
      </c>
      <c r="W14" s="50">
        <v>2.0</v>
      </c>
      <c r="X14" s="50">
        <v>2.0</v>
      </c>
      <c r="Y14" s="50">
        <v>2.0</v>
      </c>
      <c r="Z14" s="50">
        <v>2.0</v>
      </c>
      <c r="AA14" s="50">
        <v>2.0</v>
      </c>
      <c r="AB14" s="50">
        <v>2.0</v>
      </c>
      <c r="AC14" s="50">
        <v>2.0</v>
      </c>
      <c r="AD14" s="50" t="s">
        <v>64</v>
      </c>
      <c r="AE14" s="50" t="s">
        <v>64</v>
      </c>
      <c r="AF14" s="50" t="s">
        <v>64</v>
      </c>
      <c r="AG14" s="50"/>
      <c r="AI14" s="52" t="s">
        <v>756</v>
      </c>
      <c r="AK14" s="50">
        <v>2.0</v>
      </c>
      <c r="AL14" s="50">
        <v>2.0</v>
      </c>
      <c r="AM14" s="50">
        <v>2.0</v>
      </c>
      <c r="AN14" s="50">
        <v>2.0</v>
      </c>
      <c r="AO14" s="50">
        <v>2.0</v>
      </c>
      <c r="AP14" s="50">
        <v>2.0</v>
      </c>
      <c r="AQ14" s="50">
        <v>2.0</v>
      </c>
      <c r="AR14" s="50" t="s">
        <v>64</v>
      </c>
      <c r="AS14" s="50" t="s">
        <v>64</v>
      </c>
      <c r="AT14" s="50" t="s">
        <v>64</v>
      </c>
      <c r="AU14" s="50"/>
      <c r="AY14" s="50"/>
      <c r="AZ14" s="50"/>
      <c r="BA14" s="50"/>
      <c r="BB14" s="50"/>
      <c r="BC14" s="50"/>
      <c r="BD14" s="50"/>
      <c r="BE14" s="50"/>
      <c r="BF14" s="50"/>
      <c r="BG14" s="50"/>
      <c r="BH14" s="50"/>
      <c r="BI14" s="50"/>
      <c r="BK14" s="53" t="s">
        <v>758</v>
      </c>
      <c r="BM14" s="50">
        <v>2.0</v>
      </c>
      <c r="BN14" s="50">
        <v>2.0</v>
      </c>
      <c r="BO14" s="50">
        <v>2.0</v>
      </c>
      <c r="BP14" s="50">
        <v>2.0</v>
      </c>
      <c r="BQ14" s="50">
        <v>2.0</v>
      </c>
      <c r="BR14" s="50">
        <v>2.0</v>
      </c>
      <c r="BS14" s="50">
        <v>2.0</v>
      </c>
      <c r="BT14" s="50" t="s">
        <v>64</v>
      </c>
      <c r="BU14" s="50" t="s">
        <v>64</v>
      </c>
      <c r="BV14" s="50" t="s">
        <v>64</v>
      </c>
      <c r="BW14" s="50"/>
      <c r="BY14" s="58" t="s">
        <v>759</v>
      </c>
      <c r="CA14" s="50">
        <v>2.0</v>
      </c>
      <c r="CB14" s="50">
        <v>2.0</v>
      </c>
      <c r="CC14" s="50">
        <v>2.0</v>
      </c>
      <c r="CD14" s="50">
        <v>2.0</v>
      </c>
      <c r="CE14" s="50">
        <v>2.0</v>
      </c>
      <c r="CF14" s="50">
        <v>2.0</v>
      </c>
      <c r="CG14" s="50">
        <v>2.0</v>
      </c>
      <c r="CH14" s="50" t="s">
        <v>64</v>
      </c>
      <c r="CI14" s="50" t="s">
        <v>64</v>
      </c>
      <c r="CJ14" s="50" t="s">
        <v>64</v>
      </c>
      <c r="CK14" s="50"/>
      <c r="CO14" s="50"/>
      <c r="CP14" s="50"/>
      <c r="CQ14" s="50"/>
      <c r="CR14" s="50"/>
      <c r="CS14" s="50"/>
      <c r="CT14" s="50"/>
      <c r="CU14" s="50"/>
      <c r="CV14" s="50"/>
      <c r="CW14" s="50"/>
      <c r="CX14" s="50"/>
      <c r="CY14" s="50"/>
      <c r="DA14" s="59" t="s">
        <v>760</v>
      </c>
      <c r="DC14" s="50">
        <v>2.0</v>
      </c>
      <c r="DD14" s="50">
        <v>2.0</v>
      </c>
      <c r="DE14" s="50">
        <v>2.0</v>
      </c>
      <c r="DF14" s="50">
        <v>2.0</v>
      </c>
      <c r="DG14" s="50">
        <v>2.0</v>
      </c>
      <c r="DH14" s="50">
        <v>2.0</v>
      </c>
      <c r="DI14" s="50">
        <v>2.0</v>
      </c>
      <c r="DJ14" s="50" t="s">
        <v>64</v>
      </c>
      <c r="DK14" s="50" t="s">
        <v>64</v>
      </c>
      <c r="DL14" s="50" t="s">
        <v>64</v>
      </c>
      <c r="DM14" s="50"/>
      <c r="DO14" s="60" t="s">
        <v>769</v>
      </c>
      <c r="DQ14" s="50">
        <v>2.0</v>
      </c>
      <c r="DR14" s="50">
        <v>2.0</v>
      </c>
      <c r="DS14" s="50">
        <v>2.0</v>
      </c>
      <c r="DT14" s="50">
        <v>2.0</v>
      </c>
      <c r="DU14" s="50">
        <v>2.0</v>
      </c>
      <c r="DV14" s="50">
        <v>2.0</v>
      </c>
      <c r="DW14" s="50">
        <v>2.0</v>
      </c>
      <c r="DX14" s="50" t="s">
        <v>64</v>
      </c>
      <c r="DY14" s="50" t="s">
        <v>64</v>
      </c>
      <c r="DZ14" s="50" t="s">
        <v>64</v>
      </c>
      <c r="EA14" s="50"/>
    </row>
    <row r="15" ht="15.75" customHeight="1">
      <c r="A15" s="11">
        <v>11.0</v>
      </c>
      <c r="B15" s="11" t="s">
        <v>179</v>
      </c>
      <c r="C15" s="11" t="str">
        <f t="array" ref="C15">IFERROR(INDEX(DOCUMENTOS!$E:$E,MATCH($A15,DOCUMENTOS!$A:$A,0)),"")</f>
        <v/>
      </c>
      <c r="D15" s="11" t="str">
        <f t="array" ref="D15">IFERROR(INDEX('BANCO DE PERGUNTAS'!$D:$D,MATCH($B15,'BANCO DE PERGUNTAS'!$A:$A,0)),"")</f>
        <v>Liste os valores financeiros presentes no documento.</v>
      </c>
      <c r="E15" s="11" t="str">
        <f t="array" ref="E15">IFERROR(INDEX('BANCO DE PERGUNTAS'!$B:$B,MATCH($B15,'BANCO DE PERGUNTAS'!$A:$A,0)),"")</f>
        <v>Extração</v>
      </c>
      <c r="F15" s="12">
        <f t="array" ref="F15">IFERROR(INDEX('BANCO DE PERGUNTAS'!$H:$H,MATCH($B15,'BANCO DE PERGUNTAS'!$A:$A,0)),"")</f>
        <v>2</v>
      </c>
      <c r="I15" s="50"/>
      <c r="J15" s="50"/>
      <c r="K15" s="50"/>
      <c r="L15" s="50"/>
      <c r="M15" s="50"/>
      <c r="N15" s="50"/>
      <c r="O15" s="50"/>
      <c r="P15" s="50"/>
      <c r="Q15" s="50"/>
      <c r="R15" s="50"/>
      <c r="S15" s="50"/>
      <c r="U15" s="63" t="s">
        <v>794</v>
      </c>
      <c r="W15" s="50">
        <v>2.0</v>
      </c>
      <c r="X15" s="50">
        <v>2.0</v>
      </c>
      <c r="Y15" s="50">
        <v>2.0</v>
      </c>
      <c r="Z15" s="50">
        <v>2.0</v>
      </c>
      <c r="AA15" s="50">
        <v>2.0</v>
      </c>
      <c r="AB15" s="50">
        <v>2.0</v>
      </c>
      <c r="AC15" s="50">
        <v>2.0</v>
      </c>
      <c r="AD15" s="50" t="s">
        <v>64</v>
      </c>
      <c r="AE15" s="50" t="s">
        <v>64</v>
      </c>
      <c r="AF15" s="50" t="s">
        <v>64</v>
      </c>
      <c r="AG15" s="50"/>
      <c r="AI15" s="52" t="s">
        <v>795</v>
      </c>
      <c r="AK15" s="50">
        <v>2.0</v>
      </c>
      <c r="AL15" s="50">
        <v>2.0</v>
      </c>
      <c r="AM15" s="50">
        <v>2.0</v>
      </c>
      <c r="AN15" s="50">
        <v>2.0</v>
      </c>
      <c r="AO15" s="50">
        <v>2.0</v>
      </c>
      <c r="AP15" s="50">
        <v>2.0</v>
      </c>
      <c r="AQ15" s="50">
        <v>2.0</v>
      </c>
      <c r="AR15" s="50" t="s">
        <v>64</v>
      </c>
      <c r="AS15" s="50" t="s">
        <v>64</v>
      </c>
      <c r="AT15" s="50" t="s">
        <v>64</v>
      </c>
      <c r="AU15" s="50"/>
      <c r="AY15" s="50"/>
      <c r="AZ15" s="50"/>
      <c r="BA15" s="50"/>
      <c r="BB15" s="50"/>
      <c r="BC15" s="50"/>
      <c r="BD15" s="50"/>
      <c r="BE15" s="50"/>
      <c r="BF15" s="50"/>
      <c r="BG15" s="50"/>
      <c r="BH15" s="50"/>
      <c r="BI15" s="50"/>
      <c r="BK15" s="53" t="s">
        <v>805</v>
      </c>
      <c r="BM15" s="50">
        <v>2.0</v>
      </c>
      <c r="BN15" s="50">
        <v>2.0</v>
      </c>
      <c r="BO15" s="50">
        <v>2.0</v>
      </c>
      <c r="BP15" s="50">
        <v>2.0</v>
      </c>
      <c r="BQ15" s="50">
        <v>2.0</v>
      </c>
      <c r="BR15" s="50">
        <v>2.0</v>
      </c>
      <c r="BS15" s="50">
        <v>2.0</v>
      </c>
      <c r="BT15" s="50" t="s">
        <v>64</v>
      </c>
      <c r="BU15" s="50" t="s">
        <v>64</v>
      </c>
      <c r="BV15" s="50" t="s">
        <v>64</v>
      </c>
      <c r="BW15" s="50"/>
      <c r="BY15" s="58" t="s">
        <v>795</v>
      </c>
      <c r="CA15" s="50">
        <v>2.0</v>
      </c>
      <c r="CB15" s="50">
        <v>2.0</v>
      </c>
      <c r="CC15" s="50">
        <v>2.0</v>
      </c>
      <c r="CD15" s="50">
        <v>2.0</v>
      </c>
      <c r="CE15" s="50">
        <v>2.0</v>
      </c>
      <c r="CF15" s="50">
        <v>2.0</v>
      </c>
      <c r="CG15" s="50">
        <v>2.0</v>
      </c>
      <c r="CH15" s="50" t="s">
        <v>64</v>
      </c>
      <c r="CI15" s="50" t="s">
        <v>64</v>
      </c>
      <c r="CJ15" s="50" t="s">
        <v>64</v>
      </c>
      <c r="CK15" s="50"/>
      <c r="CO15" s="50"/>
      <c r="CP15" s="50"/>
      <c r="CQ15" s="50"/>
      <c r="CR15" s="50"/>
      <c r="CS15" s="50"/>
      <c r="CT15" s="50"/>
      <c r="CU15" s="50"/>
      <c r="CV15" s="50"/>
      <c r="CW15" s="50"/>
      <c r="CX15" s="50"/>
      <c r="CY15" s="50"/>
      <c r="DA15" s="59" t="s">
        <v>840</v>
      </c>
      <c r="DC15" s="50">
        <v>2.0</v>
      </c>
      <c r="DD15" s="50">
        <v>2.0</v>
      </c>
      <c r="DE15" s="50">
        <v>2.0</v>
      </c>
      <c r="DF15" s="50">
        <v>2.0</v>
      </c>
      <c r="DG15" s="50">
        <v>2.0</v>
      </c>
      <c r="DH15" s="50">
        <v>2.0</v>
      </c>
      <c r="DI15" s="50">
        <v>2.0</v>
      </c>
      <c r="DJ15" s="50" t="s">
        <v>64</v>
      </c>
      <c r="DK15" s="50" t="s">
        <v>64</v>
      </c>
      <c r="DL15" s="50" t="s">
        <v>64</v>
      </c>
      <c r="DM15" s="50"/>
      <c r="DO15" s="60" t="s">
        <v>853</v>
      </c>
      <c r="DQ15" s="50">
        <v>2.0</v>
      </c>
      <c r="DR15" s="50">
        <v>2.0</v>
      </c>
      <c r="DS15" s="50">
        <v>2.0</v>
      </c>
      <c r="DT15" s="50">
        <v>2.0</v>
      </c>
      <c r="DU15" s="50">
        <v>2.0</v>
      </c>
      <c r="DV15" s="50">
        <v>2.0</v>
      </c>
      <c r="DW15" s="50">
        <v>2.0</v>
      </c>
      <c r="DX15" s="50" t="s">
        <v>64</v>
      </c>
      <c r="DY15" s="50" t="s">
        <v>64</v>
      </c>
      <c r="DZ15" s="50" t="s">
        <v>64</v>
      </c>
      <c r="EA15" s="50"/>
    </row>
    <row r="16" ht="15.75" customHeight="1">
      <c r="A16" s="14">
        <v>11.0</v>
      </c>
      <c r="B16" s="14" t="s">
        <v>186</v>
      </c>
      <c r="C16" s="14" t="str">
        <f t="array" ref="C16">IFERROR(INDEX(DOCUMENTOS!$E:$E,MATCH($A16,DOCUMENTOS!$A:$A,0)),"")</f>
        <v/>
      </c>
      <c r="D16" s="14" t="str">
        <f t="array" ref="D16">IFERROR(INDEX('BANCO DE PERGUNTAS'!$D:$D,MATCH($B16,'BANCO DE PERGUNTAS'!$A:$A,0)),"")</f>
        <v>Liste as obrigações ou responsabilidades estabelecidas.</v>
      </c>
      <c r="E16" s="14" t="str">
        <f t="array" ref="E16">IFERROR(INDEX('BANCO DE PERGUNTAS'!$B:$B,MATCH($B16,'BANCO DE PERGUNTAS'!$A:$A,0)),"")</f>
        <v>Extração</v>
      </c>
      <c r="F16" s="17">
        <f t="array" ref="F16">IFERROR(INDEX('BANCO DE PERGUNTAS'!$H:$H,MATCH($B16,'BANCO DE PERGUNTAS'!$A:$A,0)),"")</f>
        <v>2</v>
      </c>
      <c r="I16" s="50"/>
      <c r="J16" s="50"/>
      <c r="K16" s="50"/>
      <c r="L16" s="50"/>
      <c r="M16" s="50"/>
      <c r="N16" s="50"/>
      <c r="O16" s="50"/>
      <c r="P16" s="50"/>
      <c r="Q16" s="50"/>
      <c r="R16" s="50"/>
      <c r="S16" s="50"/>
      <c r="U16" s="51" t="s">
        <v>951</v>
      </c>
      <c r="W16" s="50">
        <v>2.0</v>
      </c>
      <c r="X16" s="50">
        <v>2.0</v>
      </c>
      <c r="Y16" s="50">
        <v>2.0</v>
      </c>
      <c r="Z16" s="50">
        <v>2.0</v>
      </c>
      <c r="AA16" s="50">
        <v>2.0</v>
      </c>
      <c r="AB16" s="50">
        <v>2.0</v>
      </c>
      <c r="AC16" s="50">
        <v>2.0</v>
      </c>
      <c r="AD16" s="50" t="s">
        <v>64</v>
      </c>
      <c r="AE16" s="50" t="s">
        <v>64</v>
      </c>
      <c r="AF16" s="50" t="s">
        <v>64</v>
      </c>
      <c r="AG16" s="50"/>
      <c r="AI16" s="52" t="s">
        <v>952</v>
      </c>
      <c r="AK16" s="50">
        <v>2.0</v>
      </c>
      <c r="AL16" s="50">
        <v>2.0</v>
      </c>
      <c r="AM16" s="50">
        <v>2.0</v>
      </c>
      <c r="AN16" s="50">
        <v>2.0</v>
      </c>
      <c r="AO16" s="50">
        <v>2.0</v>
      </c>
      <c r="AP16" s="50">
        <v>2.0</v>
      </c>
      <c r="AQ16" s="50">
        <v>2.0</v>
      </c>
      <c r="AR16" s="50" t="s">
        <v>64</v>
      </c>
      <c r="AS16" s="50" t="s">
        <v>64</v>
      </c>
      <c r="AT16" s="50" t="s">
        <v>64</v>
      </c>
      <c r="AU16" s="50"/>
      <c r="AY16" s="50"/>
      <c r="AZ16" s="50"/>
      <c r="BA16" s="50"/>
      <c r="BB16" s="50"/>
      <c r="BC16" s="50"/>
      <c r="BD16" s="50"/>
      <c r="BE16" s="50"/>
      <c r="BF16" s="50"/>
      <c r="BG16" s="50"/>
      <c r="BH16" s="50"/>
      <c r="BI16" s="50"/>
      <c r="BK16" s="53" t="s">
        <v>953</v>
      </c>
      <c r="BM16" s="50">
        <v>2.0</v>
      </c>
      <c r="BN16" s="50">
        <v>2.0</v>
      </c>
      <c r="BO16" s="50">
        <v>2.0</v>
      </c>
      <c r="BP16" s="50">
        <v>2.0</v>
      </c>
      <c r="BQ16" s="50">
        <v>2.0</v>
      </c>
      <c r="BR16" s="50">
        <v>2.0</v>
      </c>
      <c r="BS16" s="50">
        <v>2.0</v>
      </c>
      <c r="BT16" s="50" t="s">
        <v>64</v>
      </c>
      <c r="BU16" s="50" t="s">
        <v>64</v>
      </c>
      <c r="BV16" s="50" t="s">
        <v>64</v>
      </c>
      <c r="BW16" s="50"/>
      <c r="BY16" s="58" t="s">
        <v>954</v>
      </c>
      <c r="CA16" s="50">
        <v>2.0</v>
      </c>
      <c r="CB16" s="50">
        <v>2.0</v>
      </c>
      <c r="CC16" s="50">
        <v>2.0</v>
      </c>
      <c r="CD16" s="50">
        <v>2.0</v>
      </c>
      <c r="CE16" s="50">
        <v>2.0</v>
      </c>
      <c r="CF16" s="50">
        <v>2.0</v>
      </c>
      <c r="CG16" s="50">
        <v>2.0</v>
      </c>
      <c r="CH16" s="50" t="s">
        <v>64</v>
      </c>
      <c r="CI16" s="50" t="s">
        <v>64</v>
      </c>
      <c r="CJ16" s="50" t="s">
        <v>64</v>
      </c>
      <c r="CK16" s="50"/>
      <c r="CO16" s="50"/>
      <c r="CP16" s="50"/>
      <c r="CQ16" s="50"/>
      <c r="CR16" s="50"/>
      <c r="CS16" s="50"/>
      <c r="CT16" s="50"/>
      <c r="CU16" s="50"/>
      <c r="CV16" s="50"/>
      <c r="CW16" s="50"/>
      <c r="CX16" s="50"/>
      <c r="CY16" s="50"/>
      <c r="DA16" s="59" t="s">
        <v>958</v>
      </c>
      <c r="DC16" s="50">
        <v>1.0</v>
      </c>
      <c r="DD16" s="50">
        <v>1.0</v>
      </c>
      <c r="DE16" s="50">
        <v>1.0</v>
      </c>
      <c r="DF16" s="50">
        <v>2.0</v>
      </c>
      <c r="DG16" s="50">
        <v>2.0</v>
      </c>
      <c r="DH16" s="50">
        <v>1.0</v>
      </c>
      <c r="DI16" s="50">
        <v>2.0</v>
      </c>
      <c r="DJ16" s="50" t="s">
        <v>64</v>
      </c>
      <c r="DK16" s="50" t="s">
        <v>101</v>
      </c>
      <c r="DL16" s="50" t="s">
        <v>101</v>
      </c>
      <c r="DM16" s="50" t="s">
        <v>447</v>
      </c>
      <c r="DO16" s="60" t="s">
        <v>960</v>
      </c>
      <c r="DQ16" s="50">
        <v>2.0</v>
      </c>
      <c r="DR16" s="50">
        <v>2.0</v>
      </c>
      <c r="DS16" s="50">
        <v>2.0</v>
      </c>
      <c r="DT16" s="50">
        <v>2.0</v>
      </c>
      <c r="DU16" s="50">
        <v>2.0</v>
      </c>
      <c r="DV16" s="50">
        <v>2.0</v>
      </c>
      <c r="DW16" s="50">
        <v>2.0</v>
      </c>
      <c r="DX16" s="50" t="s">
        <v>64</v>
      </c>
      <c r="DY16" s="50" t="s">
        <v>64</v>
      </c>
      <c r="DZ16" s="50" t="s">
        <v>64</v>
      </c>
      <c r="EA16" s="50" t="s">
        <v>447</v>
      </c>
    </row>
    <row r="17" ht="15.75" customHeight="1">
      <c r="A17" s="11">
        <v>11.0</v>
      </c>
      <c r="B17" s="11" t="s">
        <v>190</v>
      </c>
      <c r="C17" s="11" t="str">
        <f t="array" ref="C17">IFERROR(INDEX(DOCUMENTOS!$E:$E,MATCH($A17,DOCUMENTOS!$A:$A,0)),"")</f>
        <v/>
      </c>
      <c r="D17" s="11" t="str">
        <f t="array" ref="D17">IFERROR(INDEX('BANCO DE PERGUNTAS'!$D:$D,MATCH($B17,'BANCO DE PERGUNTAS'!$A:$A,0)),"")</f>
        <v>Explique o significado da cláusula/seção 4.1.4..</v>
      </c>
      <c r="E17" s="11" t="str">
        <f t="array" ref="E17">IFERROR(INDEX('BANCO DE PERGUNTAS'!$B:$B,MATCH($B17,'BANCO DE PERGUNTAS'!$A:$A,0)),"")</f>
        <v>Interpretação</v>
      </c>
      <c r="F17" s="12">
        <f t="array" ref="F17">IFERROR(INDEX('BANCO DE PERGUNTAS'!$H:$H,MATCH($B17,'BANCO DE PERGUNTAS'!$A:$A,0)),"")</f>
        <v>3</v>
      </c>
      <c r="I17" s="50"/>
      <c r="J17" s="50"/>
      <c r="K17" s="50"/>
      <c r="L17" s="50"/>
      <c r="M17" s="50"/>
      <c r="N17" s="50"/>
      <c r="O17" s="50"/>
      <c r="P17" s="50"/>
      <c r="Q17" s="50"/>
      <c r="R17" s="50"/>
      <c r="S17" s="50"/>
      <c r="U17" s="63" t="s">
        <v>974</v>
      </c>
      <c r="W17" s="50">
        <v>2.0</v>
      </c>
      <c r="X17" s="50">
        <v>2.0</v>
      </c>
      <c r="Y17" s="50">
        <v>2.0</v>
      </c>
      <c r="Z17" s="50">
        <v>2.0</v>
      </c>
      <c r="AA17" s="50">
        <v>2.0</v>
      </c>
      <c r="AB17" s="50">
        <v>2.0</v>
      </c>
      <c r="AC17" s="50">
        <v>2.0</v>
      </c>
      <c r="AD17" s="50" t="s">
        <v>64</v>
      </c>
      <c r="AE17" s="50" t="s">
        <v>64</v>
      </c>
      <c r="AF17" s="50" t="s">
        <v>64</v>
      </c>
      <c r="AG17" s="50"/>
      <c r="AI17" s="52" t="s">
        <v>976</v>
      </c>
      <c r="AK17" s="50">
        <v>2.0</v>
      </c>
      <c r="AL17" s="50">
        <v>2.0</v>
      </c>
      <c r="AM17" s="50">
        <v>2.0</v>
      </c>
      <c r="AN17" s="50">
        <v>2.0</v>
      </c>
      <c r="AO17" s="50">
        <v>2.0</v>
      </c>
      <c r="AP17" s="50">
        <v>2.0</v>
      </c>
      <c r="AQ17" s="50">
        <v>2.0</v>
      </c>
      <c r="AR17" s="50" t="s">
        <v>64</v>
      </c>
      <c r="AS17" s="50" t="s">
        <v>64</v>
      </c>
      <c r="AT17" s="50" t="s">
        <v>64</v>
      </c>
      <c r="AU17" s="50"/>
      <c r="AY17" s="50"/>
      <c r="AZ17" s="50"/>
      <c r="BA17" s="50"/>
      <c r="BB17" s="50"/>
      <c r="BC17" s="50"/>
      <c r="BD17" s="50"/>
      <c r="BE17" s="50"/>
      <c r="BF17" s="50"/>
      <c r="BG17" s="50"/>
      <c r="BH17" s="50"/>
      <c r="BI17" s="50"/>
      <c r="BK17" s="53" t="s">
        <v>977</v>
      </c>
      <c r="BM17" s="50">
        <v>2.0</v>
      </c>
      <c r="BN17" s="50">
        <v>2.0</v>
      </c>
      <c r="BO17" s="50">
        <v>2.0</v>
      </c>
      <c r="BP17" s="50">
        <v>2.0</v>
      </c>
      <c r="BQ17" s="50">
        <v>2.0</v>
      </c>
      <c r="BR17" s="50">
        <v>2.0</v>
      </c>
      <c r="BS17" s="50">
        <v>2.0</v>
      </c>
      <c r="BT17" s="50" t="s">
        <v>64</v>
      </c>
      <c r="BU17" s="50" t="s">
        <v>64</v>
      </c>
      <c r="BV17" s="50" t="s">
        <v>64</v>
      </c>
      <c r="BW17" s="50"/>
      <c r="BY17" s="58" t="s">
        <v>979</v>
      </c>
      <c r="CA17" s="50">
        <v>2.0</v>
      </c>
      <c r="CB17" s="50">
        <v>2.0</v>
      </c>
      <c r="CC17" s="50">
        <v>2.0</v>
      </c>
      <c r="CD17" s="50">
        <v>2.0</v>
      </c>
      <c r="CE17" s="50">
        <v>2.0</v>
      </c>
      <c r="CF17" s="50">
        <v>2.0</v>
      </c>
      <c r="CG17" s="50">
        <v>2.0</v>
      </c>
      <c r="CH17" s="50" t="s">
        <v>64</v>
      </c>
      <c r="CI17" s="50" t="s">
        <v>64</v>
      </c>
      <c r="CJ17" s="50" t="s">
        <v>64</v>
      </c>
      <c r="CK17" s="50"/>
      <c r="CO17" s="50"/>
      <c r="CP17" s="50"/>
      <c r="CQ17" s="50"/>
      <c r="CR17" s="50"/>
      <c r="CS17" s="50"/>
      <c r="CT17" s="50"/>
      <c r="CU17" s="50"/>
      <c r="CV17" s="50"/>
      <c r="CW17" s="50"/>
      <c r="CX17" s="50"/>
      <c r="CY17" s="50"/>
      <c r="DA17" s="59" t="s">
        <v>980</v>
      </c>
      <c r="DC17" s="50">
        <v>2.0</v>
      </c>
      <c r="DD17" s="50">
        <v>2.0</v>
      </c>
      <c r="DE17" s="50">
        <v>2.0</v>
      </c>
      <c r="DF17" s="50">
        <v>2.0</v>
      </c>
      <c r="DG17" s="50">
        <v>2.0</v>
      </c>
      <c r="DH17" s="50">
        <v>2.0</v>
      </c>
      <c r="DI17" s="50">
        <v>2.0</v>
      </c>
      <c r="DJ17" s="50" t="s">
        <v>64</v>
      </c>
      <c r="DK17" s="50" t="s">
        <v>64</v>
      </c>
      <c r="DL17" s="50" t="s">
        <v>64</v>
      </c>
      <c r="DM17" s="50"/>
      <c r="DO17" s="60" t="s">
        <v>987</v>
      </c>
      <c r="DQ17" s="50">
        <v>2.0</v>
      </c>
      <c r="DR17" s="50">
        <v>2.0</v>
      </c>
      <c r="DS17" s="50">
        <v>2.0</v>
      </c>
      <c r="DT17" s="50">
        <v>2.0</v>
      </c>
      <c r="DU17" s="50">
        <v>2.0</v>
      </c>
      <c r="DV17" s="50">
        <v>2.0</v>
      </c>
      <c r="DW17" s="50">
        <v>2.0</v>
      </c>
      <c r="DX17" s="50" t="s">
        <v>64</v>
      </c>
      <c r="DY17" s="50" t="s">
        <v>64</v>
      </c>
      <c r="DZ17" s="50" t="s">
        <v>64</v>
      </c>
      <c r="EA17" s="50"/>
    </row>
    <row r="18" ht="15.75" customHeight="1">
      <c r="A18" s="14">
        <v>11.0</v>
      </c>
      <c r="B18" s="14" t="s">
        <v>199</v>
      </c>
      <c r="C18" s="14" t="str">
        <f t="array" ref="C18">IFERROR(INDEX(DOCUMENTOS!$E:$E,MATCH($A18,DOCUMENTOS!$A:$A,0)),"")</f>
        <v/>
      </c>
      <c r="D18" s="14" t="str">
        <f t="array" ref="D18">IFERROR(INDEX('BANCO DE PERGUNTAS'!$D:$D,MATCH($B18,'BANCO DE PERGUNTAS'!$A:$A,0)),"")</f>
        <v>Qual é a finalidade administrativa deste documento?</v>
      </c>
      <c r="E18" s="14" t="str">
        <f t="array" ref="E18">IFERROR(INDEX('BANCO DE PERGUNTAS'!$B:$B,MATCH($B18,'BANCO DE PERGUNTAS'!$A:$A,0)),"")</f>
        <v>Interpretação</v>
      </c>
      <c r="F18" s="17">
        <f t="array" ref="F18">IFERROR(INDEX('BANCO DE PERGUNTAS'!$H:$H,MATCH($B18,'BANCO DE PERGUNTAS'!$A:$A,0)),"")</f>
        <v>3</v>
      </c>
      <c r="I18" s="50"/>
      <c r="J18" s="50"/>
      <c r="K18" s="50"/>
      <c r="L18" s="50"/>
      <c r="M18" s="50"/>
      <c r="N18" s="50"/>
      <c r="O18" s="50"/>
      <c r="P18" s="50"/>
      <c r="Q18" s="50"/>
      <c r="R18" s="50"/>
      <c r="S18" s="50"/>
      <c r="U18" s="51" t="s">
        <v>1018</v>
      </c>
      <c r="W18" s="50">
        <v>2.0</v>
      </c>
      <c r="X18" s="50">
        <v>2.0</v>
      </c>
      <c r="Y18" s="50">
        <v>2.0</v>
      </c>
      <c r="Z18" s="50">
        <v>2.0</v>
      </c>
      <c r="AA18" s="50">
        <v>2.0</v>
      </c>
      <c r="AB18" s="50">
        <v>2.0</v>
      </c>
      <c r="AC18" s="50">
        <v>2.0</v>
      </c>
      <c r="AD18" s="50" t="s">
        <v>64</v>
      </c>
      <c r="AE18" s="50" t="s">
        <v>64</v>
      </c>
      <c r="AF18" s="50" t="s">
        <v>64</v>
      </c>
      <c r="AG18" s="50"/>
      <c r="AI18" s="52" t="s">
        <v>1020</v>
      </c>
      <c r="AK18" s="50">
        <v>2.0</v>
      </c>
      <c r="AL18" s="50">
        <v>2.0</v>
      </c>
      <c r="AM18" s="50">
        <v>2.0</v>
      </c>
      <c r="AN18" s="50">
        <v>2.0</v>
      </c>
      <c r="AO18" s="50">
        <v>2.0</v>
      </c>
      <c r="AP18" s="50">
        <v>2.0</v>
      </c>
      <c r="AQ18" s="50">
        <v>2.0</v>
      </c>
      <c r="AR18" s="50" t="s">
        <v>64</v>
      </c>
      <c r="AS18" s="50" t="s">
        <v>64</v>
      </c>
      <c r="AT18" s="50" t="s">
        <v>64</v>
      </c>
      <c r="AU18" s="50"/>
      <c r="AY18" s="50"/>
      <c r="AZ18" s="50"/>
      <c r="BA18" s="50"/>
      <c r="BB18" s="50"/>
      <c r="BC18" s="50"/>
      <c r="BD18" s="50"/>
      <c r="BE18" s="50"/>
      <c r="BF18" s="50"/>
      <c r="BG18" s="50"/>
      <c r="BH18" s="50"/>
      <c r="BI18" s="50"/>
      <c r="BK18" s="53" t="s">
        <v>1021</v>
      </c>
      <c r="BM18" s="50">
        <v>2.0</v>
      </c>
      <c r="BN18" s="50">
        <v>2.0</v>
      </c>
      <c r="BO18" s="50">
        <v>2.0</v>
      </c>
      <c r="BP18" s="50">
        <v>2.0</v>
      </c>
      <c r="BQ18" s="50">
        <v>2.0</v>
      </c>
      <c r="BR18" s="50">
        <v>2.0</v>
      </c>
      <c r="BS18" s="50">
        <v>2.0</v>
      </c>
      <c r="BT18" s="50" t="s">
        <v>64</v>
      </c>
      <c r="BU18" s="50" t="s">
        <v>64</v>
      </c>
      <c r="BV18" s="50" t="s">
        <v>64</v>
      </c>
      <c r="BW18" s="50"/>
      <c r="BY18" s="58" t="s">
        <v>1022</v>
      </c>
      <c r="CA18" s="50">
        <v>2.0</v>
      </c>
      <c r="CB18" s="50">
        <v>2.0</v>
      </c>
      <c r="CC18" s="50">
        <v>2.0</v>
      </c>
      <c r="CD18" s="50">
        <v>2.0</v>
      </c>
      <c r="CE18" s="50">
        <v>2.0</v>
      </c>
      <c r="CF18" s="50">
        <v>2.0</v>
      </c>
      <c r="CG18" s="50">
        <v>2.0</v>
      </c>
      <c r="CH18" s="50" t="s">
        <v>64</v>
      </c>
      <c r="CI18" s="50" t="s">
        <v>64</v>
      </c>
      <c r="CJ18" s="50" t="s">
        <v>64</v>
      </c>
      <c r="CK18" s="50"/>
      <c r="CO18" s="50"/>
      <c r="CP18" s="50"/>
      <c r="CQ18" s="50"/>
      <c r="CR18" s="50"/>
      <c r="CS18" s="50"/>
      <c r="CT18" s="50"/>
      <c r="CU18" s="50"/>
      <c r="CV18" s="50"/>
      <c r="CW18" s="50"/>
      <c r="CX18" s="50"/>
      <c r="CY18" s="50"/>
      <c r="DA18" s="59" t="s">
        <v>1023</v>
      </c>
      <c r="DC18" s="50">
        <v>2.0</v>
      </c>
      <c r="DD18" s="50">
        <v>2.0</v>
      </c>
      <c r="DE18" s="50">
        <v>2.0</v>
      </c>
      <c r="DF18" s="50">
        <v>2.0</v>
      </c>
      <c r="DG18" s="50">
        <v>2.0</v>
      </c>
      <c r="DH18" s="50">
        <v>2.0</v>
      </c>
      <c r="DI18" s="50">
        <v>2.0</v>
      </c>
      <c r="DJ18" s="50" t="s">
        <v>64</v>
      </c>
      <c r="DK18" s="50" t="s">
        <v>64</v>
      </c>
      <c r="DL18" s="50" t="s">
        <v>64</v>
      </c>
      <c r="DM18" s="50"/>
      <c r="DO18" s="60" t="s">
        <v>1024</v>
      </c>
      <c r="DQ18" s="50">
        <v>2.0</v>
      </c>
      <c r="DR18" s="50">
        <v>2.0</v>
      </c>
      <c r="DS18" s="50">
        <v>2.0</v>
      </c>
      <c r="DT18" s="50">
        <v>2.0</v>
      </c>
      <c r="DU18" s="50">
        <v>2.0</v>
      </c>
      <c r="DV18" s="50">
        <v>2.0</v>
      </c>
      <c r="DW18" s="50">
        <v>2.0</v>
      </c>
      <c r="DX18" s="50" t="s">
        <v>64</v>
      </c>
      <c r="DY18" s="50" t="s">
        <v>64</v>
      </c>
      <c r="DZ18" s="50" t="s">
        <v>64</v>
      </c>
      <c r="EA18" s="50"/>
    </row>
    <row r="19" ht="15.75" customHeight="1">
      <c r="A19" s="11">
        <v>11.0</v>
      </c>
      <c r="B19" s="11" t="s">
        <v>203</v>
      </c>
      <c r="C19" s="11" t="str">
        <f t="array" ref="C19">IFERROR(INDEX(DOCUMENTOS!$E:$E,MATCH($A19,DOCUMENTOS!$A:$A,0)),"")</f>
        <v/>
      </c>
      <c r="D19" s="11" t="str">
        <f t="array" ref="D19">IFERROR(INDEX('BANCO DE PERGUNTAS'!$D:$D,MATCH($B19,'BANCO DE PERGUNTAS'!$A:$A,0)),"")</f>
        <v>Qual consequência decorre da informação estabelecida em 4.11?</v>
      </c>
      <c r="E19" s="11" t="str">
        <f t="array" ref="E19">IFERROR(INDEX('BANCO DE PERGUNTAS'!$B:$B,MATCH($B19,'BANCO DE PERGUNTAS'!$A:$A,0)),"")</f>
        <v>Interpretação</v>
      </c>
      <c r="F19" s="12">
        <f t="array" ref="F19">IFERROR(INDEX('BANCO DE PERGUNTAS'!$H:$H,MATCH($B19,'BANCO DE PERGUNTAS'!$A:$A,0)),"")</f>
        <v>3</v>
      </c>
      <c r="I19" s="50"/>
      <c r="J19" s="50"/>
      <c r="K19" s="50"/>
      <c r="L19" s="50"/>
      <c r="M19" s="50"/>
      <c r="N19" s="50"/>
      <c r="O19" s="50"/>
      <c r="P19" s="50"/>
      <c r="Q19" s="50"/>
      <c r="R19" s="50"/>
      <c r="S19" s="50"/>
      <c r="U19" s="63" t="s">
        <v>1050</v>
      </c>
      <c r="W19" s="50">
        <v>2.0</v>
      </c>
      <c r="X19" s="50">
        <v>2.0</v>
      </c>
      <c r="Y19" s="50">
        <v>2.0</v>
      </c>
      <c r="Z19" s="50">
        <v>2.0</v>
      </c>
      <c r="AA19" s="50">
        <v>2.0</v>
      </c>
      <c r="AB19" s="50">
        <v>2.0</v>
      </c>
      <c r="AC19" s="50">
        <v>2.0</v>
      </c>
      <c r="AD19" s="50" t="s">
        <v>64</v>
      </c>
      <c r="AE19" s="50" t="s">
        <v>64</v>
      </c>
      <c r="AF19" s="50" t="s">
        <v>64</v>
      </c>
      <c r="AG19" s="50"/>
      <c r="AI19" s="52" t="s">
        <v>1052</v>
      </c>
      <c r="AK19" s="50">
        <v>2.0</v>
      </c>
      <c r="AL19" s="50">
        <v>2.0</v>
      </c>
      <c r="AM19" s="50">
        <v>2.0</v>
      </c>
      <c r="AN19" s="50">
        <v>2.0</v>
      </c>
      <c r="AO19" s="50">
        <v>2.0</v>
      </c>
      <c r="AP19" s="50">
        <v>2.0</v>
      </c>
      <c r="AQ19" s="50">
        <v>2.0</v>
      </c>
      <c r="AR19" s="50" t="s">
        <v>64</v>
      </c>
      <c r="AS19" s="50" t="s">
        <v>64</v>
      </c>
      <c r="AT19" s="50" t="s">
        <v>64</v>
      </c>
      <c r="AU19" s="50"/>
      <c r="AY19" s="50"/>
      <c r="AZ19" s="50"/>
      <c r="BA19" s="50"/>
      <c r="BB19" s="50"/>
      <c r="BC19" s="50"/>
      <c r="BD19" s="50"/>
      <c r="BE19" s="50"/>
      <c r="BF19" s="50"/>
      <c r="BG19" s="50"/>
      <c r="BH19" s="50"/>
      <c r="BI19" s="50"/>
      <c r="BK19" s="53" t="s">
        <v>1060</v>
      </c>
      <c r="BM19" s="50">
        <v>2.0</v>
      </c>
      <c r="BN19" s="50">
        <v>2.0</v>
      </c>
      <c r="BO19" s="50">
        <v>2.0</v>
      </c>
      <c r="BP19" s="50">
        <v>2.0</v>
      </c>
      <c r="BQ19" s="50">
        <v>2.0</v>
      </c>
      <c r="BR19" s="50">
        <v>2.0</v>
      </c>
      <c r="BS19" s="50">
        <v>2.0</v>
      </c>
      <c r="BT19" s="50" t="s">
        <v>64</v>
      </c>
      <c r="BU19" s="50" t="s">
        <v>64</v>
      </c>
      <c r="BV19" s="50" t="s">
        <v>64</v>
      </c>
      <c r="BW19" s="50"/>
      <c r="BY19" s="58" t="s">
        <v>1062</v>
      </c>
      <c r="CA19" s="50">
        <v>2.0</v>
      </c>
      <c r="CB19" s="50">
        <v>2.0</v>
      </c>
      <c r="CC19" s="50">
        <v>2.0</v>
      </c>
      <c r="CD19" s="50">
        <v>2.0</v>
      </c>
      <c r="CE19" s="50">
        <v>2.0</v>
      </c>
      <c r="CF19" s="50">
        <v>2.0</v>
      </c>
      <c r="CG19" s="50">
        <v>2.0</v>
      </c>
      <c r="CH19" s="50" t="s">
        <v>64</v>
      </c>
      <c r="CI19" s="50" t="s">
        <v>64</v>
      </c>
      <c r="CJ19" s="50" t="s">
        <v>64</v>
      </c>
      <c r="CK19" s="50"/>
      <c r="CO19" s="50"/>
      <c r="CP19" s="50"/>
      <c r="CQ19" s="50"/>
      <c r="CR19" s="50"/>
      <c r="CS19" s="50"/>
      <c r="CT19" s="50"/>
      <c r="CU19" s="50"/>
      <c r="CV19" s="50"/>
      <c r="CW19" s="50"/>
      <c r="CX19" s="50"/>
      <c r="CY19" s="50"/>
      <c r="DA19" s="59" t="s">
        <v>1065</v>
      </c>
      <c r="DC19" s="50">
        <v>2.0</v>
      </c>
      <c r="DD19" s="50">
        <v>2.0</v>
      </c>
      <c r="DE19" s="50">
        <v>2.0</v>
      </c>
      <c r="DF19" s="50">
        <v>2.0</v>
      </c>
      <c r="DG19" s="50">
        <v>2.0</v>
      </c>
      <c r="DH19" s="50">
        <v>2.0</v>
      </c>
      <c r="DI19" s="50">
        <v>2.0</v>
      </c>
      <c r="DJ19" s="50" t="s">
        <v>64</v>
      </c>
      <c r="DK19" s="50" t="s">
        <v>64</v>
      </c>
      <c r="DL19" s="50" t="s">
        <v>64</v>
      </c>
      <c r="DM19" s="50"/>
      <c r="DO19" s="60" t="s">
        <v>1067</v>
      </c>
      <c r="DQ19" s="50">
        <v>2.0</v>
      </c>
      <c r="DR19" s="50">
        <v>2.0</v>
      </c>
      <c r="DS19" s="50">
        <v>2.0</v>
      </c>
      <c r="DT19" s="50">
        <v>2.0</v>
      </c>
      <c r="DU19" s="50">
        <v>2.0</v>
      </c>
      <c r="DV19" s="50">
        <v>2.0</v>
      </c>
      <c r="DW19" s="50">
        <v>2.0</v>
      </c>
      <c r="DX19" s="50" t="s">
        <v>64</v>
      </c>
      <c r="DY19" s="50" t="s">
        <v>64</v>
      </c>
      <c r="DZ19" s="50" t="s">
        <v>64</v>
      </c>
      <c r="EA19" s="50"/>
    </row>
    <row r="20" ht="15.75" customHeight="1">
      <c r="A20" s="14">
        <v>11.0</v>
      </c>
      <c r="B20" s="14" t="s">
        <v>208</v>
      </c>
      <c r="C20" s="14" t="str">
        <f t="array" ref="C20">IFERROR(INDEX(DOCUMENTOS!$E:$E,MATCH($A20,DOCUMENTOS!$A:$A,0)),"")</f>
        <v/>
      </c>
      <c r="D20" s="14" t="str">
        <f t="array" ref="D20">IFERROR(INDEX('BANCO DE PERGUNTAS'!$D:$D,MATCH($B20,'BANCO DE PERGUNTAS'!$A:$A,0)),"")</f>
        <v>Existem informações aparentemente inconsistentes dentro do documento?</v>
      </c>
      <c r="E20" s="14" t="str">
        <f t="array" ref="E20">IFERROR(INDEX('BANCO DE PERGUNTAS'!$B:$B,MATCH($B20,'BANCO DE PERGUNTAS'!$A:$A,0)),"")</f>
        <v>Identificação de Inconsistências</v>
      </c>
      <c r="F20" s="17">
        <f t="array" ref="F20">IFERROR(INDEX('BANCO DE PERGUNTAS'!$H:$H,MATCH($B20,'BANCO DE PERGUNTAS'!$A:$A,0)),"")</f>
        <v>4</v>
      </c>
      <c r="I20" s="50"/>
      <c r="J20" s="50"/>
      <c r="K20" s="50"/>
      <c r="L20" s="50"/>
      <c r="M20" s="50"/>
      <c r="N20" s="50"/>
      <c r="O20" s="50"/>
      <c r="P20" s="50"/>
      <c r="Q20" s="50"/>
      <c r="R20" s="50"/>
      <c r="S20" s="50"/>
      <c r="U20" s="51" t="s">
        <v>1099</v>
      </c>
      <c r="W20" s="50">
        <v>2.0</v>
      </c>
      <c r="X20" s="50">
        <v>2.0</v>
      </c>
      <c r="Y20" s="50">
        <v>2.0</v>
      </c>
      <c r="Z20" s="50">
        <v>2.0</v>
      </c>
      <c r="AA20" s="50">
        <v>2.0</v>
      </c>
      <c r="AB20" s="50">
        <v>2.0</v>
      </c>
      <c r="AC20" s="50">
        <v>2.0</v>
      </c>
      <c r="AD20" s="50" t="s">
        <v>64</v>
      </c>
      <c r="AE20" s="50" t="s">
        <v>64</v>
      </c>
      <c r="AF20" s="50" t="s">
        <v>64</v>
      </c>
      <c r="AG20" s="50"/>
      <c r="AI20" s="52" t="s">
        <v>1100</v>
      </c>
      <c r="AK20" s="50">
        <v>2.0</v>
      </c>
      <c r="AL20" s="50">
        <v>2.0</v>
      </c>
      <c r="AM20" s="50">
        <v>2.0</v>
      </c>
      <c r="AN20" s="50">
        <v>2.0</v>
      </c>
      <c r="AO20" s="50">
        <v>2.0</v>
      </c>
      <c r="AP20" s="50">
        <v>2.0</v>
      </c>
      <c r="AQ20" s="50">
        <v>2.0</v>
      </c>
      <c r="AR20" s="50" t="s">
        <v>64</v>
      </c>
      <c r="AS20" s="50" t="s">
        <v>64</v>
      </c>
      <c r="AT20" s="50" t="s">
        <v>64</v>
      </c>
      <c r="AU20" s="50"/>
      <c r="AY20" s="50"/>
      <c r="AZ20" s="50"/>
      <c r="BA20" s="50"/>
      <c r="BB20" s="50"/>
      <c r="BC20" s="50"/>
      <c r="BD20" s="50"/>
      <c r="BE20" s="50"/>
      <c r="BF20" s="50"/>
      <c r="BG20" s="50"/>
      <c r="BH20" s="50"/>
      <c r="BI20" s="50"/>
      <c r="BK20" s="53" t="s">
        <v>1102</v>
      </c>
      <c r="BM20" s="50">
        <v>2.0</v>
      </c>
      <c r="BN20" s="50">
        <v>2.0</v>
      </c>
      <c r="BO20" s="50">
        <v>2.0</v>
      </c>
      <c r="BP20" s="50">
        <v>2.0</v>
      </c>
      <c r="BQ20" s="50">
        <v>2.0</v>
      </c>
      <c r="BR20" s="50">
        <v>2.0</v>
      </c>
      <c r="BS20" s="50">
        <v>2.0</v>
      </c>
      <c r="BT20" s="50" t="s">
        <v>64</v>
      </c>
      <c r="BU20" s="50" t="s">
        <v>64</v>
      </c>
      <c r="BV20" s="50" t="s">
        <v>64</v>
      </c>
      <c r="BW20" s="50"/>
      <c r="BY20" s="58" t="s">
        <v>1107</v>
      </c>
      <c r="CA20" s="50">
        <v>2.0</v>
      </c>
      <c r="CB20" s="50">
        <v>2.0</v>
      </c>
      <c r="CC20" s="50">
        <v>2.0</v>
      </c>
      <c r="CD20" s="50">
        <v>2.0</v>
      </c>
      <c r="CE20" s="50">
        <v>2.0</v>
      </c>
      <c r="CF20" s="50">
        <v>2.0</v>
      </c>
      <c r="CG20" s="50">
        <v>2.0</v>
      </c>
      <c r="CH20" s="50" t="s">
        <v>64</v>
      </c>
      <c r="CI20" s="50" t="s">
        <v>64</v>
      </c>
      <c r="CJ20" s="50" t="s">
        <v>64</v>
      </c>
      <c r="CK20" s="50"/>
      <c r="CO20" s="50"/>
      <c r="CP20" s="50"/>
      <c r="CQ20" s="50"/>
      <c r="CR20" s="50"/>
      <c r="CS20" s="50"/>
      <c r="CT20" s="50"/>
      <c r="CU20" s="50"/>
      <c r="CV20" s="50"/>
      <c r="CW20" s="50"/>
      <c r="CX20" s="50"/>
      <c r="CY20" s="50"/>
      <c r="DA20" s="59" t="s">
        <v>1110</v>
      </c>
      <c r="DC20" s="50">
        <v>1.0</v>
      </c>
      <c r="DD20" s="50">
        <v>1.0</v>
      </c>
      <c r="DE20" s="50">
        <v>1.0</v>
      </c>
      <c r="DF20" s="50">
        <v>2.0</v>
      </c>
      <c r="DG20" s="50">
        <v>2.0</v>
      </c>
      <c r="DH20" s="50">
        <v>1.0</v>
      </c>
      <c r="DI20" s="50">
        <v>2.0</v>
      </c>
      <c r="DJ20" s="50" t="s">
        <v>101</v>
      </c>
      <c r="DK20" s="50" t="s">
        <v>101</v>
      </c>
      <c r="DL20" s="50" t="s">
        <v>101</v>
      </c>
      <c r="DM20" s="50" t="s">
        <v>447</v>
      </c>
      <c r="DO20" s="60" t="s">
        <v>1112</v>
      </c>
      <c r="DQ20" s="50">
        <v>1.0</v>
      </c>
      <c r="DR20" s="50">
        <v>1.0</v>
      </c>
      <c r="DS20" s="50">
        <v>1.0</v>
      </c>
      <c r="DT20" s="50">
        <v>2.0</v>
      </c>
      <c r="DU20" s="50">
        <v>2.0</v>
      </c>
      <c r="DV20" s="50">
        <v>1.0</v>
      </c>
      <c r="DW20" s="50">
        <v>2.0</v>
      </c>
      <c r="DX20" s="50" t="s">
        <v>101</v>
      </c>
      <c r="DY20" s="50" t="s">
        <v>101</v>
      </c>
      <c r="DZ20" s="50" t="s">
        <v>101</v>
      </c>
      <c r="EA20" s="50" t="s">
        <v>447</v>
      </c>
    </row>
    <row r="21" ht="15.75" customHeight="1">
      <c r="A21" s="11">
        <v>11.0</v>
      </c>
      <c r="B21" s="11" t="s">
        <v>215</v>
      </c>
      <c r="C21" s="11" t="str">
        <f t="array" ref="C21">IFERROR(INDEX(DOCUMENTOS!$E:$E,MATCH($A21,DOCUMENTOS!$A:$A,0)),"")</f>
        <v/>
      </c>
      <c r="D21" s="11" t="str">
        <f t="array" ref="D21">IFERROR(INDEX('BANCO DE PERGUNTAS'!$D:$D,MATCH($B21,'BANCO DE PERGUNTAS'!$A:$A,0)),"")</f>
        <v>Existem valores, datas, números ou informações aparentemente incompatíveis?</v>
      </c>
      <c r="E21" s="11" t="str">
        <f t="array" ref="E21">IFERROR(INDEX('BANCO DE PERGUNTAS'!$B:$B,MATCH($B21,'BANCO DE PERGUNTAS'!$A:$A,0)),"")</f>
        <v>Identificação de Inconsistências</v>
      </c>
      <c r="F21" s="12">
        <f t="array" ref="F21">IFERROR(INDEX('BANCO DE PERGUNTAS'!$H:$H,MATCH($B21,'BANCO DE PERGUNTAS'!$A:$A,0)),"")</f>
        <v>4</v>
      </c>
      <c r="I21" s="50"/>
      <c r="J21" s="50"/>
      <c r="K21" s="50"/>
      <c r="L21" s="50"/>
      <c r="M21" s="50"/>
      <c r="N21" s="50"/>
      <c r="O21" s="50"/>
      <c r="P21" s="50"/>
      <c r="Q21" s="50"/>
      <c r="R21" s="50"/>
      <c r="S21" s="50"/>
      <c r="U21" s="63" t="s">
        <v>1143</v>
      </c>
      <c r="W21" s="50">
        <v>1.0</v>
      </c>
      <c r="X21" s="50">
        <v>2.0</v>
      </c>
      <c r="Y21" s="50">
        <v>1.0</v>
      </c>
      <c r="Z21" s="50">
        <v>2.0</v>
      </c>
      <c r="AA21" s="50">
        <v>2.0</v>
      </c>
      <c r="AB21" s="50">
        <v>1.0</v>
      </c>
      <c r="AC21" s="50">
        <v>2.0</v>
      </c>
      <c r="AD21" s="50" t="s">
        <v>64</v>
      </c>
      <c r="AE21" s="50" t="s">
        <v>64</v>
      </c>
      <c r="AF21" s="50" t="s">
        <v>101</v>
      </c>
      <c r="AG21" s="50" t="s">
        <v>1164</v>
      </c>
      <c r="AI21" s="52" t="s">
        <v>1165</v>
      </c>
      <c r="AK21" s="50">
        <v>2.0</v>
      </c>
      <c r="AL21" s="50">
        <v>2.0</v>
      </c>
      <c r="AM21" s="50">
        <v>2.0</v>
      </c>
      <c r="AN21" s="50">
        <v>2.0</v>
      </c>
      <c r="AO21" s="50">
        <v>2.0</v>
      </c>
      <c r="AP21" s="50">
        <v>2.0</v>
      </c>
      <c r="AQ21" s="50">
        <v>2.0</v>
      </c>
      <c r="AR21" s="50" t="s">
        <v>64</v>
      </c>
      <c r="AS21" s="50" t="s">
        <v>64</v>
      </c>
      <c r="AT21" s="50" t="s">
        <v>64</v>
      </c>
      <c r="AU21" s="50"/>
      <c r="AY21" s="50"/>
      <c r="AZ21" s="50"/>
      <c r="BA21" s="50"/>
      <c r="BB21" s="50"/>
      <c r="BC21" s="50"/>
      <c r="BD21" s="50"/>
      <c r="BE21" s="50"/>
      <c r="BF21" s="50"/>
      <c r="BG21" s="50"/>
      <c r="BH21" s="50"/>
      <c r="BI21" s="50"/>
      <c r="BK21" s="53" t="s">
        <v>1169</v>
      </c>
      <c r="BM21" s="50">
        <v>2.0</v>
      </c>
      <c r="BN21" s="50">
        <v>2.0</v>
      </c>
      <c r="BO21" s="50">
        <v>2.0</v>
      </c>
      <c r="BP21" s="50">
        <v>2.0</v>
      </c>
      <c r="BQ21" s="50">
        <v>2.0</v>
      </c>
      <c r="BR21" s="50">
        <v>2.0</v>
      </c>
      <c r="BS21" s="50">
        <v>2.0</v>
      </c>
      <c r="BT21" s="50" t="s">
        <v>64</v>
      </c>
      <c r="BU21" s="50" t="s">
        <v>64</v>
      </c>
      <c r="BV21" s="50" t="s">
        <v>64</v>
      </c>
      <c r="BW21" s="50"/>
      <c r="BY21" s="58" t="s">
        <v>1171</v>
      </c>
      <c r="CA21" s="50">
        <v>2.0</v>
      </c>
      <c r="CB21" s="50">
        <v>2.0</v>
      </c>
      <c r="CC21" s="50">
        <v>2.0</v>
      </c>
      <c r="CD21" s="50">
        <v>2.0</v>
      </c>
      <c r="CE21" s="50">
        <v>2.0</v>
      </c>
      <c r="CF21" s="50">
        <v>2.0</v>
      </c>
      <c r="CG21" s="50">
        <v>2.0</v>
      </c>
      <c r="CH21" s="50" t="s">
        <v>64</v>
      </c>
      <c r="CI21" s="50" t="s">
        <v>64</v>
      </c>
      <c r="CJ21" s="50" t="s">
        <v>64</v>
      </c>
      <c r="CK21" s="50"/>
      <c r="CO21" s="50"/>
      <c r="CP21" s="50"/>
      <c r="CQ21" s="50"/>
      <c r="CR21" s="50"/>
      <c r="CS21" s="50"/>
      <c r="CT21" s="50"/>
      <c r="CU21" s="50"/>
      <c r="CV21" s="50"/>
      <c r="CW21" s="50"/>
      <c r="CX21" s="50"/>
      <c r="CY21" s="50"/>
      <c r="DA21" s="59" t="s">
        <v>1177</v>
      </c>
      <c r="DC21" s="50">
        <v>1.0</v>
      </c>
      <c r="DD21" s="50">
        <v>1.0</v>
      </c>
      <c r="DE21" s="50">
        <v>1.0</v>
      </c>
      <c r="DF21" s="50">
        <v>2.0</v>
      </c>
      <c r="DG21" s="50">
        <v>2.0</v>
      </c>
      <c r="DH21" s="50">
        <v>1.0</v>
      </c>
      <c r="DI21" s="50">
        <v>2.0</v>
      </c>
      <c r="DJ21" s="50" t="s">
        <v>101</v>
      </c>
      <c r="DK21" s="50" t="s">
        <v>101</v>
      </c>
      <c r="DL21" s="50" t="s">
        <v>101</v>
      </c>
      <c r="DM21" s="50" t="s">
        <v>447</v>
      </c>
      <c r="DO21" s="60" t="s">
        <v>1182</v>
      </c>
      <c r="DQ21" s="50">
        <v>1.0</v>
      </c>
      <c r="DR21" s="50">
        <v>1.0</v>
      </c>
      <c r="DS21" s="50">
        <v>1.0</v>
      </c>
      <c r="DT21" s="50">
        <v>2.0</v>
      </c>
      <c r="DU21" s="50">
        <v>2.0</v>
      </c>
      <c r="DV21" s="50">
        <v>1.0</v>
      </c>
      <c r="DW21" s="50">
        <v>2.0</v>
      </c>
      <c r="DX21" s="50" t="s">
        <v>101</v>
      </c>
      <c r="DY21" s="50" t="s">
        <v>101</v>
      </c>
      <c r="DZ21" s="50" t="s">
        <v>101</v>
      </c>
      <c r="EA21" s="50" t="s">
        <v>447</v>
      </c>
    </row>
    <row r="22" ht="15.75" customHeight="1">
      <c r="A22" s="14">
        <v>11.0</v>
      </c>
      <c r="B22" s="14" t="s">
        <v>219</v>
      </c>
      <c r="C22" s="14" t="str">
        <f t="array" ref="C22">IFERROR(INDEX(DOCUMENTOS!$E:$E,MATCH($A22,DOCUMENTOS!$A:$A,0)),"")</f>
        <v/>
      </c>
      <c r="D22" s="14" t="str">
        <f t="array" ref="D22">IFERROR(INDEX('BANCO DE PERGUNTAS'!$D:$D,MATCH($B22,'BANCO DE PERGUNTAS'!$A:$A,0)),"")</f>
        <v>Existem informações relevantes ausentes?</v>
      </c>
      <c r="E22" s="14" t="str">
        <f t="array" ref="E22">IFERROR(INDEX('BANCO DE PERGUNTAS'!$B:$B,MATCH($B22,'BANCO DE PERGUNTAS'!$A:$A,0)),"")</f>
        <v>Identificação de Omissões</v>
      </c>
      <c r="F22" s="17">
        <f t="array" ref="F22">IFERROR(INDEX('BANCO DE PERGUNTAS'!$H:$H,MATCH($B22,'BANCO DE PERGUNTAS'!$A:$A,0)),"")</f>
        <v>4</v>
      </c>
      <c r="I22" s="50"/>
      <c r="J22" s="50"/>
      <c r="K22" s="50"/>
      <c r="L22" s="50"/>
      <c r="M22" s="50"/>
      <c r="N22" s="50"/>
      <c r="O22" s="50"/>
      <c r="P22" s="50"/>
      <c r="Q22" s="50"/>
      <c r="R22" s="50"/>
      <c r="S22" s="50"/>
      <c r="U22" s="51" t="s">
        <v>1201</v>
      </c>
      <c r="W22" s="50">
        <v>2.0</v>
      </c>
      <c r="X22" s="50">
        <v>2.0</v>
      </c>
      <c r="Y22" s="50">
        <v>2.0</v>
      </c>
      <c r="Z22" s="50">
        <v>2.0</v>
      </c>
      <c r="AA22" s="50">
        <v>2.0</v>
      </c>
      <c r="AB22" s="50">
        <v>2.0</v>
      </c>
      <c r="AC22" s="50">
        <v>2.0</v>
      </c>
      <c r="AD22" s="50" t="s">
        <v>64</v>
      </c>
      <c r="AE22" s="50" t="s">
        <v>64</v>
      </c>
      <c r="AF22" s="50" t="s">
        <v>64</v>
      </c>
      <c r="AG22" s="50"/>
      <c r="AI22" s="52" t="s">
        <v>1202</v>
      </c>
      <c r="AK22" s="50">
        <v>2.0</v>
      </c>
      <c r="AL22" s="50">
        <v>2.0</v>
      </c>
      <c r="AM22" s="50">
        <v>2.0</v>
      </c>
      <c r="AN22" s="50">
        <v>2.0</v>
      </c>
      <c r="AO22" s="50">
        <v>2.0</v>
      </c>
      <c r="AP22" s="50">
        <v>2.0</v>
      </c>
      <c r="AQ22" s="50">
        <v>2.0</v>
      </c>
      <c r="AR22" s="50" t="s">
        <v>64</v>
      </c>
      <c r="AS22" s="50" t="s">
        <v>64</v>
      </c>
      <c r="AT22" s="50" t="s">
        <v>64</v>
      </c>
      <c r="AU22" s="50"/>
      <c r="AY22" s="50"/>
      <c r="AZ22" s="50"/>
      <c r="BA22" s="50"/>
      <c r="BB22" s="50"/>
      <c r="BC22" s="50"/>
      <c r="BD22" s="50"/>
      <c r="BE22" s="50"/>
      <c r="BF22" s="50"/>
      <c r="BG22" s="50"/>
      <c r="BH22" s="50"/>
      <c r="BI22" s="50"/>
      <c r="BK22" s="53" t="s">
        <v>1203</v>
      </c>
      <c r="BM22" s="50">
        <v>2.0</v>
      </c>
      <c r="BN22" s="50">
        <v>2.0</v>
      </c>
      <c r="BO22" s="50">
        <v>2.0</v>
      </c>
      <c r="BP22" s="50">
        <v>2.0</v>
      </c>
      <c r="BQ22" s="50">
        <v>2.0</v>
      </c>
      <c r="BR22" s="50">
        <v>2.0</v>
      </c>
      <c r="BS22" s="50">
        <v>2.0</v>
      </c>
      <c r="BT22" s="50" t="s">
        <v>64</v>
      </c>
      <c r="BU22" s="50" t="s">
        <v>64</v>
      </c>
      <c r="BV22" s="50" t="s">
        <v>64</v>
      </c>
      <c r="BW22" s="50"/>
      <c r="BY22" s="58" t="s">
        <v>1204</v>
      </c>
      <c r="CA22" s="50">
        <v>2.0</v>
      </c>
      <c r="CB22" s="50">
        <v>2.0</v>
      </c>
      <c r="CC22" s="50">
        <v>2.0</v>
      </c>
      <c r="CD22" s="50">
        <v>2.0</v>
      </c>
      <c r="CE22" s="50">
        <v>2.0</v>
      </c>
      <c r="CF22" s="50">
        <v>2.0</v>
      </c>
      <c r="CG22" s="50">
        <v>2.0</v>
      </c>
      <c r="CH22" s="50" t="s">
        <v>64</v>
      </c>
      <c r="CI22" s="50" t="s">
        <v>64</v>
      </c>
      <c r="CJ22" s="50" t="s">
        <v>64</v>
      </c>
      <c r="CK22" s="50"/>
      <c r="CO22" s="50"/>
      <c r="CP22" s="50"/>
      <c r="CQ22" s="50"/>
      <c r="CR22" s="50"/>
      <c r="CS22" s="50"/>
      <c r="CT22" s="50"/>
      <c r="CU22" s="50"/>
      <c r="CV22" s="50"/>
      <c r="CW22" s="50"/>
      <c r="CX22" s="50"/>
      <c r="CY22" s="50"/>
      <c r="DA22" s="59" t="s">
        <v>1209</v>
      </c>
      <c r="DC22" s="50">
        <v>2.0</v>
      </c>
      <c r="DD22" s="50">
        <v>2.0</v>
      </c>
      <c r="DE22" s="50">
        <v>2.0</v>
      </c>
      <c r="DF22" s="50">
        <v>2.0</v>
      </c>
      <c r="DG22" s="50">
        <v>2.0</v>
      </c>
      <c r="DH22" s="50">
        <v>2.0</v>
      </c>
      <c r="DI22" s="50">
        <v>2.0</v>
      </c>
      <c r="DJ22" s="50" t="s">
        <v>64</v>
      </c>
      <c r="DK22" s="50" t="s">
        <v>64</v>
      </c>
      <c r="DL22" s="50" t="s">
        <v>64</v>
      </c>
      <c r="DM22" s="50"/>
      <c r="DO22" s="60" t="s">
        <v>1210</v>
      </c>
      <c r="DQ22" s="50">
        <v>2.0</v>
      </c>
      <c r="DR22" s="50">
        <v>2.0</v>
      </c>
      <c r="DS22" s="50">
        <v>2.0</v>
      </c>
      <c r="DT22" s="50">
        <v>2.0</v>
      </c>
      <c r="DU22" s="50">
        <v>2.0</v>
      </c>
      <c r="DV22" s="50">
        <v>2.0</v>
      </c>
      <c r="DW22" s="50">
        <v>2.0</v>
      </c>
      <c r="DX22" s="50" t="s">
        <v>64</v>
      </c>
      <c r="DY22" s="50" t="s">
        <v>64</v>
      </c>
      <c r="DZ22" s="50" t="s">
        <v>64</v>
      </c>
      <c r="EA22" s="50"/>
    </row>
    <row r="23" ht="15.75" customHeight="1">
      <c r="A23" s="11">
        <v>11.0</v>
      </c>
      <c r="B23" s="11" t="s">
        <v>226</v>
      </c>
      <c r="C23" s="11" t="str">
        <f t="array" ref="C23">IFERROR(INDEX(DOCUMENTOS!$E:$E,MATCH($A23,DOCUMENTOS!$A:$A,0)),"")</f>
        <v/>
      </c>
      <c r="D23" s="11" t="str">
        <f t="array" ref="D23">IFERROR(INDEX('BANCO DE PERGUNTAS'!$D:$D,MATCH($B23,'BANCO DE PERGUNTAS'!$A:$A,0)),"")</f>
        <v>Identifique possíveis erros materiais no documento.</v>
      </c>
      <c r="E23" s="11" t="str">
        <f t="array" ref="E23">IFERROR(INDEX('BANCO DE PERGUNTAS'!$B:$B,MATCH($B23,'BANCO DE PERGUNTAS'!$A:$A,0)),"")</f>
        <v>Detecção de Erros</v>
      </c>
      <c r="F23" s="12">
        <f t="array" ref="F23">IFERROR(INDEX('BANCO DE PERGUNTAS'!$H:$H,MATCH($B23,'BANCO DE PERGUNTAS'!$A:$A,0)),"")</f>
        <v>4</v>
      </c>
      <c r="I23" s="50"/>
      <c r="J23" s="50"/>
      <c r="K23" s="50"/>
      <c r="L23" s="50"/>
      <c r="M23" s="50"/>
      <c r="N23" s="50"/>
      <c r="O23" s="50"/>
      <c r="P23" s="50"/>
      <c r="Q23" s="50"/>
      <c r="R23" s="50"/>
      <c r="S23" s="50"/>
      <c r="U23" s="63" t="s">
        <v>1236</v>
      </c>
      <c r="W23" s="50">
        <v>2.0</v>
      </c>
      <c r="X23" s="50">
        <v>2.0</v>
      </c>
      <c r="Y23" s="50">
        <v>2.0</v>
      </c>
      <c r="Z23" s="50">
        <v>2.0</v>
      </c>
      <c r="AA23" s="50">
        <v>2.0</v>
      </c>
      <c r="AB23" s="50">
        <v>2.0</v>
      </c>
      <c r="AC23" s="50">
        <v>2.0</v>
      </c>
      <c r="AD23" s="50" t="s">
        <v>64</v>
      </c>
      <c r="AE23" s="50" t="s">
        <v>64</v>
      </c>
      <c r="AF23" s="50" t="s">
        <v>64</v>
      </c>
      <c r="AG23" s="50"/>
      <c r="AI23" s="52" t="s">
        <v>1244</v>
      </c>
      <c r="AK23" s="50">
        <v>2.0</v>
      </c>
      <c r="AL23" s="50">
        <v>2.0</v>
      </c>
      <c r="AM23" s="50">
        <v>2.0</v>
      </c>
      <c r="AN23" s="50">
        <v>2.0</v>
      </c>
      <c r="AO23" s="50">
        <v>2.0</v>
      </c>
      <c r="AP23" s="50">
        <v>2.0</v>
      </c>
      <c r="AQ23" s="50">
        <v>2.0</v>
      </c>
      <c r="AR23" s="50" t="s">
        <v>64</v>
      </c>
      <c r="AS23" s="50" t="s">
        <v>64</v>
      </c>
      <c r="AT23" s="50" t="s">
        <v>64</v>
      </c>
      <c r="AU23" s="50"/>
      <c r="AY23" s="50"/>
      <c r="AZ23" s="50"/>
      <c r="BA23" s="50"/>
      <c r="BB23" s="50"/>
      <c r="BC23" s="50"/>
      <c r="BD23" s="50"/>
      <c r="BE23" s="50"/>
      <c r="BF23" s="50"/>
      <c r="BG23" s="50"/>
      <c r="BH23" s="50"/>
      <c r="BI23" s="50"/>
      <c r="BK23" s="53" t="s">
        <v>1246</v>
      </c>
      <c r="BM23" s="50">
        <v>2.0</v>
      </c>
      <c r="BN23" s="50">
        <v>2.0</v>
      </c>
      <c r="BO23" s="50">
        <v>2.0</v>
      </c>
      <c r="BP23" s="50">
        <v>2.0</v>
      </c>
      <c r="BQ23" s="50">
        <v>2.0</v>
      </c>
      <c r="BR23" s="50">
        <v>2.0</v>
      </c>
      <c r="BS23" s="50">
        <v>2.0</v>
      </c>
      <c r="BT23" s="50" t="s">
        <v>64</v>
      </c>
      <c r="BU23" s="50" t="s">
        <v>64</v>
      </c>
      <c r="BV23" s="50" t="s">
        <v>64</v>
      </c>
      <c r="BW23" s="50"/>
      <c r="BY23" s="58" t="s">
        <v>1247</v>
      </c>
      <c r="CA23" s="50">
        <v>2.0</v>
      </c>
      <c r="CB23" s="50">
        <v>2.0</v>
      </c>
      <c r="CC23" s="50">
        <v>2.0</v>
      </c>
      <c r="CD23" s="50">
        <v>2.0</v>
      </c>
      <c r="CE23" s="50">
        <v>2.0</v>
      </c>
      <c r="CF23" s="50">
        <v>2.0</v>
      </c>
      <c r="CG23" s="50">
        <v>2.0</v>
      </c>
      <c r="CH23" s="50" t="s">
        <v>64</v>
      </c>
      <c r="CI23" s="50" t="s">
        <v>64</v>
      </c>
      <c r="CJ23" s="50" t="s">
        <v>64</v>
      </c>
      <c r="CK23" s="50"/>
      <c r="CO23" s="50"/>
      <c r="CP23" s="50"/>
      <c r="CQ23" s="50"/>
      <c r="CR23" s="50"/>
      <c r="CS23" s="50"/>
      <c r="CT23" s="50"/>
      <c r="CU23" s="50"/>
      <c r="CV23" s="50"/>
      <c r="CW23" s="50"/>
      <c r="CX23" s="50"/>
      <c r="CY23" s="50"/>
      <c r="DA23" s="59" t="s">
        <v>1253</v>
      </c>
      <c r="DC23" s="50">
        <v>1.0</v>
      </c>
      <c r="DD23" s="50">
        <v>1.0</v>
      </c>
      <c r="DE23" s="50">
        <v>1.0</v>
      </c>
      <c r="DF23" s="50">
        <v>2.0</v>
      </c>
      <c r="DG23" s="50">
        <v>2.0</v>
      </c>
      <c r="DH23" s="50">
        <v>1.0</v>
      </c>
      <c r="DI23" s="50">
        <v>2.0</v>
      </c>
      <c r="DJ23" s="50" t="s">
        <v>101</v>
      </c>
      <c r="DK23" s="50" t="s">
        <v>101</v>
      </c>
      <c r="DL23" s="50" t="s">
        <v>101</v>
      </c>
      <c r="DM23" s="50" t="s">
        <v>447</v>
      </c>
      <c r="DO23" s="60" t="s">
        <v>1255</v>
      </c>
      <c r="DQ23" s="50">
        <v>1.0</v>
      </c>
      <c r="DR23" s="50">
        <v>1.0</v>
      </c>
      <c r="DS23" s="50">
        <v>1.0</v>
      </c>
      <c r="DT23" s="50">
        <v>2.0</v>
      </c>
      <c r="DU23" s="50">
        <v>2.0</v>
      </c>
      <c r="DV23" s="50">
        <v>1.0</v>
      </c>
      <c r="DW23" s="50">
        <v>2.0</v>
      </c>
      <c r="DX23" s="50" t="s">
        <v>101</v>
      </c>
      <c r="DY23" s="50" t="s">
        <v>101</v>
      </c>
      <c r="DZ23" s="50" t="s">
        <v>101</v>
      </c>
      <c r="EA23" s="50" t="s">
        <v>447</v>
      </c>
    </row>
    <row r="24" ht="15.75" customHeight="1">
      <c r="A24" s="14">
        <v>11.0</v>
      </c>
      <c r="B24" s="14" t="s">
        <v>232</v>
      </c>
      <c r="C24" s="14" t="str">
        <f t="array" ref="C24">IFERROR(INDEX(DOCUMENTOS!$E:$E,MATCH($A24,DOCUMENTOS!$A:$A,0)),"")</f>
        <v/>
      </c>
      <c r="D24" s="14" t="str">
        <f t="array" ref="D24">IFERROR(INDEX('BANCO DE PERGUNTAS'!$D:$D,MATCH($B24,'BANCO DE PERGUNTAS'!$A:$A,0)),"")</f>
        <v>Existem informações que deveriam ser verificadas por um servidor antes da utilização do documento?</v>
      </c>
      <c r="E24" s="14" t="str">
        <f t="array" ref="E24">IFERROR(INDEX('BANCO DE PERGUNTAS'!$B:$B,MATCH($B24,'BANCO DE PERGUNTAS'!$A:$A,0)),"")</f>
        <v>Análise de Risco</v>
      </c>
      <c r="F24" s="17">
        <f t="array" ref="F24">IFERROR(INDEX('BANCO DE PERGUNTAS'!$H:$H,MATCH($B24,'BANCO DE PERGUNTAS'!$A:$A,0)),"")</f>
        <v>4</v>
      </c>
      <c r="I24" s="50"/>
      <c r="J24" s="50"/>
      <c r="K24" s="50"/>
      <c r="L24" s="50"/>
      <c r="M24" s="50"/>
      <c r="N24" s="50"/>
      <c r="O24" s="50"/>
      <c r="P24" s="50"/>
      <c r="Q24" s="50"/>
      <c r="R24" s="50"/>
      <c r="S24" s="50"/>
      <c r="U24" s="51" t="s">
        <v>1277</v>
      </c>
      <c r="W24" s="50">
        <v>2.0</v>
      </c>
      <c r="X24" s="50">
        <v>2.0</v>
      </c>
      <c r="Y24" s="50">
        <v>2.0</v>
      </c>
      <c r="Z24" s="50">
        <v>2.0</v>
      </c>
      <c r="AA24" s="50">
        <v>2.0</v>
      </c>
      <c r="AB24" s="50">
        <v>2.0</v>
      </c>
      <c r="AC24" s="50">
        <v>2.0</v>
      </c>
      <c r="AD24" s="50" t="s">
        <v>64</v>
      </c>
      <c r="AE24" s="50" t="s">
        <v>64</v>
      </c>
      <c r="AF24" s="50" t="s">
        <v>64</v>
      </c>
      <c r="AG24" s="50"/>
      <c r="AI24" s="52" t="s">
        <v>1292</v>
      </c>
      <c r="AK24" s="50">
        <v>2.0</v>
      </c>
      <c r="AL24" s="50">
        <v>2.0</v>
      </c>
      <c r="AM24" s="50">
        <v>2.0</v>
      </c>
      <c r="AN24" s="50">
        <v>2.0</v>
      </c>
      <c r="AO24" s="50">
        <v>2.0</v>
      </c>
      <c r="AP24" s="50">
        <v>2.0</v>
      </c>
      <c r="AQ24" s="50">
        <v>2.0</v>
      </c>
      <c r="AR24" s="50" t="s">
        <v>64</v>
      </c>
      <c r="AS24" s="50" t="s">
        <v>64</v>
      </c>
      <c r="AT24" s="50" t="s">
        <v>64</v>
      </c>
      <c r="AU24" s="50"/>
      <c r="AY24" s="50"/>
      <c r="AZ24" s="50"/>
      <c r="BA24" s="50"/>
      <c r="BB24" s="50"/>
      <c r="BC24" s="50"/>
      <c r="BD24" s="50"/>
      <c r="BE24" s="50"/>
      <c r="BF24" s="50"/>
      <c r="BG24" s="50"/>
      <c r="BH24" s="50"/>
      <c r="BI24" s="50"/>
      <c r="BK24" s="53" t="s">
        <v>1295</v>
      </c>
      <c r="BM24" s="50">
        <v>2.0</v>
      </c>
      <c r="BN24" s="50">
        <v>2.0</v>
      </c>
      <c r="BO24" s="50">
        <v>2.0</v>
      </c>
      <c r="BP24" s="50">
        <v>2.0</v>
      </c>
      <c r="BQ24" s="50">
        <v>2.0</v>
      </c>
      <c r="BR24" s="50">
        <v>2.0</v>
      </c>
      <c r="BS24" s="50">
        <v>2.0</v>
      </c>
      <c r="BT24" s="50" t="s">
        <v>64</v>
      </c>
      <c r="BU24" s="50" t="s">
        <v>64</v>
      </c>
      <c r="BV24" s="50" t="s">
        <v>64</v>
      </c>
      <c r="BW24" s="50"/>
      <c r="BY24" s="58" t="s">
        <v>1296</v>
      </c>
      <c r="CA24" s="50">
        <v>2.0</v>
      </c>
      <c r="CB24" s="50">
        <v>2.0</v>
      </c>
      <c r="CC24" s="50">
        <v>2.0</v>
      </c>
      <c r="CD24" s="50">
        <v>2.0</v>
      </c>
      <c r="CE24" s="50">
        <v>2.0</v>
      </c>
      <c r="CF24" s="50">
        <v>2.0</v>
      </c>
      <c r="CG24" s="50">
        <v>2.0</v>
      </c>
      <c r="CH24" s="50" t="s">
        <v>64</v>
      </c>
      <c r="CI24" s="50" t="s">
        <v>64</v>
      </c>
      <c r="CJ24" s="50" t="s">
        <v>64</v>
      </c>
      <c r="CK24" s="50"/>
      <c r="CO24" s="50"/>
      <c r="CP24" s="50"/>
      <c r="CQ24" s="50"/>
      <c r="CR24" s="50"/>
      <c r="CS24" s="50"/>
      <c r="CT24" s="50"/>
      <c r="CU24" s="50"/>
      <c r="CV24" s="50"/>
      <c r="CW24" s="50"/>
      <c r="CX24" s="50"/>
      <c r="CY24" s="50"/>
      <c r="DA24" s="59" t="s">
        <v>1297</v>
      </c>
      <c r="DC24" s="50">
        <v>1.0</v>
      </c>
      <c r="DD24" s="50">
        <v>1.0</v>
      </c>
      <c r="DE24" s="50">
        <v>1.0</v>
      </c>
      <c r="DF24" s="50">
        <v>2.0</v>
      </c>
      <c r="DG24" s="50">
        <v>2.0</v>
      </c>
      <c r="DH24" s="50">
        <v>1.0</v>
      </c>
      <c r="DI24" s="50">
        <v>2.0</v>
      </c>
      <c r="DJ24" s="50" t="s">
        <v>101</v>
      </c>
      <c r="DK24" s="50" t="s">
        <v>101</v>
      </c>
      <c r="DL24" s="50" t="s">
        <v>101</v>
      </c>
      <c r="DM24" s="50" t="s">
        <v>447</v>
      </c>
      <c r="DO24" s="60" t="s">
        <v>1303</v>
      </c>
      <c r="DQ24" s="50">
        <v>1.0</v>
      </c>
      <c r="DR24" s="50">
        <v>1.0</v>
      </c>
      <c r="DS24" s="50">
        <v>1.0</v>
      </c>
      <c r="DT24" s="50">
        <v>2.0</v>
      </c>
      <c r="DU24" s="50">
        <v>2.0</v>
      </c>
      <c r="DV24" s="50">
        <v>1.0</v>
      </c>
      <c r="DW24" s="50">
        <v>2.0</v>
      </c>
      <c r="DX24" s="50" t="s">
        <v>101</v>
      </c>
      <c r="DY24" s="50" t="s">
        <v>101</v>
      </c>
      <c r="DZ24" s="50" t="s">
        <v>101</v>
      </c>
      <c r="EA24" s="50" t="s">
        <v>447</v>
      </c>
    </row>
    <row r="25" ht="15.75" customHeight="1">
      <c r="A25" s="11">
        <v>11.0</v>
      </c>
      <c r="B25" s="11" t="s">
        <v>240</v>
      </c>
      <c r="C25" s="11" t="str">
        <f t="array" ref="C25">IFERROR(INDEX(DOCUMENTOS!$E:$E,MATCH($A25,DOCUMENTOS!$A:$A,0)),"")</f>
        <v/>
      </c>
      <c r="D25" s="11" t="str">
        <f t="array" ref="D25">IFERROR(INDEX('BANCO DE PERGUNTAS'!$D:$D,MATCH($B25,'BANCO DE PERGUNTAS'!$A:$A,0)),"")</f>
        <v>Existem elementos que indiquem possível desconformidade com os próprios requisitos apresentados no documento?</v>
      </c>
      <c r="E25" s="11" t="str">
        <f t="array" ref="E25">IFERROR(INDEX('BANCO DE PERGUNTAS'!$B:$B,MATCH($B25,'BANCO DE PERGUNTAS'!$A:$A,0)),"")</f>
        <v>Conformidade Documental</v>
      </c>
      <c r="F25" s="12">
        <f t="array" ref="F25">IFERROR(INDEX('BANCO DE PERGUNTAS'!$H:$H,MATCH($B25,'BANCO DE PERGUNTAS'!$A:$A,0)),"")</f>
        <v>4</v>
      </c>
      <c r="I25" s="50"/>
      <c r="J25" s="50"/>
      <c r="K25" s="50"/>
      <c r="L25" s="50"/>
      <c r="M25" s="50"/>
      <c r="N25" s="50"/>
      <c r="O25" s="50"/>
      <c r="P25" s="50"/>
      <c r="Q25" s="50"/>
      <c r="R25" s="50"/>
      <c r="S25" s="50"/>
      <c r="U25" s="63" t="s">
        <v>1311</v>
      </c>
      <c r="W25" s="50">
        <v>1.0</v>
      </c>
      <c r="X25" s="50">
        <v>2.0</v>
      </c>
      <c r="Y25" s="50">
        <v>1.0</v>
      </c>
      <c r="Z25" s="50">
        <v>2.0</v>
      </c>
      <c r="AA25" s="50">
        <v>2.0</v>
      </c>
      <c r="AB25" s="50">
        <v>1.0</v>
      </c>
      <c r="AC25" s="50">
        <v>2.0</v>
      </c>
      <c r="AD25" s="50" t="s">
        <v>64</v>
      </c>
      <c r="AE25" s="50" t="s">
        <v>64</v>
      </c>
      <c r="AF25" s="50" t="s">
        <v>101</v>
      </c>
      <c r="AG25" s="50" t="s">
        <v>447</v>
      </c>
      <c r="AI25" s="52" t="s">
        <v>1318</v>
      </c>
      <c r="AK25" s="50">
        <v>1.0</v>
      </c>
      <c r="AL25" s="50">
        <v>2.0</v>
      </c>
      <c r="AM25" s="50">
        <v>1.0</v>
      </c>
      <c r="AN25" s="50">
        <v>2.0</v>
      </c>
      <c r="AO25" s="50">
        <v>2.0</v>
      </c>
      <c r="AP25" s="50">
        <v>1.0</v>
      </c>
      <c r="AQ25" s="50">
        <v>2.0</v>
      </c>
      <c r="AR25" s="50" t="s">
        <v>64</v>
      </c>
      <c r="AS25" s="50" t="s">
        <v>64</v>
      </c>
      <c r="AT25" s="50" t="s">
        <v>101</v>
      </c>
      <c r="AU25" s="50" t="s">
        <v>447</v>
      </c>
      <c r="AY25" s="50"/>
      <c r="AZ25" s="50"/>
      <c r="BA25" s="50"/>
      <c r="BB25" s="50"/>
      <c r="BC25" s="50"/>
      <c r="BD25" s="50"/>
      <c r="BE25" s="50"/>
      <c r="BF25" s="50"/>
      <c r="BG25" s="50"/>
      <c r="BH25" s="50"/>
      <c r="BI25" s="50"/>
      <c r="BK25" s="53" t="s">
        <v>1320</v>
      </c>
      <c r="BM25" s="50">
        <v>1.0</v>
      </c>
      <c r="BN25" s="50">
        <v>2.0</v>
      </c>
      <c r="BO25" s="50">
        <v>1.0</v>
      </c>
      <c r="BP25" s="50">
        <v>2.0</v>
      </c>
      <c r="BQ25" s="50">
        <v>2.0</v>
      </c>
      <c r="BR25" s="50">
        <v>1.0</v>
      </c>
      <c r="BS25" s="50">
        <v>2.0</v>
      </c>
      <c r="BT25" s="50" t="s">
        <v>64</v>
      </c>
      <c r="BU25" s="50" t="s">
        <v>64</v>
      </c>
      <c r="BV25" s="50" t="s">
        <v>101</v>
      </c>
      <c r="BW25" s="50" t="s">
        <v>447</v>
      </c>
      <c r="BY25" s="58" t="s">
        <v>1321</v>
      </c>
      <c r="CA25" s="50">
        <v>2.0</v>
      </c>
      <c r="CB25" s="50">
        <v>2.0</v>
      </c>
      <c r="CC25" s="50">
        <v>2.0</v>
      </c>
      <c r="CD25" s="50">
        <v>2.0</v>
      </c>
      <c r="CE25" s="50">
        <v>2.0</v>
      </c>
      <c r="CF25" s="50">
        <v>2.0</v>
      </c>
      <c r="CG25" s="50">
        <v>2.0</v>
      </c>
      <c r="CH25" s="50" t="s">
        <v>64</v>
      </c>
      <c r="CI25" s="50" t="s">
        <v>64</v>
      </c>
      <c r="CJ25" s="50" t="s">
        <v>64</v>
      </c>
      <c r="CK25" s="50"/>
      <c r="CO25" s="50"/>
      <c r="CP25" s="50"/>
      <c r="CQ25" s="50"/>
      <c r="CR25" s="50"/>
      <c r="CS25" s="50"/>
      <c r="CT25" s="50"/>
      <c r="CU25" s="50"/>
      <c r="CV25" s="50"/>
      <c r="CW25" s="50"/>
      <c r="CX25" s="50"/>
      <c r="CY25" s="50"/>
      <c r="DA25" s="59" t="s">
        <v>1322</v>
      </c>
      <c r="DC25" s="50">
        <v>1.0</v>
      </c>
      <c r="DD25" s="50">
        <v>1.0</v>
      </c>
      <c r="DE25" s="50">
        <v>1.0</v>
      </c>
      <c r="DF25" s="50">
        <v>2.0</v>
      </c>
      <c r="DG25" s="50">
        <v>2.0</v>
      </c>
      <c r="DH25" s="50">
        <v>1.0</v>
      </c>
      <c r="DI25" s="50">
        <v>2.0</v>
      </c>
      <c r="DJ25" s="50" t="s">
        <v>64</v>
      </c>
      <c r="DK25" s="50" t="s">
        <v>101</v>
      </c>
      <c r="DL25" s="50" t="s">
        <v>101</v>
      </c>
      <c r="DM25" s="50" t="s">
        <v>447</v>
      </c>
      <c r="DO25" s="60" t="s">
        <v>1323</v>
      </c>
      <c r="DQ25" s="50">
        <v>1.0</v>
      </c>
      <c r="DR25" s="50">
        <v>1.0</v>
      </c>
      <c r="DS25" s="50">
        <v>1.0</v>
      </c>
      <c r="DT25" s="50">
        <v>2.0</v>
      </c>
      <c r="DU25" s="50">
        <v>2.0</v>
      </c>
      <c r="DV25" s="50">
        <v>1.0</v>
      </c>
      <c r="DW25" s="50">
        <v>2.0</v>
      </c>
      <c r="DX25" s="50" t="s">
        <v>64</v>
      </c>
      <c r="DY25" s="50" t="s">
        <v>101</v>
      </c>
      <c r="DZ25" s="50" t="s">
        <v>101</v>
      </c>
      <c r="EA25" s="50" t="s">
        <v>447</v>
      </c>
    </row>
    <row r="26" ht="15.75" customHeight="1">
      <c r="A26" s="14">
        <v>11.0</v>
      </c>
      <c r="B26" s="14" t="s">
        <v>247</v>
      </c>
      <c r="C26" s="14" t="str">
        <f t="array" ref="C26">IFERROR(INDEX(DOCUMENTOS!$E:$E,MATCH($A26,DOCUMENTOS!$A:$A,0)),"")</f>
        <v/>
      </c>
      <c r="D26" s="14" t="str">
        <f t="array" ref="D26">IFERROR(INDEX('BANCO DE PERGUNTAS'!$D:$D,MATCH($B26,'BANCO DE PERGUNTAS'!$A:$A,0)),"")</f>
        <v>Quais requisitos estão explicitamente presentes?</v>
      </c>
      <c r="E26" s="14" t="str">
        <f t="array" ref="E26">IFERROR(INDEX('BANCO DE PERGUNTAS'!$B:$B,MATCH($B26,'BANCO DE PERGUNTAS'!$A:$A,0)),"")</f>
        <v>Conformidade Documental</v>
      </c>
      <c r="F26" s="17">
        <f t="array" ref="F26">IFERROR(INDEX('BANCO DE PERGUNTAS'!$H:$H,MATCH($B26,'BANCO DE PERGUNTAS'!$A:$A,0)),"")</f>
        <v>2</v>
      </c>
      <c r="I26" s="50"/>
      <c r="J26" s="50"/>
      <c r="K26" s="50"/>
      <c r="L26" s="50"/>
      <c r="M26" s="50"/>
      <c r="N26" s="50"/>
      <c r="O26" s="50"/>
      <c r="P26" s="50"/>
      <c r="Q26" s="50"/>
      <c r="R26" s="50"/>
      <c r="S26" s="50"/>
      <c r="U26" s="51" t="s">
        <v>1344</v>
      </c>
      <c r="W26" s="50">
        <v>2.0</v>
      </c>
      <c r="X26" s="50">
        <v>2.0</v>
      </c>
      <c r="Y26" s="50">
        <v>2.0</v>
      </c>
      <c r="Z26" s="50">
        <v>2.0</v>
      </c>
      <c r="AA26" s="50">
        <v>2.0</v>
      </c>
      <c r="AB26" s="50">
        <v>2.0</v>
      </c>
      <c r="AC26" s="50">
        <v>2.0</v>
      </c>
      <c r="AD26" s="50" t="s">
        <v>64</v>
      </c>
      <c r="AE26" s="50" t="s">
        <v>64</v>
      </c>
      <c r="AF26" s="50" t="s">
        <v>64</v>
      </c>
      <c r="AG26" s="50"/>
      <c r="AI26" s="52" t="s">
        <v>1349</v>
      </c>
      <c r="AK26" s="50">
        <v>2.0</v>
      </c>
      <c r="AL26" s="50">
        <v>2.0</v>
      </c>
      <c r="AM26" s="50">
        <v>2.0</v>
      </c>
      <c r="AN26" s="50">
        <v>2.0</v>
      </c>
      <c r="AO26" s="50">
        <v>2.0</v>
      </c>
      <c r="AP26" s="50">
        <v>2.0</v>
      </c>
      <c r="AQ26" s="50">
        <v>2.0</v>
      </c>
      <c r="AR26" s="50" t="s">
        <v>64</v>
      </c>
      <c r="AS26" s="50" t="s">
        <v>64</v>
      </c>
      <c r="AT26" s="50" t="s">
        <v>64</v>
      </c>
      <c r="AU26" s="50"/>
      <c r="AY26" s="50"/>
      <c r="AZ26" s="50"/>
      <c r="BA26" s="50"/>
      <c r="BB26" s="50"/>
      <c r="BC26" s="50"/>
      <c r="BD26" s="50"/>
      <c r="BE26" s="50"/>
      <c r="BF26" s="50"/>
      <c r="BG26" s="50"/>
      <c r="BH26" s="50"/>
      <c r="BI26" s="50"/>
      <c r="BK26" s="53" t="s">
        <v>1350</v>
      </c>
      <c r="BM26" s="50">
        <v>2.0</v>
      </c>
      <c r="BN26" s="50">
        <v>2.0</v>
      </c>
      <c r="BO26" s="50">
        <v>2.0</v>
      </c>
      <c r="BP26" s="50">
        <v>2.0</v>
      </c>
      <c r="BQ26" s="50">
        <v>2.0</v>
      </c>
      <c r="BR26" s="50">
        <v>2.0</v>
      </c>
      <c r="BS26" s="50">
        <v>2.0</v>
      </c>
      <c r="BT26" s="50" t="s">
        <v>64</v>
      </c>
      <c r="BU26" s="50" t="s">
        <v>64</v>
      </c>
      <c r="BV26" s="50" t="s">
        <v>64</v>
      </c>
      <c r="BW26" s="50"/>
      <c r="BY26" s="58" t="s">
        <v>1351</v>
      </c>
      <c r="CA26" s="50">
        <v>2.0</v>
      </c>
      <c r="CB26" s="50">
        <v>2.0</v>
      </c>
      <c r="CC26" s="50">
        <v>2.0</v>
      </c>
      <c r="CD26" s="50">
        <v>2.0</v>
      </c>
      <c r="CE26" s="50">
        <v>2.0</v>
      </c>
      <c r="CF26" s="50">
        <v>2.0</v>
      </c>
      <c r="CG26" s="50">
        <v>2.0</v>
      </c>
      <c r="CH26" s="50" t="s">
        <v>64</v>
      </c>
      <c r="CI26" s="50" t="s">
        <v>64</v>
      </c>
      <c r="CJ26" s="50" t="s">
        <v>64</v>
      </c>
      <c r="CK26" s="50"/>
      <c r="CO26" s="50"/>
      <c r="CP26" s="50"/>
      <c r="CQ26" s="50"/>
      <c r="CR26" s="50"/>
      <c r="CS26" s="50"/>
      <c r="CT26" s="50"/>
      <c r="CU26" s="50"/>
      <c r="CV26" s="50"/>
      <c r="CW26" s="50"/>
      <c r="CX26" s="50"/>
      <c r="CY26" s="50"/>
      <c r="DA26" s="59" t="s">
        <v>1359</v>
      </c>
      <c r="DC26" s="50">
        <v>2.0</v>
      </c>
      <c r="DD26" s="50">
        <v>2.0</v>
      </c>
      <c r="DE26" s="50">
        <v>2.0</v>
      </c>
      <c r="DF26" s="50">
        <v>2.0</v>
      </c>
      <c r="DG26" s="50">
        <v>2.0</v>
      </c>
      <c r="DH26" s="50">
        <v>2.0</v>
      </c>
      <c r="DI26" s="50">
        <v>2.0</v>
      </c>
      <c r="DJ26" s="50" t="s">
        <v>64</v>
      </c>
      <c r="DK26" s="50" t="s">
        <v>64</v>
      </c>
      <c r="DL26" s="50" t="s">
        <v>64</v>
      </c>
      <c r="DM26" s="50"/>
      <c r="DO26" s="60" t="s">
        <v>1360</v>
      </c>
      <c r="DQ26" s="50">
        <v>2.0</v>
      </c>
      <c r="DR26" s="50">
        <v>2.0</v>
      </c>
      <c r="DS26" s="50">
        <v>2.0</v>
      </c>
      <c r="DT26" s="50">
        <v>2.0</v>
      </c>
      <c r="DU26" s="50">
        <v>2.0</v>
      </c>
      <c r="DV26" s="50">
        <v>2.0</v>
      </c>
      <c r="DW26" s="50">
        <v>2.0</v>
      </c>
      <c r="DX26" s="50" t="s">
        <v>64</v>
      </c>
      <c r="DY26" s="50" t="s">
        <v>64</v>
      </c>
      <c r="DZ26" s="50" t="s">
        <v>64</v>
      </c>
      <c r="EA26" s="50"/>
    </row>
    <row r="27" ht="15.75" customHeight="1">
      <c r="A27" s="11">
        <v>11.0</v>
      </c>
      <c r="B27" s="11" t="s">
        <v>252</v>
      </c>
      <c r="C27" s="11" t="str">
        <f t="array" ref="C27">IFERROR(INDEX(DOCUMENTOS!$E:$E,MATCH($A27,DOCUMENTOS!$A:$A,0)),"")</f>
        <v/>
      </c>
      <c r="D27" s="11" t="str">
        <f t="array" ref="D27">IFERROR(INDEX('BANCO DE PERGUNTAS'!$D:$D,MATCH($B27,'BANCO DE PERGUNTAS'!$A:$A,0)),"")</f>
        <v>Quais informações necessárias parecem estar ausentes?</v>
      </c>
      <c r="E27" s="11" t="str">
        <f t="array" ref="E27">IFERROR(INDEX('BANCO DE PERGUNTAS'!$B:$B,MATCH($B27,'BANCO DE PERGUNTAS'!$A:$A,0)),"")</f>
        <v>Identificação de Omissões</v>
      </c>
      <c r="F27" s="12">
        <f t="array" ref="F27">IFERROR(INDEX('BANCO DE PERGUNTAS'!$H:$H,MATCH($B27,'BANCO DE PERGUNTAS'!$A:$A,0)),"")</f>
        <v>4</v>
      </c>
      <c r="I27" s="50"/>
      <c r="J27" s="50"/>
      <c r="K27" s="50"/>
      <c r="L27" s="50"/>
      <c r="M27" s="50"/>
      <c r="N27" s="50"/>
      <c r="O27" s="50"/>
      <c r="P27" s="50"/>
      <c r="Q27" s="50"/>
      <c r="R27" s="50"/>
      <c r="S27" s="50"/>
      <c r="U27" s="63" t="s">
        <v>1372</v>
      </c>
      <c r="W27" s="50">
        <v>2.0</v>
      </c>
      <c r="X27" s="50">
        <v>2.0</v>
      </c>
      <c r="Y27" s="50">
        <v>2.0</v>
      </c>
      <c r="Z27" s="50">
        <v>2.0</v>
      </c>
      <c r="AA27" s="50">
        <v>2.0</v>
      </c>
      <c r="AB27" s="50">
        <v>2.0</v>
      </c>
      <c r="AC27" s="50">
        <v>2.0</v>
      </c>
      <c r="AD27" s="50" t="s">
        <v>64</v>
      </c>
      <c r="AE27" s="50" t="s">
        <v>64</v>
      </c>
      <c r="AF27" s="50" t="s">
        <v>64</v>
      </c>
      <c r="AG27" s="50"/>
      <c r="AI27" s="52" t="s">
        <v>1373</v>
      </c>
      <c r="AK27" s="50">
        <v>2.0</v>
      </c>
      <c r="AL27" s="50">
        <v>2.0</v>
      </c>
      <c r="AM27" s="50">
        <v>2.0</v>
      </c>
      <c r="AN27" s="50">
        <v>2.0</v>
      </c>
      <c r="AO27" s="50">
        <v>2.0</v>
      </c>
      <c r="AP27" s="50">
        <v>2.0</v>
      </c>
      <c r="AQ27" s="50">
        <v>2.0</v>
      </c>
      <c r="AR27" s="50" t="s">
        <v>64</v>
      </c>
      <c r="AS27" s="50" t="s">
        <v>64</v>
      </c>
      <c r="AT27" s="50" t="s">
        <v>64</v>
      </c>
      <c r="AU27" s="50"/>
      <c r="AY27" s="50"/>
      <c r="AZ27" s="50"/>
      <c r="BA27" s="50"/>
      <c r="BB27" s="50"/>
      <c r="BC27" s="50"/>
      <c r="BD27" s="50"/>
      <c r="BE27" s="50"/>
      <c r="BF27" s="50"/>
      <c r="BG27" s="50"/>
      <c r="BH27" s="50"/>
      <c r="BI27" s="50"/>
      <c r="BK27" s="53" t="s">
        <v>1374</v>
      </c>
      <c r="BM27" s="50">
        <v>2.0</v>
      </c>
      <c r="BN27" s="50">
        <v>2.0</v>
      </c>
      <c r="BO27" s="50">
        <v>2.0</v>
      </c>
      <c r="BP27" s="50">
        <v>2.0</v>
      </c>
      <c r="BQ27" s="50">
        <v>2.0</v>
      </c>
      <c r="BR27" s="50">
        <v>2.0</v>
      </c>
      <c r="BS27" s="50">
        <v>2.0</v>
      </c>
      <c r="BT27" s="50" t="s">
        <v>64</v>
      </c>
      <c r="BU27" s="50" t="s">
        <v>64</v>
      </c>
      <c r="BV27" s="50" t="s">
        <v>64</v>
      </c>
      <c r="BW27" s="50"/>
      <c r="BY27" s="58" t="s">
        <v>1380</v>
      </c>
      <c r="CA27" s="50">
        <v>2.0</v>
      </c>
      <c r="CB27" s="50">
        <v>2.0</v>
      </c>
      <c r="CC27" s="50">
        <v>2.0</v>
      </c>
      <c r="CD27" s="50">
        <v>2.0</v>
      </c>
      <c r="CE27" s="50">
        <v>2.0</v>
      </c>
      <c r="CF27" s="50">
        <v>2.0</v>
      </c>
      <c r="CG27" s="50">
        <v>2.0</v>
      </c>
      <c r="CH27" s="50" t="s">
        <v>64</v>
      </c>
      <c r="CI27" s="50" t="s">
        <v>64</v>
      </c>
      <c r="CJ27" s="50" t="s">
        <v>64</v>
      </c>
      <c r="CK27" s="50"/>
      <c r="CO27" s="50"/>
      <c r="CP27" s="50"/>
      <c r="CQ27" s="50"/>
      <c r="CR27" s="50"/>
      <c r="CS27" s="50"/>
      <c r="CT27" s="50"/>
      <c r="CU27" s="50"/>
      <c r="CV27" s="50"/>
      <c r="CW27" s="50"/>
      <c r="CX27" s="50"/>
      <c r="CY27" s="50"/>
      <c r="DA27" s="59" t="s">
        <v>1381</v>
      </c>
      <c r="DC27" s="50">
        <v>1.0</v>
      </c>
      <c r="DD27" s="50">
        <v>1.0</v>
      </c>
      <c r="DE27" s="50">
        <v>1.0</v>
      </c>
      <c r="DF27" s="50">
        <v>2.0</v>
      </c>
      <c r="DG27" s="50">
        <v>2.0</v>
      </c>
      <c r="DH27" s="50">
        <v>1.0</v>
      </c>
      <c r="DI27" s="50">
        <v>2.0</v>
      </c>
      <c r="DJ27" s="50" t="s">
        <v>64</v>
      </c>
      <c r="DK27" s="50" t="s">
        <v>101</v>
      </c>
      <c r="DL27" s="50" t="s">
        <v>101</v>
      </c>
      <c r="DM27" s="50" t="s">
        <v>447</v>
      </c>
      <c r="DO27" s="60" t="s">
        <v>1382</v>
      </c>
      <c r="DQ27" s="50">
        <v>1.0</v>
      </c>
      <c r="DR27" s="50">
        <v>1.0</v>
      </c>
      <c r="DS27" s="50">
        <v>1.0</v>
      </c>
      <c r="DT27" s="50">
        <v>2.0</v>
      </c>
      <c r="DU27" s="50">
        <v>2.0</v>
      </c>
      <c r="DV27" s="50">
        <v>1.0</v>
      </c>
      <c r="DW27" s="50">
        <v>2.0</v>
      </c>
      <c r="DX27" s="50" t="s">
        <v>64</v>
      </c>
      <c r="DY27" s="50" t="s">
        <v>101</v>
      </c>
      <c r="DZ27" s="50" t="s">
        <v>101</v>
      </c>
      <c r="EA27" s="50" t="s">
        <v>447</v>
      </c>
    </row>
    <row r="28" ht="15.75" customHeight="1">
      <c r="A28" s="14">
        <v>11.0</v>
      </c>
      <c r="B28" s="14" t="s">
        <v>257</v>
      </c>
      <c r="C28" s="14" t="str">
        <f t="array" ref="C28">IFERROR(INDEX(DOCUMENTOS!$E:$E,MATCH($A28,DOCUMENTOS!$A:$A,0)),"")</f>
        <v/>
      </c>
      <c r="D28" s="14" t="str">
        <f t="array" ref="D28">IFERROR(INDEX('BANCO DE PERGUNTAS'!$D:$D,MATCH($B28,'BANCO DE PERGUNTAS'!$A:$A,0)),"")</f>
        <v>Existem informações conflitantes com outro documento relacionado?</v>
      </c>
      <c r="E28" s="14" t="str">
        <f t="array" ref="E28">IFERROR(INDEX('BANCO DE PERGUNTAS'!$B:$B,MATCH($B28,'BANCO DE PERGUNTAS'!$A:$A,0)),"")</f>
        <v>Comparação</v>
      </c>
      <c r="F28" s="17">
        <f t="array" ref="F28">IFERROR(INDEX('BANCO DE PERGUNTAS'!$H:$H,MATCH($B28,'BANCO DE PERGUNTAS'!$A:$A,0)),"")</f>
        <v>5</v>
      </c>
      <c r="I28" s="50"/>
      <c r="J28" s="50"/>
      <c r="K28" s="50"/>
      <c r="L28" s="50"/>
      <c r="M28" s="50"/>
      <c r="N28" s="50"/>
      <c r="O28" s="50"/>
      <c r="P28" s="50"/>
      <c r="Q28" s="50"/>
      <c r="R28" s="50"/>
      <c r="S28" s="50"/>
      <c r="U28" s="51" t="s">
        <v>1399</v>
      </c>
      <c r="W28" s="50">
        <v>2.0</v>
      </c>
      <c r="X28" s="50">
        <v>2.0</v>
      </c>
      <c r="Y28" s="50">
        <v>2.0</v>
      </c>
      <c r="Z28" s="50">
        <v>2.0</v>
      </c>
      <c r="AA28" s="50">
        <v>2.0</v>
      </c>
      <c r="AB28" s="50">
        <v>2.0</v>
      </c>
      <c r="AC28" s="50">
        <v>2.0</v>
      </c>
      <c r="AD28" s="50" t="s">
        <v>64</v>
      </c>
      <c r="AE28" s="50" t="s">
        <v>64</v>
      </c>
      <c r="AF28" s="50" t="s">
        <v>64</v>
      </c>
      <c r="AG28" s="50"/>
      <c r="AI28" s="52" t="s">
        <v>1400</v>
      </c>
      <c r="AK28" s="50">
        <v>2.0</v>
      </c>
      <c r="AL28" s="50">
        <v>2.0</v>
      </c>
      <c r="AM28" s="50">
        <v>2.0</v>
      </c>
      <c r="AN28" s="50">
        <v>2.0</v>
      </c>
      <c r="AO28" s="50">
        <v>2.0</v>
      </c>
      <c r="AP28" s="50">
        <v>2.0</v>
      </c>
      <c r="AQ28" s="50">
        <v>2.0</v>
      </c>
      <c r="AR28" s="50" t="s">
        <v>64</v>
      </c>
      <c r="AS28" s="50" t="s">
        <v>64</v>
      </c>
      <c r="AT28" s="50" t="s">
        <v>64</v>
      </c>
      <c r="AU28" s="50"/>
      <c r="AY28" s="50"/>
      <c r="AZ28" s="50"/>
      <c r="BA28" s="50"/>
      <c r="BB28" s="50"/>
      <c r="BC28" s="50"/>
      <c r="BD28" s="50"/>
      <c r="BE28" s="50"/>
      <c r="BF28" s="50"/>
      <c r="BG28" s="50"/>
      <c r="BH28" s="50"/>
      <c r="BI28" s="50"/>
      <c r="BK28" s="53" t="s">
        <v>1403</v>
      </c>
      <c r="BM28" s="50">
        <v>2.0</v>
      </c>
      <c r="BN28" s="50">
        <v>2.0</v>
      </c>
      <c r="BO28" s="50">
        <v>2.0</v>
      </c>
      <c r="BP28" s="50">
        <v>2.0</v>
      </c>
      <c r="BQ28" s="50">
        <v>2.0</v>
      </c>
      <c r="BR28" s="50">
        <v>2.0</v>
      </c>
      <c r="BS28" s="50">
        <v>2.0</v>
      </c>
      <c r="BT28" s="50" t="s">
        <v>64</v>
      </c>
      <c r="BU28" s="50" t="s">
        <v>64</v>
      </c>
      <c r="BV28" s="50" t="s">
        <v>64</v>
      </c>
      <c r="BW28" s="50"/>
      <c r="BY28" s="58" t="s">
        <v>1405</v>
      </c>
      <c r="CA28" s="50">
        <v>2.0</v>
      </c>
      <c r="CB28" s="50">
        <v>2.0</v>
      </c>
      <c r="CC28" s="50">
        <v>2.0</v>
      </c>
      <c r="CD28" s="50">
        <v>2.0</v>
      </c>
      <c r="CE28" s="50">
        <v>2.0</v>
      </c>
      <c r="CF28" s="50">
        <v>2.0</v>
      </c>
      <c r="CG28" s="50">
        <v>2.0</v>
      </c>
      <c r="CH28" s="50" t="s">
        <v>64</v>
      </c>
      <c r="CI28" s="50" t="s">
        <v>64</v>
      </c>
      <c r="CJ28" s="50" t="s">
        <v>64</v>
      </c>
      <c r="CK28" s="50"/>
      <c r="CO28" s="50"/>
      <c r="CP28" s="50"/>
      <c r="CQ28" s="50"/>
      <c r="CR28" s="50"/>
      <c r="CS28" s="50"/>
      <c r="CT28" s="50"/>
      <c r="CU28" s="50"/>
      <c r="CV28" s="50"/>
      <c r="CW28" s="50"/>
      <c r="CX28" s="50"/>
      <c r="CY28" s="50"/>
      <c r="DA28" s="59" t="s">
        <v>1406</v>
      </c>
      <c r="DC28" s="50">
        <v>2.0</v>
      </c>
      <c r="DD28" s="50">
        <v>2.0</v>
      </c>
      <c r="DE28" s="50">
        <v>2.0</v>
      </c>
      <c r="DF28" s="50">
        <v>2.0</v>
      </c>
      <c r="DG28" s="50">
        <v>2.0</v>
      </c>
      <c r="DH28" s="50">
        <v>2.0</v>
      </c>
      <c r="DI28" s="50">
        <v>2.0</v>
      </c>
      <c r="DJ28" s="50" t="s">
        <v>64</v>
      </c>
      <c r="DK28" s="50" t="s">
        <v>64</v>
      </c>
      <c r="DL28" s="50" t="s">
        <v>64</v>
      </c>
      <c r="DM28" s="50"/>
      <c r="DO28" s="60" t="s">
        <v>1407</v>
      </c>
      <c r="DQ28" s="50">
        <v>2.0</v>
      </c>
      <c r="DR28" s="50">
        <v>2.0</v>
      </c>
      <c r="DS28" s="50">
        <v>2.0</v>
      </c>
      <c r="DT28" s="50">
        <v>2.0</v>
      </c>
      <c r="DU28" s="50">
        <v>2.0</v>
      </c>
      <c r="DV28" s="50">
        <v>2.0</v>
      </c>
      <c r="DW28" s="50">
        <v>2.0</v>
      </c>
      <c r="DX28" s="50" t="s">
        <v>64</v>
      </c>
      <c r="DY28" s="50" t="s">
        <v>64</v>
      </c>
      <c r="DZ28" s="50" t="s">
        <v>64</v>
      </c>
      <c r="EA28" s="50"/>
    </row>
    <row r="29" ht="15.75" customHeight="1">
      <c r="A29" s="11">
        <v>11.0</v>
      </c>
      <c r="B29" s="11" t="s">
        <v>264</v>
      </c>
      <c r="C29" s="11" t="str">
        <f t="array" ref="C29">IFERROR(INDEX(DOCUMENTOS!$E:$E,MATCH($A29,DOCUMENTOS!$A:$A,0)),"")</f>
        <v/>
      </c>
      <c r="D29" s="11" t="str">
        <f t="array" ref="D29">IFERROR(INDEX('BANCO DE PERGUNTAS'!$D:$D,MATCH($B29,'BANCO DE PERGUNTAS'!$A:$A,0)),"")</f>
        <v>Quais diferenças existem entre os documentos?</v>
      </c>
      <c r="E29" s="11" t="str">
        <f t="array" ref="E29">IFERROR(INDEX('BANCO DE PERGUNTAS'!$B:$B,MATCH($B29,'BANCO DE PERGUNTAS'!$A:$A,0)),"")</f>
        <v>Comparação</v>
      </c>
      <c r="F29" s="12">
        <f t="array" ref="F29">IFERROR(INDEX('BANCO DE PERGUNTAS'!$H:$H,MATCH($B29,'BANCO DE PERGUNTAS'!$A:$A,0)),"")</f>
        <v>5</v>
      </c>
      <c r="I29" s="50"/>
      <c r="J29" s="50"/>
      <c r="K29" s="50"/>
      <c r="L29" s="50"/>
      <c r="M29" s="50"/>
      <c r="N29" s="50"/>
      <c r="O29" s="50"/>
      <c r="P29" s="50"/>
      <c r="Q29" s="50"/>
      <c r="R29" s="50"/>
      <c r="S29" s="50"/>
      <c r="U29" s="63" t="s">
        <v>1422</v>
      </c>
      <c r="W29" s="50">
        <v>2.0</v>
      </c>
      <c r="X29" s="50">
        <v>2.0</v>
      </c>
      <c r="Y29" s="50">
        <v>2.0</v>
      </c>
      <c r="Z29" s="50">
        <v>2.0</v>
      </c>
      <c r="AA29" s="50">
        <v>2.0</v>
      </c>
      <c r="AB29" s="50">
        <v>2.0</v>
      </c>
      <c r="AC29" s="50">
        <v>2.0</v>
      </c>
      <c r="AD29" s="50" t="s">
        <v>64</v>
      </c>
      <c r="AE29" s="50" t="s">
        <v>64</v>
      </c>
      <c r="AF29" s="50" t="s">
        <v>64</v>
      </c>
      <c r="AG29" s="50"/>
      <c r="AI29" s="52" t="s">
        <v>1428</v>
      </c>
      <c r="AK29" s="86">
        <v>2.0</v>
      </c>
      <c r="AL29" s="86">
        <v>2.0</v>
      </c>
      <c r="AM29" s="86">
        <v>2.0</v>
      </c>
      <c r="AN29" s="86">
        <v>2.0</v>
      </c>
      <c r="AO29" s="86">
        <v>2.0</v>
      </c>
      <c r="AP29" s="86">
        <v>2.0</v>
      </c>
      <c r="AQ29" s="86">
        <v>2.0</v>
      </c>
      <c r="AR29" s="87" t="s">
        <v>64</v>
      </c>
      <c r="AS29" s="87" t="s">
        <v>64</v>
      </c>
      <c r="AT29" s="87" t="s">
        <v>64</v>
      </c>
      <c r="AU29" s="50"/>
      <c r="AY29" s="50"/>
      <c r="AZ29" s="50"/>
      <c r="BA29" s="50"/>
      <c r="BB29" s="50"/>
      <c r="BC29" s="50"/>
      <c r="BD29" s="50"/>
      <c r="BE29" s="50"/>
      <c r="BF29" s="50"/>
      <c r="BG29" s="50"/>
      <c r="BH29" s="50"/>
      <c r="BI29" s="50"/>
      <c r="BK29" s="53" t="s">
        <v>1430</v>
      </c>
      <c r="BM29" s="86">
        <v>2.0</v>
      </c>
      <c r="BN29" s="86">
        <v>2.0</v>
      </c>
      <c r="BO29" s="86">
        <v>2.0</v>
      </c>
      <c r="BP29" s="86">
        <v>2.0</v>
      </c>
      <c r="BQ29" s="86">
        <v>2.0</v>
      </c>
      <c r="BR29" s="86">
        <v>2.0</v>
      </c>
      <c r="BS29" s="86">
        <v>2.0</v>
      </c>
      <c r="BT29" s="87" t="s">
        <v>64</v>
      </c>
      <c r="BU29" s="87" t="s">
        <v>64</v>
      </c>
      <c r="BV29" s="87" t="s">
        <v>64</v>
      </c>
      <c r="BW29" s="50"/>
      <c r="BY29" s="58" t="s">
        <v>1431</v>
      </c>
      <c r="CA29" s="86">
        <v>2.0</v>
      </c>
      <c r="CB29" s="86">
        <v>2.0</v>
      </c>
      <c r="CC29" s="86">
        <v>2.0</v>
      </c>
      <c r="CD29" s="86">
        <v>2.0</v>
      </c>
      <c r="CE29" s="86">
        <v>2.0</v>
      </c>
      <c r="CF29" s="86">
        <v>2.0</v>
      </c>
      <c r="CG29" s="86">
        <v>2.0</v>
      </c>
      <c r="CH29" s="87" t="s">
        <v>64</v>
      </c>
      <c r="CI29" s="87" t="s">
        <v>64</v>
      </c>
      <c r="CJ29" s="87" t="s">
        <v>64</v>
      </c>
      <c r="CK29" s="50"/>
      <c r="CO29" s="50"/>
      <c r="CP29" s="50"/>
      <c r="CQ29" s="50"/>
      <c r="CR29" s="50"/>
      <c r="CS29" s="50"/>
      <c r="CT29" s="50"/>
      <c r="CU29" s="50"/>
      <c r="CV29" s="50"/>
      <c r="CW29" s="50"/>
      <c r="CX29" s="50"/>
      <c r="CY29" s="50"/>
      <c r="DA29" s="59" t="s">
        <v>1434</v>
      </c>
      <c r="DC29" s="86">
        <v>2.0</v>
      </c>
      <c r="DD29" s="86">
        <v>2.0</v>
      </c>
      <c r="DE29" s="86">
        <v>2.0</v>
      </c>
      <c r="DF29" s="86">
        <v>2.0</v>
      </c>
      <c r="DG29" s="86">
        <v>2.0</v>
      </c>
      <c r="DH29" s="86">
        <v>2.0</v>
      </c>
      <c r="DI29" s="86">
        <v>2.0</v>
      </c>
      <c r="DJ29" s="87" t="s">
        <v>64</v>
      </c>
      <c r="DK29" s="87" t="s">
        <v>64</v>
      </c>
      <c r="DL29" s="87" t="s">
        <v>64</v>
      </c>
      <c r="DM29" s="50"/>
      <c r="DO29" s="60" t="s">
        <v>1435</v>
      </c>
      <c r="DQ29" s="86">
        <v>2.0</v>
      </c>
      <c r="DR29" s="86">
        <v>2.0</v>
      </c>
      <c r="DS29" s="86">
        <v>2.0</v>
      </c>
      <c r="DT29" s="86">
        <v>2.0</v>
      </c>
      <c r="DU29" s="86">
        <v>2.0</v>
      </c>
      <c r="DV29" s="86">
        <v>2.0</v>
      </c>
      <c r="DW29" s="86">
        <v>2.0</v>
      </c>
      <c r="DX29" s="87" t="s">
        <v>64</v>
      </c>
      <c r="DY29" s="87" t="s">
        <v>64</v>
      </c>
      <c r="DZ29" s="87" t="s">
        <v>64</v>
      </c>
      <c r="EA29" s="50"/>
    </row>
    <row r="30" ht="15.75" customHeight="1">
      <c r="A30" s="14">
        <v>11.0</v>
      </c>
      <c r="B30" s="14" t="s">
        <v>269</v>
      </c>
      <c r="C30" s="14" t="str">
        <f t="array" ref="C30">IFERROR(INDEX(DOCUMENTOS!$E:$E,MATCH($A30,DOCUMENTOS!$A:$A,0)),"")</f>
        <v/>
      </c>
      <c r="D30" s="14" t="str">
        <f t="array" ref="D30">IFERROR(INDEX('BANCO DE PERGUNTAS'!$D:$D,MATCH($B30,'BANCO DE PERGUNTAS'!$A:$A,0)),"")</f>
        <v>Quais informações foram alteradas?</v>
      </c>
      <c r="E30" s="14" t="str">
        <f t="array" ref="E30">IFERROR(INDEX('BANCO DE PERGUNTAS'!$B:$B,MATCH($B30,'BANCO DE PERGUNTAS'!$A:$A,0)),"")</f>
        <v>Análise de Relações entre Informações</v>
      </c>
      <c r="F30" s="17">
        <f t="array" ref="F30">IFERROR(INDEX('BANCO DE PERGUNTAS'!$H:$H,MATCH($B30,'BANCO DE PERGUNTAS'!$A:$A,0)),"")</f>
        <v>5</v>
      </c>
      <c r="I30" s="50"/>
      <c r="J30" s="50"/>
      <c r="K30" s="50"/>
      <c r="L30" s="50"/>
      <c r="M30" s="50"/>
      <c r="N30" s="50"/>
      <c r="O30" s="50"/>
      <c r="P30" s="50"/>
      <c r="Q30" s="50"/>
      <c r="R30" s="50"/>
      <c r="S30" s="50"/>
      <c r="U30" s="51" t="s">
        <v>1441</v>
      </c>
      <c r="W30" s="50">
        <v>2.0</v>
      </c>
      <c r="X30" s="50">
        <v>2.0</v>
      </c>
      <c r="Y30" s="50">
        <v>2.0</v>
      </c>
      <c r="Z30" s="50">
        <v>2.0</v>
      </c>
      <c r="AA30" s="50">
        <v>2.0</v>
      </c>
      <c r="AB30" s="50">
        <v>2.0</v>
      </c>
      <c r="AC30" s="50">
        <v>2.0</v>
      </c>
      <c r="AD30" s="50" t="s">
        <v>64</v>
      </c>
      <c r="AE30" s="50" t="s">
        <v>64</v>
      </c>
      <c r="AF30" s="50" t="s">
        <v>64</v>
      </c>
      <c r="AG30" s="50"/>
      <c r="AI30" s="52" t="s">
        <v>1442</v>
      </c>
      <c r="AK30" s="50">
        <v>2.0</v>
      </c>
      <c r="AL30" s="50">
        <v>2.0</v>
      </c>
      <c r="AM30" s="50">
        <v>2.0</v>
      </c>
      <c r="AN30" s="50">
        <v>2.0</v>
      </c>
      <c r="AO30" s="50">
        <v>2.0</v>
      </c>
      <c r="AP30" s="50">
        <v>2.0</v>
      </c>
      <c r="AQ30" s="50">
        <v>2.0</v>
      </c>
      <c r="AR30" s="50" t="s">
        <v>64</v>
      </c>
      <c r="AS30" s="50" t="s">
        <v>64</v>
      </c>
      <c r="AT30" s="50" t="s">
        <v>64</v>
      </c>
      <c r="AU30" s="50"/>
      <c r="AY30" s="50"/>
      <c r="AZ30" s="50"/>
      <c r="BA30" s="50"/>
      <c r="BB30" s="50"/>
      <c r="BC30" s="50"/>
      <c r="BD30" s="50"/>
      <c r="BE30" s="50"/>
      <c r="BF30" s="50"/>
      <c r="BG30" s="50"/>
      <c r="BH30" s="50"/>
      <c r="BI30" s="50"/>
      <c r="BK30" s="53" t="s">
        <v>1446</v>
      </c>
      <c r="BM30" s="50">
        <v>2.0</v>
      </c>
      <c r="BN30" s="50">
        <v>2.0</v>
      </c>
      <c r="BO30" s="50">
        <v>2.0</v>
      </c>
      <c r="BP30" s="50">
        <v>2.0</v>
      </c>
      <c r="BQ30" s="50">
        <v>2.0</v>
      </c>
      <c r="BR30" s="50">
        <v>2.0</v>
      </c>
      <c r="BS30" s="50">
        <v>2.0</v>
      </c>
      <c r="BT30" s="50" t="s">
        <v>64</v>
      </c>
      <c r="BU30" s="50" t="s">
        <v>64</v>
      </c>
      <c r="BV30" s="50" t="s">
        <v>64</v>
      </c>
      <c r="BW30" s="50"/>
      <c r="BY30" s="58" t="s">
        <v>1447</v>
      </c>
      <c r="CA30" s="50">
        <v>2.0</v>
      </c>
      <c r="CB30" s="50">
        <v>2.0</v>
      </c>
      <c r="CC30" s="50">
        <v>2.0</v>
      </c>
      <c r="CD30" s="50">
        <v>2.0</v>
      </c>
      <c r="CE30" s="50">
        <v>2.0</v>
      </c>
      <c r="CF30" s="50">
        <v>2.0</v>
      </c>
      <c r="CG30" s="50">
        <v>2.0</v>
      </c>
      <c r="CH30" s="50" t="s">
        <v>64</v>
      </c>
      <c r="CI30" s="50" t="s">
        <v>64</v>
      </c>
      <c r="CJ30" s="50" t="s">
        <v>64</v>
      </c>
      <c r="CK30" s="50"/>
      <c r="CO30" s="50"/>
      <c r="CP30" s="50"/>
      <c r="CQ30" s="50"/>
      <c r="CR30" s="50"/>
      <c r="CS30" s="50"/>
      <c r="CT30" s="50"/>
      <c r="CU30" s="50"/>
      <c r="CV30" s="50"/>
      <c r="CW30" s="50"/>
      <c r="CX30" s="50"/>
      <c r="CY30" s="50"/>
      <c r="DA30" s="59" t="s">
        <v>1448</v>
      </c>
      <c r="DC30" s="50">
        <v>1.0</v>
      </c>
      <c r="DD30" s="50">
        <v>1.0</v>
      </c>
      <c r="DE30" s="50">
        <v>1.0</v>
      </c>
      <c r="DF30" s="50">
        <v>2.0</v>
      </c>
      <c r="DG30" s="50">
        <v>2.0</v>
      </c>
      <c r="DH30" s="50">
        <v>1.0</v>
      </c>
      <c r="DI30" s="50">
        <v>2.0</v>
      </c>
      <c r="DJ30" s="50" t="s">
        <v>64</v>
      </c>
      <c r="DK30" s="50" t="s">
        <v>101</v>
      </c>
      <c r="DL30" s="50" t="s">
        <v>101</v>
      </c>
      <c r="DM30" s="50" t="s">
        <v>447</v>
      </c>
      <c r="DO30" s="60" t="s">
        <v>1449</v>
      </c>
      <c r="DQ30" s="50">
        <v>1.0</v>
      </c>
      <c r="DR30" s="50">
        <v>1.0</v>
      </c>
      <c r="DS30" s="50">
        <v>1.0</v>
      </c>
      <c r="DT30" s="50">
        <v>2.0</v>
      </c>
      <c r="DU30" s="50">
        <v>2.0</v>
      </c>
      <c r="DV30" s="50">
        <v>1.0</v>
      </c>
      <c r="DW30" s="50">
        <v>2.0</v>
      </c>
      <c r="DX30" s="50" t="s">
        <v>64</v>
      </c>
      <c r="DY30" s="50" t="s">
        <v>101</v>
      </c>
      <c r="DZ30" s="50" t="s">
        <v>101</v>
      </c>
      <c r="EA30" s="50" t="s">
        <v>447</v>
      </c>
    </row>
    <row r="31" ht="15.75" customHeight="1">
      <c r="A31" s="11">
        <v>11.0</v>
      </c>
      <c r="B31" s="11" t="s">
        <v>276</v>
      </c>
      <c r="C31" s="11" t="str">
        <f t="array" ref="C31">IFERROR(INDEX(DOCUMENTOS!$E:$E,MATCH($A31,DOCUMENTOS!$A:$A,0)),"")</f>
        <v/>
      </c>
      <c r="D31" s="11" t="str">
        <f t="array" ref="D31">IFERROR(INDEX('BANCO DE PERGUNTAS'!$D:$D,MATCH($B31,'BANCO DE PERGUNTAS'!$A:$A,0)),"")</f>
        <v>Identifique possíveis pontos de atenção administrativa.</v>
      </c>
      <c r="E31" s="11" t="str">
        <f t="array" ref="E31">IFERROR(INDEX('BANCO DE PERGUNTAS'!$B:$B,MATCH($B31,'BANCO DE PERGUNTAS'!$A:$A,0)),"")</f>
        <v>Análise de Risco</v>
      </c>
      <c r="F31" s="12">
        <f t="array" ref="F31">IFERROR(INDEX('BANCO DE PERGUNTAS'!$H:$H,MATCH($B31,'BANCO DE PERGUNTAS'!$A:$A,0)),"")</f>
        <v>4</v>
      </c>
      <c r="I31" s="50"/>
      <c r="J31" s="50"/>
      <c r="K31" s="50"/>
      <c r="L31" s="50"/>
      <c r="M31" s="50"/>
      <c r="N31" s="50"/>
      <c r="O31" s="50"/>
      <c r="P31" s="50"/>
      <c r="Q31" s="50"/>
      <c r="R31" s="50"/>
      <c r="S31" s="50"/>
      <c r="U31" s="63" t="s">
        <v>1476</v>
      </c>
      <c r="W31" s="50">
        <v>2.0</v>
      </c>
      <c r="X31" s="50">
        <v>2.0</v>
      </c>
      <c r="Y31" s="50">
        <v>2.0</v>
      </c>
      <c r="Z31" s="50">
        <v>2.0</v>
      </c>
      <c r="AA31" s="50">
        <v>2.0</v>
      </c>
      <c r="AB31" s="50">
        <v>2.0</v>
      </c>
      <c r="AC31" s="50">
        <v>2.0</v>
      </c>
      <c r="AD31" s="50" t="s">
        <v>64</v>
      </c>
      <c r="AE31" s="50" t="s">
        <v>64</v>
      </c>
      <c r="AF31" s="50" t="s">
        <v>64</v>
      </c>
      <c r="AG31" s="50"/>
      <c r="AI31" s="52" t="s">
        <v>1478</v>
      </c>
      <c r="AK31" s="50">
        <v>2.0</v>
      </c>
      <c r="AL31" s="50">
        <v>2.0</v>
      </c>
      <c r="AM31" s="50">
        <v>2.0</v>
      </c>
      <c r="AN31" s="50">
        <v>2.0</v>
      </c>
      <c r="AO31" s="50">
        <v>2.0</v>
      </c>
      <c r="AP31" s="50">
        <v>2.0</v>
      </c>
      <c r="AQ31" s="50">
        <v>2.0</v>
      </c>
      <c r="AR31" s="50" t="s">
        <v>64</v>
      </c>
      <c r="AS31" s="50" t="s">
        <v>64</v>
      </c>
      <c r="AT31" s="50" t="s">
        <v>64</v>
      </c>
      <c r="AU31" s="50"/>
      <c r="AY31" s="50"/>
      <c r="AZ31" s="50"/>
      <c r="BA31" s="50"/>
      <c r="BB31" s="50"/>
      <c r="BC31" s="50"/>
      <c r="BD31" s="50"/>
      <c r="BE31" s="50"/>
      <c r="BF31" s="50"/>
      <c r="BG31" s="50"/>
      <c r="BH31" s="50"/>
      <c r="BI31" s="50"/>
      <c r="BK31" s="53" t="s">
        <v>1479</v>
      </c>
      <c r="BM31" s="50">
        <v>2.0</v>
      </c>
      <c r="BN31" s="50">
        <v>2.0</v>
      </c>
      <c r="BO31" s="50">
        <v>2.0</v>
      </c>
      <c r="BP31" s="50">
        <v>2.0</v>
      </c>
      <c r="BQ31" s="50">
        <v>2.0</v>
      </c>
      <c r="BR31" s="50">
        <v>2.0</v>
      </c>
      <c r="BS31" s="50">
        <v>2.0</v>
      </c>
      <c r="BT31" s="50" t="s">
        <v>64</v>
      </c>
      <c r="BU31" s="50" t="s">
        <v>64</v>
      </c>
      <c r="BV31" s="50" t="s">
        <v>64</v>
      </c>
      <c r="BW31" s="50"/>
      <c r="BY31" s="58" t="s">
        <v>1480</v>
      </c>
      <c r="CA31" s="50">
        <v>2.0</v>
      </c>
      <c r="CB31" s="50">
        <v>2.0</v>
      </c>
      <c r="CC31" s="50">
        <v>2.0</v>
      </c>
      <c r="CD31" s="50">
        <v>2.0</v>
      </c>
      <c r="CE31" s="50">
        <v>2.0</v>
      </c>
      <c r="CF31" s="50">
        <v>2.0</v>
      </c>
      <c r="CG31" s="50">
        <v>2.0</v>
      </c>
      <c r="CH31" s="50" t="s">
        <v>64</v>
      </c>
      <c r="CI31" s="50" t="s">
        <v>64</v>
      </c>
      <c r="CJ31" s="50" t="s">
        <v>64</v>
      </c>
      <c r="CK31" s="50"/>
      <c r="CO31" s="50"/>
      <c r="CP31" s="50"/>
      <c r="CQ31" s="50"/>
      <c r="CR31" s="50"/>
      <c r="CS31" s="50"/>
      <c r="CT31" s="50"/>
      <c r="CU31" s="50"/>
      <c r="CV31" s="50"/>
      <c r="CW31" s="50"/>
      <c r="CX31" s="50"/>
      <c r="CY31" s="50"/>
      <c r="DA31" s="59" t="s">
        <v>1481</v>
      </c>
      <c r="DC31" s="50">
        <v>2.0</v>
      </c>
      <c r="DD31" s="50">
        <v>2.0</v>
      </c>
      <c r="DE31" s="50">
        <v>2.0</v>
      </c>
      <c r="DF31" s="50">
        <v>2.0</v>
      </c>
      <c r="DG31" s="50">
        <v>2.0</v>
      </c>
      <c r="DH31" s="50">
        <v>2.0</v>
      </c>
      <c r="DI31" s="50">
        <v>2.0</v>
      </c>
      <c r="DJ31" s="50" t="s">
        <v>64</v>
      </c>
      <c r="DK31" s="50" t="s">
        <v>64</v>
      </c>
      <c r="DL31" s="50" t="s">
        <v>64</v>
      </c>
      <c r="DM31" s="50"/>
      <c r="DO31" s="60" t="s">
        <v>1482</v>
      </c>
      <c r="DQ31" s="50">
        <v>1.0</v>
      </c>
      <c r="DR31" s="50">
        <v>1.0</v>
      </c>
      <c r="DS31" s="50">
        <v>1.0</v>
      </c>
      <c r="DT31" s="50">
        <v>2.0</v>
      </c>
      <c r="DU31" s="50">
        <v>2.0</v>
      </c>
      <c r="DV31" s="50">
        <v>1.0</v>
      </c>
      <c r="DW31" s="50">
        <v>2.0</v>
      </c>
      <c r="DX31" s="50" t="s">
        <v>64</v>
      </c>
      <c r="DY31" s="50" t="s">
        <v>101</v>
      </c>
      <c r="DZ31" s="50" t="s">
        <v>101</v>
      </c>
      <c r="EA31" s="50" t="s">
        <v>447</v>
      </c>
    </row>
    <row r="32" ht="15.75" customHeight="1">
      <c r="A32" s="14">
        <v>11.0</v>
      </c>
      <c r="B32" s="14" t="s">
        <v>284</v>
      </c>
      <c r="C32" s="14" t="str">
        <f t="array" ref="C32">IFERROR(INDEX(DOCUMENTOS!$E:$E,MATCH($A32,DOCUMENTOS!$A:$A,0)),"")</f>
        <v/>
      </c>
      <c r="D32" s="14" t="str">
        <f t="array" ref="D32">IFERROR(INDEX('BANCO DE PERGUNTAS'!$D:$D,MATCH($B32,'BANCO DE PERGUNTAS'!$A:$A,0)),"")</f>
        <v>Quais informações deveriam ser verificadas antes de uma decisão administrativa?</v>
      </c>
      <c r="E32" s="14" t="str">
        <f t="array" ref="E32">IFERROR(INDEX('BANCO DE PERGUNTAS'!$B:$B,MATCH($B32,'BANCO DE PERGUNTAS'!$A:$A,0)),"")</f>
        <v>Análise de Risco</v>
      </c>
      <c r="F32" s="17">
        <f t="array" ref="F32">IFERROR(INDEX('BANCO DE PERGUNTAS'!$H:$H,MATCH($B32,'BANCO DE PERGUNTAS'!$A:$A,0)),"")</f>
        <v>4</v>
      </c>
      <c r="I32" s="50"/>
      <c r="J32" s="50"/>
      <c r="K32" s="50"/>
      <c r="L32" s="50"/>
      <c r="M32" s="50"/>
      <c r="N32" s="50"/>
      <c r="O32" s="50"/>
      <c r="P32" s="50"/>
      <c r="Q32" s="50"/>
      <c r="R32" s="50"/>
      <c r="S32" s="50"/>
      <c r="U32" s="51" t="s">
        <v>1496</v>
      </c>
      <c r="W32" s="50">
        <v>2.0</v>
      </c>
      <c r="X32" s="50">
        <v>2.0</v>
      </c>
      <c r="Y32" s="50">
        <v>2.0</v>
      </c>
      <c r="Z32" s="50">
        <v>2.0</v>
      </c>
      <c r="AA32" s="50">
        <v>2.0</v>
      </c>
      <c r="AB32" s="50">
        <v>2.0</v>
      </c>
      <c r="AC32" s="50">
        <v>2.0</v>
      </c>
      <c r="AD32" s="50" t="s">
        <v>64</v>
      </c>
      <c r="AE32" s="50" t="s">
        <v>64</v>
      </c>
      <c r="AF32" s="50" t="s">
        <v>64</v>
      </c>
      <c r="AG32" s="50"/>
      <c r="AI32" s="52" t="s">
        <v>1497</v>
      </c>
      <c r="AK32" s="50">
        <v>2.0</v>
      </c>
      <c r="AL32" s="50">
        <v>2.0</v>
      </c>
      <c r="AM32" s="50">
        <v>2.0</v>
      </c>
      <c r="AN32" s="50">
        <v>2.0</v>
      </c>
      <c r="AO32" s="50">
        <v>2.0</v>
      </c>
      <c r="AP32" s="50">
        <v>2.0</v>
      </c>
      <c r="AQ32" s="50">
        <v>2.0</v>
      </c>
      <c r="AR32" s="50" t="s">
        <v>64</v>
      </c>
      <c r="AS32" s="50" t="s">
        <v>64</v>
      </c>
      <c r="AT32" s="50" t="s">
        <v>64</v>
      </c>
      <c r="AU32" s="50"/>
      <c r="AY32" s="50"/>
      <c r="AZ32" s="50"/>
      <c r="BA32" s="50"/>
      <c r="BB32" s="50"/>
      <c r="BC32" s="50"/>
      <c r="BD32" s="50"/>
      <c r="BE32" s="50"/>
      <c r="BF32" s="50"/>
      <c r="BG32" s="50"/>
      <c r="BH32" s="50"/>
      <c r="BI32" s="50"/>
      <c r="BK32" s="53" t="s">
        <v>1503</v>
      </c>
      <c r="BM32" s="50">
        <v>2.0</v>
      </c>
      <c r="BN32" s="50">
        <v>2.0</v>
      </c>
      <c r="BO32" s="50">
        <v>2.0</v>
      </c>
      <c r="BP32" s="50">
        <v>2.0</v>
      </c>
      <c r="BQ32" s="50">
        <v>2.0</v>
      </c>
      <c r="BR32" s="50">
        <v>2.0</v>
      </c>
      <c r="BS32" s="50">
        <v>2.0</v>
      </c>
      <c r="BT32" s="50" t="s">
        <v>64</v>
      </c>
      <c r="BU32" s="50" t="s">
        <v>64</v>
      </c>
      <c r="BV32" s="50" t="s">
        <v>64</v>
      </c>
      <c r="BW32" s="50"/>
      <c r="BY32" s="58" t="s">
        <v>1505</v>
      </c>
      <c r="CA32" s="50">
        <v>2.0</v>
      </c>
      <c r="CB32" s="50">
        <v>2.0</v>
      </c>
      <c r="CC32" s="50">
        <v>2.0</v>
      </c>
      <c r="CD32" s="50">
        <v>2.0</v>
      </c>
      <c r="CE32" s="50">
        <v>2.0</v>
      </c>
      <c r="CF32" s="50">
        <v>2.0</v>
      </c>
      <c r="CG32" s="50">
        <v>2.0</v>
      </c>
      <c r="CH32" s="50" t="s">
        <v>64</v>
      </c>
      <c r="CI32" s="50" t="s">
        <v>64</v>
      </c>
      <c r="CJ32" s="50" t="s">
        <v>64</v>
      </c>
      <c r="CK32" s="50"/>
      <c r="CO32" s="50"/>
      <c r="CP32" s="50"/>
      <c r="CQ32" s="50"/>
      <c r="CR32" s="50"/>
      <c r="CS32" s="50"/>
      <c r="CT32" s="50"/>
      <c r="CU32" s="50"/>
      <c r="CV32" s="50"/>
      <c r="CW32" s="50"/>
      <c r="CX32" s="50"/>
      <c r="CY32" s="50"/>
      <c r="DA32" s="59" t="s">
        <v>1506</v>
      </c>
      <c r="DC32" s="50">
        <v>2.0</v>
      </c>
      <c r="DD32" s="50">
        <v>2.0</v>
      </c>
      <c r="DE32" s="50">
        <v>2.0</v>
      </c>
      <c r="DF32" s="50">
        <v>2.0</v>
      </c>
      <c r="DG32" s="50">
        <v>2.0</v>
      </c>
      <c r="DH32" s="50">
        <v>2.0</v>
      </c>
      <c r="DI32" s="50">
        <v>2.0</v>
      </c>
      <c r="DJ32" s="50" t="s">
        <v>64</v>
      </c>
      <c r="DK32" s="50" t="s">
        <v>64</v>
      </c>
      <c r="DL32" s="50" t="s">
        <v>64</v>
      </c>
      <c r="DM32" s="50"/>
      <c r="DO32" s="60" t="s">
        <v>1507</v>
      </c>
      <c r="DQ32" s="50">
        <v>2.0</v>
      </c>
      <c r="DR32" s="50">
        <v>2.0</v>
      </c>
      <c r="DS32" s="50">
        <v>2.0</v>
      </c>
      <c r="DT32" s="50">
        <v>2.0</v>
      </c>
      <c r="DU32" s="50">
        <v>2.0</v>
      </c>
      <c r="DV32" s="50">
        <v>2.0</v>
      </c>
      <c r="DW32" s="50">
        <v>2.0</v>
      </c>
      <c r="DX32" s="50" t="s">
        <v>64</v>
      </c>
      <c r="DY32" s="50" t="s">
        <v>64</v>
      </c>
      <c r="DZ32" s="50" t="s">
        <v>64</v>
      </c>
      <c r="EA32" s="50"/>
    </row>
    <row r="33" ht="15.75" customHeight="1">
      <c r="A33" s="11">
        <v>11.0</v>
      </c>
      <c r="B33" s="11" t="s">
        <v>288</v>
      </c>
      <c r="C33" s="11" t="str">
        <f t="array" ref="C33">IFERROR(INDEX(DOCUMENTOS!$E:$E,MATCH($A33,DOCUMENTOS!$A:$A,0)),"")</f>
        <v/>
      </c>
      <c r="D33" s="11" t="str">
        <f t="array" ref="D33">IFERROR(INDEX('BANCO DE PERGUNTAS'!$D:$D,MATCH($B33,'BANCO DE PERGUNTAS'!$A:$A,0)),"")</f>
        <v>Identifique situações que possam representar risco administrativo.</v>
      </c>
      <c r="E33" s="11" t="str">
        <f t="array" ref="E33">IFERROR(INDEX('BANCO DE PERGUNTAS'!$B:$B,MATCH($B33,'BANCO DE PERGUNTAS'!$A:$A,0)),"")</f>
        <v>Análise de Risco</v>
      </c>
      <c r="F33" s="12">
        <f t="array" ref="F33">IFERROR(INDEX('BANCO DE PERGUNTAS'!$H:$H,MATCH($B33,'BANCO DE PERGUNTAS'!$A:$A,0)),"")</f>
        <v>4</v>
      </c>
      <c r="I33" s="50"/>
      <c r="J33" s="50"/>
      <c r="K33" s="50"/>
      <c r="L33" s="50"/>
      <c r="M33" s="50"/>
      <c r="N33" s="50"/>
      <c r="O33" s="50"/>
      <c r="P33" s="50"/>
      <c r="Q33" s="50"/>
      <c r="R33" s="50"/>
      <c r="S33" s="50"/>
      <c r="U33" s="63" t="s">
        <v>1516</v>
      </c>
      <c r="W33" s="50">
        <v>2.0</v>
      </c>
      <c r="X33" s="50">
        <v>2.0</v>
      </c>
      <c r="Y33" s="50">
        <v>2.0</v>
      </c>
      <c r="Z33" s="50">
        <v>2.0</v>
      </c>
      <c r="AA33" s="50">
        <v>2.0</v>
      </c>
      <c r="AB33" s="50">
        <v>2.0</v>
      </c>
      <c r="AC33" s="50">
        <v>2.0</v>
      </c>
      <c r="AD33" s="50" t="s">
        <v>64</v>
      </c>
      <c r="AE33" s="50" t="s">
        <v>64</v>
      </c>
      <c r="AF33" s="50" t="s">
        <v>64</v>
      </c>
      <c r="AG33" s="50"/>
      <c r="AI33" s="52" t="s">
        <v>1527</v>
      </c>
      <c r="AK33" s="50">
        <v>2.0</v>
      </c>
      <c r="AL33" s="50">
        <v>2.0</v>
      </c>
      <c r="AM33" s="50">
        <v>2.0</v>
      </c>
      <c r="AN33" s="50">
        <v>2.0</v>
      </c>
      <c r="AO33" s="50">
        <v>2.0</v>
      </c>
      <c r="AP33" s="50">
        <v>2.0</v>
      </c>
      <c r="AQ33" s="50">
        <v>2.0</v>
      </c>
      <c r="AR33" s="50" t="s">
        <v>64</v>
      </c>
      <c r="AS33" s="50" t="s">
        <v>64</v>
      </c>
      <c r="AT33" s="50" t="s">
        <v>64</v>
      </c>
      <c r="AU33" s="50"/>
      <c r="AY33" s="50"/>
      <c r="AZ33" s="50"/>
      <c r="BA33" s="50"/>
      <c r="BB33" s="50"/>
      <c r="BC33" s="50"/>
      <c r="BD33" s="50"/>
      <c r="BE33" s="50"/>
      <c r="BF33" s="50"/>
      <c r="BG33" s="50"/>
      <c r="BH33" s="50"/>
      <c r="BI33" s="50"/>
      <c r="BK33" s="53" t="s">
        <v>1528</v>
      </c>
      <c r="BM33" s="50">
        <v>2.0</v>
      </c>
      <c r="BN33" s="50">
        <v>2.0</v>
      </c>
      <c r="BO33" s="50">
        <v>2.0</v>
      </c>
      <c r="BP33" s="50">
        <v>2.0</v>
      </c>
      <c r="BQ33" s="50">
        <v>2.0</v>
      </c>
      <c r="BR33" s="50">
        <v>2.0</v>
      </c>
      <c r="BS33" s="50">
        <v>2.0</v>
      </c>
      <c r="BT33" s="50" t="s">
        <v>64</v>
      </c>
      <c r="BU33" s="50" t="s">
        <v>64</v>
      </c>
      <c r="BV33" s="50" t="s">
        <v>64</v>
      </c>
      <c r="BW33" s="50"/>
      <c r="BY33" s="58" t="s">
        <v>1529</v>
      </c>
      <c r="CA33" s="50">
        <v>2.0</v>
      </c>
      <c r="CB33" s="50">
        <v>2.0</v>
      </c>
      <c r="CC33" s="50">
        <v>2.0</v>
      </c>
      <c r="CD33" s="50">
        <v>2.0</v>
      </c>
      <c r="CE33" s="50">
        <v>2.0</v>
      </c>
      <c r="CF33" s="50">
        <v>2.0</v>
      </c>
      <c r="CG33" s="50">
        <v>2.0</v>
      </c>
      <c r="CH33" s="50" t="s">
        <v>64</v>
      </c>
      <c r="CI33" s="50" t="s">
        <v>64</v>
      </c>
      <c r="CJ33" s="50" t="s">
        <v>64</v>
      </c>
      <c r="CK33" s="50"/>
      <c r="CO33" s="50"/>
      <c r="CP33" s="50"/>
      <c r="CQ33" s="50"/>
      <c r="CR33" s="50"/>
      <c r="CS33" s="50"/>
      <c r="CT33" s="50"/>
      <c r="CU33" s="50"/>
      <c r="CV33" s="50"/>
      <c r="CW33" s="50"/>
      <c r="CX33" s="50"/>
      <c r="CY33" s="50"/>
      <c r="DA33" s="59" t="s">
        <v>1534</v>
      </c>
      <c r="DC33" s="50">
        <v>2.0</v>
      </c>
      <c r="DD33" s="50">
        <v>2.0</v>
      </c>
      <c r="DE33" s="50">
        <v>2.0</v>
      </c>
      <c r="DF33" s="50">
        <v>2.0</v>
      </c>
      <c r="DG33" s="50">
        <v>2.0</v>
      </c>
      <c r="DH33" s="50">
        <v>2.0</v>
      </c>
      <c r="DI33" s="50">
        <v>2.0</v>
      </c>
      <c r="DJ33" s="50" t="s">
        <v>64</v>
      </c>
      <c r="DK33" s="50" t="s">
        <v>64</v>
      </c>
      <c r="DL33" s="50" t="s">
        <v>64</v>
      </c>
      <c r="DM33" s="50"/>
      <c r="DO33" s="60" t="s">
        <v>1535</v>
      </c>
      <c r="DQ33" s="50">
        <v>1.0</v>
      </c>
      <c r="DR33" s="50">
        <v>1.0</v>
      </c>
      <c r="DS33" s="50">
        <v>1.0</v>
      </c>
      <c r="DT33" s="50">
        <v>2.0</v>
      </c>
      <c r="DU33" s="50">
        <v>2.0</v>
      </c>
      <c r="DV33" s="50">
        <v>1.0</v>
      </c>
      <c r="DW33" s="50">
        <v>2.0</v>
      </c>
      <c r="DX33" s="50" t="s">
        <v>64</v>
      </c>
      <c r="DY33" s="50" t="s">
        <v>101</v>
      </c>
      <c r="DZ33" s="50" t="s">
        <v>101</v>
      </c>
      <c r="EA33" s="50" t="s">
        <v>447</v>
      </c>
    </row>
    <row r="34" ht="15.75" customHeight="1">
      <c r="A34" s="14">
        <v>11.0</v>
      </c>
      <c r="B34" s="14" t="s">
        <v>294</v>
      </c>
      <c r="C34" s="14" t="str">
        <f t="array" ref="C34">IFERROR(INDEX(DOCUMENTOS!$E:$E,MATCH($A34,DOCUMENTOS!$A:$A,0)),"")</f>
        <v/>
      </c>
      <c r="D34" s="14" t="str">
        <f t="array" ref="D34">IFERROR(INDEX('BANCO DE PERGUNTAS'!$D:$D,MATCH($B34,'BANCO DE PERGUNTAS'!$A:$A,0)),"")</f>
        <v>Resuma o documento em até cinco pontos objetivos.</v>
      </c>
      <c r="E34" s="14" t="str">
        <f t="array" ref="E34">IFERROR(INDEX('BANCO DE PERGUNTAS'!$B:$B,MATCH($B34,'BANCO DE PERGUNTAS'!$A:$A,0)),"")</f>
        <v>Síntese</v>
      </c>
      <c r="F34" s="17">
        <f t="array" ref="F34">IFERROR(INDEX('BANCO DE PERGUNTAS'!$H:$H,MATCH($B34,'BANCO DE PERGUNTAS'!$A:$A,0)),"")</f>
        <v>3</v>
      </c>
      <c r="I34" s="50"/>
      <c r="J34" s="50"/>
      <c r="K34" s="50"/>
      <c r="L34" s="50"/>
      <c r="M34" s="50"/>
      <c r="N34" s="50"/>
      <c r="O34" s="50"/>
      <c r="P34" s="50"/>
      <c r="Q34" s="50"/>
      <c r="R34" s="50"/>
      <c r="S34" s="50"/>
      <c r="U34" s="51" t="s">
        <v>1549</v>
      </c>
      <c r="W34" s="50">
        <v>2.0</v>
      </c>
      <c r="X34" s="50">
        <v>2.0</v>
      </c>
      <c r="Y34" s="50">
        <v>2.0</v>
      </c>
      <c r="Z34" s="50">
        <v>2.0</v>
      </c>
      <c r="AA34" s="50">
        <v>2.0</v>
      </c>
      <c r="AB34" s="50">
        <v>2.0</v>
      </c>
      <c r="AC34" s="50">
        <v>2.0</v>
      </c>
      <c r="AD34" s="50" t="s">
        <v>64</v>
      </c>
      <c r="AE34" s="50" t="s">
        <v>64</v>
      </c>
      <c r="AF34" s="50" t="s">
        <v>64</v>
      </c>
      <c r="AG34" s="50"/>
      <c r="AI34" s="52" t="s">
        <v>1550</v>
      </c>
      <c r="AK34" s="50">
        <v>2.0</v>
      </c>
      <c r="AL34" s="50">
        <v>2.0</v>
      </c>
      <c r="AM34" s="50">
        <v>2.0</v>
      </c>
      <c r="AN34" s="50">
        <v>2.0</v>
      </c>
      <c r="AO34" s="50">
        <v>2.0</v>
      </c>
      <c r="AP34" s="50">
        <v>2.0</v>
      </c>
      <c r="AQ34" s="50">
        <v>2.0</v>
      </c>
      <c r="AR34" s="50" t="s">
        <v>64</v>
      </c>
      <c r="AS34" s="50" t="s">
        <v>64</v>
      </c>
      <c r="AT34" s="50" t="s">
        <v>64</v>
      </c>
      <c r="AU34" s="50"/>
      <c r="AY34" s="50"/>
      <c r="AZ34" s="50"/>
      <c r="BA34" s="50"/>
      <c r="BB34" s="50"/>
      <c r="BC34" s="50"/>
      <c r="BD34" s="50"/>
      <c r="BE34" s="50"/>
      <c r="BF34" s="50"/>
      <c r="BG34" s="50"/>
      <c r="BH34" s="50"/>
      <c r="BI34" s="50"/>
      <c r="BK34" s="53" t="s">
        <v>1551</v>
      </c>
      <c r="BM34" s="50">
        <v>2.0</v>
      </c>
      <c r="BN34" s="50">
        <v>2.0</v>
      </c>
      <c r="BO34" s="50">
        <v>2.0</v>
      </c>
      <c r="BP34" s="50">
        <v>2.0</v>
      </c>
      <c r="BQ34" s="50">
        <v>2.0</v>
      </c>
      <c r="BR34" s="50">
        <v>2.0</v>
      </c>
      <c r="BS34" s="50">
        <v>2.0</v>
      </c>
      <c r="BT34" s="50" t="s">
        <v>64</v>
      </c>
      <c r="BU34" s="50" t="s">
        <v>64</v>
      </c>
      <c r="BV34" s="50" t="s">
        <v>64</v>
      </c>
      <c r="BW34" s="50"/>
      <c r="BY34" s="58" t="s">
        <v>1555</v>
      </c>
      <c r="CA34" s="50">
        <v>2.0</v>
      </c>
      <c r="CB34" s="50">
        <v>2.0</v>
      </c>
      <c r="CC34" s="50">
        <v>2.0</v>
      </c>
      <c r="CD34" s="50">
        <v>2.0</v>
      </c>
      <c r="CE34" s="50">
        <v>2.0</v>
      </c>
      <c r="CF34" s="50">
        <v>2.0</v>
      </c>
      <c r="CG34" s="50">
        <v>2.0</v>
      </c>
      <c r="CH34" s="50" t="s">
        <v>64</v>
      </c>
      <c r="CI34" s="50" t="s">
        <v>64</v>
      </c>
      <c r="CJ34" s="50" t="s">
        <v>64</v>
      </c>
      <c r="CK34" s="50"/>
      <c r="CO34" s="50"/>
      <c r="CP34" s="50"/>
      <c r="CQ34" s="50"/>
      <c r="CR34" s="50"/>
      <c r="CS34" s="50"/>
      <c r="CT34" s="50"/>
      <c r="CU34" s="50"/>
      <c r="CV34" s="50"/>
      <c r="CW34" s="50"/>
      <c r="CX34" s="50"/>
      <c r="CY34" s="50"/>
      <c r="DA34" s="59" t="s">
        <v>1557</v>
      </c>
      <c r="DC34" s="50">
        <v>2.0</v>
      </c>
      <c r="DD34" s="50">
        <v>2.0</v>
      </c>
      <c r="DE34" s="50">
        <v>2.0</v>
      </c>
      <c r="DF34" s="50">
        <v>2.0</v>
      </c>
      <c r="DG34" s="50">
        <v>2.0</v>
      </c>
      <c r="DH34" s="50">
        <v>2.0</v>
      </c>
      <c r="DI34" s="50">
        <v>2.0</v>
      </c>
      <c r="DJ34" s="50" t="s">
        <v>64</v>
      </c>
      <c r="DK34" s="50" t="s">
        <v>64</v>
      </c>
      <c r="DL34" s="50" t="s">
        <v>64</v>
      </c>
      <c r="DM34" s="50"/>
      <c r="DO34" s="60" t="s">
        <v>1558</v>
      </c>
      <c r="DQ34" s="50">
        <v>2.0</v>
      </c>
      <c r="DR34" s="50">
        <v>2.0</v>
      </c>
      <c r="DS34" s="50">
        <v>2.0</v>
      </c>
      <c r="DT34" s="50">
        <v>2.0</v>
      </c>
      <c r="DU34" s="50">
        <v>2.0</v>
      </c>
      <c r="DV34" s="50">
        <v>2.0</v>
      </c>
      <c r="DW34" s="50">
        <v>2.0</v>
      </c>
      <c r="DX34" s="50" t="s">
        <v>64</v>
      </c>
      <c r="DY34" s="50" t="s">
        <v>64</v>
      </c>
      <c r="DZ34" s="50" t="s">
        <v>64</v>
      </c>
      <c r="EA34" s="50"/>
    </row>
    <row r="35" ht="15.75" customHeight="1">
      <c r="A35" s="11">
        <v>11.0</v>
      </c>
      <c r="B35" s="11" t="s">
        <v>302</v>
      </c>
      <c r="C35" s="11" t="str">
        <f t="array" ref="C35">IFERROR(INDEX(DOCUMENTOS!$E:$E,MATCH($A35,DOCUMENTOS!$A:$A,0)),"")</f>
        <v/>
      </c>
      <c r="D35" s="11" t="str">
        <f t="array" ref="D35">IFERROR(INDEX('BANCO DE PERGUNTAS'!$D:$D,MATCH($B35,'BANCO DE PERGUNTAS'!$A:$A,0)),"")</f>
        <v>Qual é a principal finalidade do documento?</v>
      </c>
      <c r="E35" s="11" t="str">
        <f t="array" ref="E35">IFERROR(INDEX('BANCO DE PERGUNTAS'!$B:$B,MATCH($B35,'BANCO DE PERGUNTAS'!$A:$A,0)),"")</f>
        <v>Síntese</v>
      </c>
      <c r="F35" s="12">
        <f t="array" ref="F35">IFERROR(INDEX('BANCO DE PERGUNTAS'!$H:$H,MATCH($B35,'BANCO DE PERGUNTAS'!$A:$A,0)),"")</f>
        <v>2</v>
      </c>
      <c r="I35" s="50"/>
      <c r="J35" s="50"/>
      <c r="K35" s="50"/>
      <c r="L35" s="50"/>
      <c r="M35" s="50"/>
      <c r="N35" s="50"/>
      <c r="O35" s="50"/>
      <c r="P35" s="50"/>
      <c r="Q35" s="50"/>
      <c r="R35" s="50"/>
      <c r="S35" s="50"/>
      <c r="U35" s="63" t="s">
        <v>1575</v>
      </c>
      <c r="W35" s="50">
        <v>2.0</v>
      </c>
      <c r="X35" s="50">
        <v>2.0</v>
      </c>
      <c r="Y35" s="50">
        <v>2.0</v>
      </c>
      <c r="Z35" s="50">
        <v>2.0</v>
      </c>
      <c r="AA35" s="50">
        <v>2.0</v>
      </c>
      <c r="AB35" s="50">
        <v>2.0</v>
      </c>
      <c r="AC35" s="50">
        <v>2.0</v>
      </c>
      <c r="AD35" s="50" t="s">
        <v>64</v>
      </c>
      <c r="AE35" s="50" t="s">
        <v>64</v>
      </c>
      <c r="AF35" s="50" t="s">
        <v>64</v>
      </c>
      <c r="AG35" s="50"/>
      <c r="AI35" s="52" t="s">
        <v>1576</v>
      </c>
      <c r="AK35" s="50">
        <v>2.0</v>
      </c>
      <c r="AL35" s="50">
        <v>2.0</v>
      </c>
      <c r="AM35" s="50">
        <v>2.0</v>
      </c>
      <c r="AN35" s="50">
        <v>2.0</v>
      </c>
      <c r="AO35" s="50">
        <v>2.0</v>
      </c>
      <c r="AP35" s="50">
        <v>2.0</v>
      </c>
      <c r="AQ35" s="50">
        <v>2.0</v>
      </c>
      <c r="AR35" s="50" t="s">
        <v>64</v>
      </c>
      <c r="AS35" s="50" t="s">
        <v>64</v>
      </c>
      <c r="AT35" s="50" t="s">
        <v>64</v>
      </c>
      <c r="AU35" s="50"/>
      <c r="AY35" s="50"/>
      <c r="AZ35" s="50"/>
      <c r="BA35" s="50"/>
      <c r="BB35" s="50"/>
      <c r="BC35" s="50"/>
      <c r="BD35" s="50"/>
      <c r="BE35" s="50"/>
      <c r="BF35" s="50"/>
      <c r="BG35" s="50"/>
      <c r="BH35" s="50"/>
      <c r="BI35" s="50"/>
      <c r="BK35" s="53" t="s">
        <v>1577</v>
      </c>
      <c r="BM35" s="50">
        <v>2.0</v>
      </c>
      <c r="BN35" s="50">
        <v>2.0</v>
      </c>
      <c r="BO35" s="50">
        <v>2.0</v>
      </c>
      <c r="BP35" s="50">
        <v>2.0</v>
      </c>
      <c r="BQ35" s="50">
        <v>2.0</v>
      </c>
      <c r="BR35" s="50">
        <v>2.0</v>
      </c>
      <c r="BS35" s="50">
        <v>2.0</v>
      </c>
      <c r="BT35" s="50" t="s">
        <v>64</v>
      </c>
      <c r="BU35" s="50" t="s">
        <v>64</v>
      </c>
      <c r="BV35" s="50" t="s">
        <v>64</v>
      </c>
      <c r="BW35" s="50"/>
      <c r="BY35" s="58" t="s">
        <v>1578</v>
      </c>
      <c r="CA35" s="50">
        <v>2.0</v>
      </c>
      <c r="CB35" s="50">
        <v>2.0</v>
      </c>
      <c r="CC35" s="50">
        <v>2.0</v>
      </c>
      <c r="CD35" s="50">
        <v>2.0</v>
      </c>
      <c r="CE35" s="50">
        <v>2.0</v>
      </c>
      <c r="CF35" s="50">
        <v>2.0</v>
      </c>
      <c r="CG35" s="50">
        <v>2.0</v>
      </c>
      <c r="CH35" s="50" t="s">
        <v>64</v>
      </c>
      <c r="CI35" s="50" t="s">
        <v>64</v>
      </c>
      <c r="CJ35" s="50" t="s">
        <v>64</v>
      </c>
      <c r="CK35" s="50"/>
      <c r="CO35" s="50"/>
      <c r="CP35" s="50"/>
      <c r="CQ35" s="50"/>
      <c r="CR35" s="50"/>
      <c r="CS35" s="50"/>
      <c r="CT35" s="50"/>
      <c r="CU35" s="50"/>
      <c r="CV35" s="50"/>
      <c r="CW35" s="50"/>
      <c r="CX35" s="50"/>
      <c r="CY35" s="50"/>
      <c r="DA35" s="88" t="s">
        <v>1583</v>
      </c>
      <c r="DC35" s="50">
        <v>2.0</v>
      </c>
      <c r="DD35" s="50">
        <v>2.0</v>
      </c>
      <c r="DE35" s="50">
        <v>2.0</v>
      </c>
      <c r="DF35" s="50">
        <v>2.0</v>
      </c>
      <c r="DG35" s="50">
        <v>2.0</v>
      </c>
      <c r="DH35" s="50">
        <v>2.0</v>
      </c>
      <c r="DI35" s="50">
        <v>2.0</v>
      </c>
      <c r="DJ35" s="50" t="s">
        <v>64</v>
      </c>
      <c r="DK35" s="50" t="s">
        <v>64</v>
      </c>
      <c r="DL35" s="50" t="s">
        <v>64</v>
      </c>
      <c r="DM35" s="50"/>
      <c r="DO35" s="60" t="s">
        <v>1584</v>
      </c>
      <c r="DQ35" s="50">
        <v>2.0</v>
      </c>
      <c r="DR35" s="50">
        <v>2.0</v>
      </c>
      <c r="DS35" s="50">
        <v>2.0</v>
      </c>
      <c r="DT35" s="50">
        <v>2.0</v>
      </c>
      <c r="DU35" s="50">
        <v>2.0</v>
      </c>
      <c r="DV35" s="50">
        <v>2.0</v>
      </c>
      <c r="DW35" s="50">
        <v>2.0</v>
      </c>
      <c r="DX35" s="50" t="s">
        <v>64</v>
      </c>
      <c r="DY35" s="50" t="s">
        <v>64</v>
      </c>
      <c r="DZ35" s="50" t="s">
        <v>64</v>
      </c>
      <c r="EA35" s="50"/>
    </row>
    <row r="36" ht="15.75" customHeight="1">
      <c r="A36" s="14">
        <v>11.0</v>
      </c>
      <c r="B36" s="14" t="s">
        <v>307</v>
      </c>
      <c r="C36" s="14" t="str">
        <f t="array" ref="C36">IFERROR(INDEX(DOCUMENTOS!$E:$E,MATCH($A36,DOCUMENTOS!$A:$A,0)),"")</f>
        <v/>
      </c>
      <c r="D36" s="14" t="str">
        <f t="array" ref="D36">IFERROR(INDEX('BANCO DE PERGUNTAS'!$D:$D,MATCH($B36,'BANCO DE PERGUNTAS'!$A:$A,0)),"")</f>
        <v>Quais são as três informações mais importantes para um servidor responsável pela análise?</v>
      </c>
      <c r="E36" s="14" t="str">
        <f t="array" ref="E36">IFERROR(INDEX('BANCO DE PERGUNTAS'!$B:$B,MATCH($B36,'BANCO DE PERGUNTAS'!$A:$A,0)),"")</f>
        <v>Síntese</v>
      </c>
      <c r="F36" s="17">
        <f t="array" ref="F36">IFERROR(INDEX('BANCO DE PERGUNTAS'!$H:$H,MATCH($B36,'BANCO DE PERGUNTAS'!$A:$A,0)),"")</f>
        <v>3</v>
      </c>
      <c r="I36" s="50"/>
      <c r="J36" s="50"/>
      <c r="K36" s="50"/>
      <c r="L36" s="50"/>
      <c r="M36" s="50"/>
      <c r="N36" s="50"/>
      <c r="O36" s="50"/>
      <c r="P36" s="50"/>
      <c r="Q36" s="50"/>
      <c r="R36" s="50"/>
      <c r="S36" s="50"/>
      <c r="U36" s="51" t="s">
        <v>1594</v>
      </c>
      <c r="W36" s="50">
        <v>2.0</v>
      </c>
      <c r="X36" s="50">
        <v>2.0</v>
      </c>
      <c r="Y36" s="50">
        <v>2.0</v>
      </c>
      <c r="Z36" s="50">
        <v>2.0</v>
      </c>
      <c r="AA36" s="50">
        <v>2.0</v>
      </c>
      <c r="AB36" s="50">
        <v>2.0</v>
      </c>
      <c r="AC36" s="50">
        <v>2.0</v>
      </c>
      <c r="AD36" s="50" t="s">
        <v>64</v>
      </c>
      <c r="AE36" s="50" t="s">
        <v>64</v>
      </c>
      <c r="AF36" s="50" t="s">
        <v>64</v>
      </c>
      <c r="AG36" s="50"/>
      <c r="AI36" s="52" t="s">
        <v>1595</v>
      </c>
      <c r="AK36" s="50">
        <v>2.0</v>
      </c>
      <c r="AL36" s="50">
        <v>2.0</v>
      </c>
      <c r="AM36" s="50">
        <v>2.0</v>
      </c>
      <c r="AN36" s="50">
        <v>2.0</v>
      </c>
      <c r="AO36" s="50">
        <v>2.0</v>
      </c>
      <c r="AP36" s="50">
        <v>2.0</v>
      </c>
      <c r="AQ36" s="50">
        <v>2.0</v>
      </c>
      <c r="AR36" s="50" t="s">
        <v>64</v>
      </c>
      <c r="AS36" s="50" t="s">
        <v>64</v>
      </c>
      <c r="AT36" s="50" t="s">
        <v>64</v>
      </c>
      <c r="AU36" s="50"/>
      <c r="AY36" s="50"/>
      <c r="AZ36" s="50"/>
      <c r="BA36" s="50"/>
      <c r="BB36" s="50"/>
      <c r="BC36" s="50"/>
      <c r="BD36" s="50"/>
      <c r="BE36" s="50"/>
      <c r="BF36" s="50"/>
      <c r="BG36" s="50"/>
      <c r="BH36" s="50"/>
      <c r="BI36" s="50"/>
      <c r="BK36" s="53" t="s">
        <v>1604</v>
      </c>
      <c r="BM36" s="50">
        <v>2.0</v>
      </c>
      <c r="BN36" s="50">
        <v>2.0</v>
      </c>
      <c r="BO36" s="50">
        <v>2.0</v>
      </c>
      <c r="BP36" s="50">
        <v>2.0</v>
      </c>
      <c r="BQ36" s="50">
        <v>2.0</v>
      </c>
      <c r="BR36" s="50">
        <v>2.0</v>
      </c>
      <c r="BS36" s="50">
        <v>2.0</v>
      </c>
      <c r="BT36" s="50" t="s">
        <v>64</v>
      </c>
      <c r="BU36" s="50" t="s">
        <v>64</v>
      </c>
      <c r="BV36" s="50" t="s">
        <v>64</v>
      </c>
      <c r="BW36" s="50"/>
      <c r="BY36" s="58" t="s">
        <v>1605</v>
      </c>
      <c r="CA36" s="50">
        <v>2.0</v>
      </c>
      <c r="CB36" s="50">
        <v>2.0</v>
      </c>
      <c r="CC36" s="50">
        <v>2.0</v>
      </c>
      <c r="CD36" s="50">
        <v>2.0</v>
      </c>
      <c r="CE36" s="50">
        <v>2.0</v>
      </c>
      <c r="CF36" s="50">
        <v>2.0</v>
      </c>
      <c r="CG36" s="50">
        <v>2.0</v>
      </c>
      <c r="CH36" s="50" t="s">
        <v>64</v>
      </c>
      <c r="CI36" s="50" t="s">
        <v>64</v>
      </c>
      <c r="CJ36" s="50" t="s">
        <v>64</v>
      </c>
      <c r="CK36" s="50"/>
      <c r="CO36" s="50"/>
      <c r="CP36" s="50"/>
      <c r="CQ36" s="50"/>
      <c r="CR36" s="50"/>
      <c r="CS36" s="50"/>
      <c r="CT36" s="50"/>
      <c r="CU36" s="50"/>
      <c r="CV36" s="50"/>
      <c r="CW36" s="50"/>
      <c r="CX36" s="50"/>
      <c r="CY36" s="50"/>
      <c r="DA36" s="61" t="s">
        <v>1606</v>
      </c>
      <c r="DC36" s="50">
        <v>1.0</v>
      </c>
      <c r="DD36" s="50">
        <v>1.0</v>
      </c>
      <c r="DE36" s="50">
        <v>1.0</v>
      </c>
      <c r="DF36" s="50">
        <v>2.0</v>
      </c>
      <c r="DG36" s="50">
        <v>2.0</v>
      </c>
      <c r="DH36" s="50">
        <v>1.0</v>
      </c>
      <c r="DI36" s="50">
        <v>2.0</v>
      </c>
      <c r="DJ36" s="50" t="s">
        <v>64</v>
      </c>
      <c r="DK36" s="50" t="s">
        <v>101</v>
      </c>
      <c r="DL36" s="50" t="s">
        <v>101</v>
      </c>
      <c r="DM36" s="50" t="s">
        <v>447</v>
      </c>
      <c r="DO36" s="60" t="s">
        <v>1607</v>
      </c>
      <c r="DQ36" s="50">
        <v>1.0</v>
      </c>
      <c r="DR36" s="50">
        <v>1.0</v>
      </c>
      <c r="DS36" s="50">
        <v>1.0</v>
      </c>
      <c r="DT36" s="50">
        <v>2.0</v>
      </c>
      <c r="DU36" s="50">
        <v>2.0</v>
      </c>
      <c r="DV36" s="50">
        <v>1.0</v>
      </c>
      <c r="DW36" s="50">
        <v>2.0</v>
      </c>
      <c r="DX36" s="50" t="s">
        <v>64</v>
      </c>
      <c r="DY36" s="50" t="s">
        <v>101</v>
      </c>
      <c r="DZ36" s="50" t="s">
        <v>101</v>
      </c>
      <c r="EA36" s="50" t="s">
        <v>447</v>
      </c>
    </row>
    <row r="37" ht="15.75" customHeight="1">
      <c r="A37" s="11">
        <v>12.0</v>
      </c>
      <c r="B37" s="11" t="s">
        <v>33</v>
      </c>
      <c r="C37" s="11" t="str">
        <f t="array" ref="C37">IFERROR(INDEX(DOCUMENTOS!$E:$E,MATCH($A37,DOCUMENTOS!$A:$A,0)),"")</f>
        <v/>
      </c>
      <c r="D37" s="11" t="str">
        <f t="array" ref="D37">IFERROR(INDEX('BANCO DE PERGUNTAS'!$D:$D,MATCH($B37,'BANCO DE PERGUNTAS'!$A:$A,0)),"")</f>
        <v>Qual é o objeto principal deste documento?</v>
      </c>
      <c r="E37" s="11" t="str">
        <f t="array" ref="E37">IFERROR(INDEX('BANCO DE PERGUNTAS'!$B:$B,MATCH($B37,'BANCO DE PERGUNTAS'!$A:$A,0)),"")</f>
        <v>Identificação</v>
      </c>
      <c r="F37" s="12">
        <f t="array" ref="F37">IFERROR(INDEX('BANCO DE PERGUNTAS'!$H:$H,MATCH($B37,'BANCO DE PERGUNTAS'!$A:$A,0)),"")</f>
        <v>1</v>
      </c>
      <c r="I37" s="50"/>
      <c r="J37" s="50"/>
      <c r="K37" s="50"/>
      <c r="L37" s="50"/>
      <c r="M37" s="50"/>
      <c r="N37" s="50"/>
      <c r="O37" s="50"/>
      <c r="P37" s="50"/>
      <c r="Q37" s="50"/>
      <c r="R37" s="50"/>
      <c r="S37" s="50"/>
      <c r="U37" s="89" t="s">
        <v>1624</v>
      </c>
      <c r="W37" s="50">
        <v>2.0</v>
      </c>
      <c r="X37" s="50">
        <v>2.0</v>
      </c>
      <c r="Y37" s="50">
        <v>2.0</v>
      </c>
      <c r="Z37" s="50">
        <v>2.0</v>
      </c>
      <c r="AA37" s="50">
        <v>2.0</v>
      </c>
      <c r="AB37" s="50">
        <v>2.0</v>
      </c>
      <c r="AC37" s="50">
        <v>2.0</v>
      </c>
      <c r="AD37" s="50" t="s">
        <v>64</v>
      </c>
      <c r="AE37" s="50" t="s">
        <v>64</v>
      </c>
      <c r="AF37" s="50" t="s">
        <v>64</v>
      </c>
      <c r="AG37" s="50"/>
      <c r="AI37" s="90" t="s">
        <v>1632</v>
      </c>
      <c r="AK37" s="50">
        <v>2.0</v>
      </c>
      <c r="AL37" s="50">
        <v>2.0</v>
      </c>
      <c r="AM37" s="50">
        <v>2.0</v>
      </c>
      <c r="AN37" s="50">
        <v>2.0</v>
      </c>
      <c r="AO37" s="50">
        <v>2.0</v>
      </c>
      <c r="AP37" s="50">
        <v>2.0</v>
      </c>
      <c r="AQ37" s="50">
        <v>2.0</v>
      </c>
      <c r="AR37" s="50" t="s">
        <v>64</v>
      </c>
      <c r="AS37" s="50" t="s">
        <v>64</v>
      </c>
      <c r="AT37" s="50" t="s">
        <v>64</v>
      </c>
      <c r="AU37" s="50"/>
      <c r="AY37" s="50"/>
      <c r="AZ37" s="50"/>
      <c r="BA37" s="50"/>
      <c r="BB37" s="50"/>
      <c r="BC37" s="50"/>
      <c r="BD37" s="50"/>
      <c r="BE37" s="50"/>
      <c r="BF37" s="50"/>
      <c r="BG37" s="50"/>
      <c r="BH37" s="50"/>
      <c r="BI37" s="50"/>
      <c r="BK37" s="91" t="s">
        <v>1633</v>
      </c>
      <c r="BM37" s="50">
        <v>2.0</v>
      </c>
      <c r="BN37" s="50">
        <v>2.0</v>
      </c>
      <c r="BO37" s="50">
        <v>2.0</v>
      </c>
      <c r="BP37" s="50">
        <v>2.0</v>
      </c>
      <c r="BQ37" s="50">
        <v>2.0</v>
      </c>
      <c r="BR37" s="50">
        <v>2.0</v>
      </c>
      <c r="BS37" s="50">
        <v>2.0</v>
      </c>
      <c r="BT37" s="50" t="s">
        <v>64</v>
      </c>
      <c r="BU37" s="50" t="s">
        <v>64</v>
      </c>
      <c r="BV37" s="50" t="s">
        <v>64</v>
      </c>
      <c r="BW37" s="50"/>
      <c r="BY37" s="53" t="s">
        <v>1634</v>
      </c>
      <c r="CA37" s="50">
        <v>2.0</v>
      </c>
      <c r="CB37" s="50">
        <v>2.0</v>
      </c>
      <c r="CC37" s="50">
        <v>2.0</v>
      </c>
      <c r="CD37" s="50">
        <v>2.0</v>
      </c>
      <c r="CE37" s="50">
        <v>2.0</v>
      </c>
      <c r="CF37" s="50">
        <v>2.0</v>
      </c>
      <c r="CG37" s="50">
        <v>2.0</v>
      </c>
      <c r="CH37" s="50" t="s">
        <v>64</v>
      </c>
      <c r="CI37" s="50" t="s">
        <v>64</v>
      </c>
      <c r="CJ37" s="50" t="s">
        <v>64</v>
      </c>
      <c r="CK37" s="50"/>
      <c r="CO37" s="50"/>
      <c r="CP37" s="50"/>
      <c r="CQ37" s="50"/>
      <c r="CR37" s="50"/>
      <c r="CS37" s="50"/>
      <c r="CT37" s="50"/>
      <c r="CU37" s="50"/>
      <c r="CV37" s="50"/>
      <c r="CW37" s="50"/>
      <c r="CX37" s="50"/>
      <c r="CY37" s="50"/>
      <c r="DA37" s="92" t="s">
        <v>1635</v>
      </c>
      <c r="DC37" s="50">
        <v>2.0</v>
      </c>
      <c r="DD37" s="50">
        <v>2.0</v>
      </c>
      <c r="DE37" s="50">
        <v>2.0</v>
      </c>
      <c r="DF37" s="50">
        <v>2.0</v>
      </c>
      <c r="DG37" s="50">
        <v>2.0</v>
      </c>
      <c r="DH37" s="50">
        <v>2.0</v>
      </c>
      <c r="DI37" s="50">
        <v>2.0</v>
      </c>
      <c r="DJ37" s="50" t="s">
        <v>64</v>
      </c>
      <c r="DK37" s="50" t="s">
        <v>64</v>
      </c>
      <c r="DL37" s="50" t="s">
        <v>64</v>
      </c>
      <c r="DM37" s="50"/>
      <c r="DO37" s="61" t="s">
        <v>1637</v>
      </c>
      <c r="DQ37" s="50">
        <v>2.0</v>
      </c>
      <c r="DR37" s="50">
        <v>2.0</v>
      </c>
      <c r="DS37" s="50">
        <v>2.0</v>
      </c>
      <c r="DT37" s="50">
        <v>2.0</v>
      </c>
      <c r="DU37" s="50">
        <v>2.0</v>
      </c>
      <c r="DV37" s="50">
        <v>2.0</v>
      </c>
      <c r="DW37" s="50">
        <v>2.0</v>
      </c>
      <c r="DX37" s="50" t="s">
        <v>64</v>
      </c>
      <c r="DY37" s="50" t="s">
        <v>64</v>
      </c>
      <c r="DZ37" s="50" t="s">
        <v>64</v>
      </c>
      <c r="EA37" s="50"/>
    </row>
    <row r="38" ht="15.75" customHeight="1">
      <c r="A38" s="14">
        <v>12.0</v>
      </c>
      <c r="B38" s="14" t="s">
        <v>68</v>
      </c>
      <c r="C38" s="14" t="str">
        <f t="array" ref="C38">IFERROR(INDEX(DOCUMENTOS!$E:$E,MATCH($A38,DOCUMENTOS!$A:$A,0)),"")</f>
        <v/>
      </c>
      <c r="D38" s="14" t="str">
        <f t="array" ref="D38">IFERROR(INDEX('BANCO DE PERGUNTAS'!$D:$D,MATCH($B38,'BANCO DE PERGUNTAS'!$A:$A,0)),"")</f>
        <v>Qual é o número ou identificação do documento?</v>
      </c>
      <c r="E38" s="14" t="str">
        <f t="array" ref="E38">IFERROR(INDEX('BANCO DE PERGUNTAS'!$B:$B,MATCH($B38,'BANCO DE PERGUNTAS'!$A:$A,0)),"")</f>
        <v>Identificação</v>
      </c>
      <c r="F38" s="17">
        <f t="array" ref="F38">IFERROR(INDEX('BANCO DE PERGUNTAS'!$H:$H,MATCH($B38,'BANCO DE PERGUNTAS'!$A:$A,0)),"")</f>
        <v>1</v>
      </c>
      <c r="I38" s="50"/>
      <c r="J38" s="50"/>
      <c r="K38" s="50"/>
      <c r="L38" s="50"/>
      <c r="M38" s="50"/>
      <c r="N38" s="50"/>
      <c r="O38" s="50"/>
      <c r="P38" s="50"/>
      <c r="Q38" s="50"/>
      <c r="R38" s="50"/>
      <c r="S38" s="50"/>
      <c r="U38" s="93" t="s">
        <v>1654</v>
      </c>
      <c r="W38" s="50">
        <v>2.0</v>
      </c>
      <c r="X38" s="50">
        <v>2.0</v>
      </c>
      <c r="Y38" s="50">
        <v>2.0</v>
      </c>
      <c r="Z38" s="50">
        <v>2.0</v>
      </c>
      <c r="AA38" s="50">
        <v>2.0</v>
      </c>
      <c r="AB38" s="50">
        <v>2.0</v>
      </c>
      <c r="AC38" s="50">
        <v>2.0</v>
      </c>
      <c r="AD38" s="50" t="s">
        <v>64</v>
      </c>
      <c r="AE38" s="50" t="s">
        <v>64</v>
      </c>
      <c r="AF38" s="50" t="s">
        <v>64</v>
      </c>
      <c r="AG38" s="50"/>
      <c r="AI38" s="90" t="s">
        <v>1655</v>
      </c>
      <c r="AK38" s="50">
        <v>2.0</v>
      </c>
      <c r="AL38" s="50">
        <v>2.0</v>
      </c>
      <c r="AM38" s="50">
        <v>2.0</v>
      </c>
      <c r="AN38" s="50">
        <v>2.0</v>
      </c>
      <c r="AO38" s="50">
        <v>2.0</v>
      </c>
      <c r="AP38" s="50">
        <v>2.0</v>
      </c>
      <c r="AQ38" s="50">
        <v>2.0</v>
      </c>
      <c r="AR38" s="50" t="s">
        <v>64</v>
      </c>
      <c r="AS38" s="50" t="s">
        <v>64</v>
      </c>
      <c r="AT38" s="50" t="s">
        <v>64</v>
      </c>
      <c r="AU38" s="50"/>
      <c r="AY38" s="50"/>
      <c r="AZ38" s="50"/>
      <c r="BA38" s="50"/>
      <c r="BB38" s="50"/>
      <c r="BC38" s="50"/>
      <c r="BD38" s="50"/>
      <c r="BE38" s="50"/>
      <c r="BF38" s="50"/>
      <c r="BG38" s="50"/>
      <c r="BH38" s="50"/>
      <c r="BI38" s="50"/>
      <c r="BK38" s="91" t="s">
        <v>1656</v>
      </c>
      <c r="BM38" s="50">
        <v>1.0</v>
      </c>
      <c r="BN38" s="50">
        <v>2.0</v>
      </c>
      <c r="BO38" s="50">
        <v>1.0</v>
      </c>
      <c r="BP38" s="50">
        <v>2.0</v>
      </c>
      <c r="BQ38" s="50">
        <v>2.0</v>
      </c>
      <c r="BR38" s="50">
        <v>1.0</v>
      </c>
      <c r="BS38" s="50">
        <v>2.0</v>
      </c>
      <c r="BT38" s="50" t="s">
        <v>64</v>
      </c>
      <c r="BU38" s="50" t="s">
        <v>64</v>
      </c>
      <c r="BV38" s="50" t="s">
        <v>101</v>
      </c>
      <c r="BW38" s="50" t="s">
        <v>328</v>
      </c>
      <c r="BY38" s="53" t="s">
        <v>1660</v>
      </c>
      <c r="CA38" s="50">
        <v>0.0</v>
      </c>
      <c r="CB38" s="50">
        <v>2.0</v>
      </c>
      <c r="CC38" s="50">
        <v>1.0</v>
      </c>
      <c r="CD38" s="50">
        <v>2.0</v>
      </c>
      <c r="CE38" s="50">
        <v>2.0</v>
      </c>
      <c r="CF38" s="50">
        <v>1.0</v>
      </c>
      <c r="CG38" s="50">
        <v>1.0</v>
      </c>
      <c r="CH38" s="50" t="s">
        <v>64</v>
      </c>
      <c r="CI38" s="50" t="s">
        <v>101</v>
      </c>
      <c r="CJ38" s="50" t="s">
        <v>101</v>
      </c>
      <c r="CK38" s="50" t="s">
        <v>328</v>
      </c>
      <c r="CO38" s="50"/>
      <c r="CP38" s="50"/>
      <c r="CQ38" s="50"/>
      <c r="CR38" s="50"/>
      <c r="CS38" s="50"/>
      <c r="CT38" s="50"/>
      <c r="CU38" s="50"/>
      <c r="CV38" s="50"/>
      <c r="CW38" s="50"/>
      <c r="CX38" s="50"/>
      <c r="CY38" s="50"/>
      <c r="DA38" s="61" t="s">
        <v>1666</v>
      </c>
      <c r="DC38" s="50">
        <v>2.0</v>
      </c>
      <c r="DD38" s="50">
        <v>2.0</v>
      </c>
      <c r="DE38" s="50">
        <v>1.0</v>
      </c>
      <c r="DF38" s="50">
        <v>2.0</v>
      </c>
      <c r="DG38" s="50">
        <v>2.0</v>
      </c>
      <c r="DH38" s="50">
        <v>2.0</v>
      </c>
      <c r="DI38" s="50">
        <v>2.0</v>
      </c>
      <c r="DJ38" s="50" t="s">
        <v>64</v>
      </c>
      <c r="DK38" s="50" t="s">
        <v>64</v>
      </c>
      <c r="DL38" s="50" t="s">
        <v>64</v>
      </c>
      <c r="DM38" s="50"/>
      <c r="DO38" s="61" t="s">
        <v>1667</v>
      </c>
      <c r="DQ38" s="50">
        <v>2.0</v>
      </c>
      <c r="DR38" s="50">
        <v>2.0</v>
      </c>
      <c r="DS38" s="50">
        <v>2.0</v>
      </c>
      <c r="DT38" s="50">
        <v>2.0</v>
      </c>
      <c r="DU38" s="50">
        <v>2.0</v>
      </c>
      <c r="DV38" s="50">
        <v>2.0</v>
      </c>
      <c r="DW38" s="50">
        <v>2.0</v>
      </c>
      <c r="DX38" s="50" t="s">
        <v>64</v>
      </c>
      <c r="DY38" s="50" t="s">
        <v>64</v>
      </c>
      <c r="DZ38" s="50" t="s">
        <v>64</v>
      </c>
      <c r="EA38" s="50"/>
    </row>
    <row r="39" ht="15.75" customHeight="1">
      <c r="A39" s="11">
        <v>12.0</v>
      </c>
      <c r="B39" s="11" t="s">
        <v>90</v>
      </c>
      <c r="C39" s="11" t="str">
        <f t="array" ref="C39">IFERROR(INDEX(DOCUMENTOS!$E:$E,MATCH($A39,DOCUMENTOS!$A:$A,0)),"")</f>
        <v/>
      </c>
      <c r="D39" s="11" t="str">
        <f t="array" ref="D39">IFERROR(INDEX('BANCO DE PERGUNTAS'!$D:$D,MATCH($B39,'BANCO DE PERGUNTAS'!$A:$A,0)),"")</f>
        <v>Qual é o número do processo relacionado?</v>
      </c>
      <c r="E39" s="11" t="str">
        <f t="array" ref="E39">IFERROR(INDEX('BANCO DE PERGUNTAS'!$B:$B,MATCH($B39,'BANCO DE PERGUNTAS'!$A:$A,0)),"")</f>
        <v>Identificação</v>
      </c>
      <c r="F39" s="12">
        <f t="array" ref="F39">IFERROR(INDEX('BANCO DE PERGUNTAS'!$H:$H,MATCH($B39,'BANCO DE PERGUNTAS'!$A:$A,0)),"")</f>
        <v>1</v>
      </c>
      <c r="I39" s="50"/>
      <c r="J39" s="50"/>
      <c r="K39" s="50"/>
      <c r="L39" s="50"/>
      <c r="M39" s="50"/>
      <c r="N39" s="50"/>
      <c r="O39" s="50"/>
      <c r="P39" s="50"/>
      <c r="Q39" s="50"/>
      <c r="R39" s="50"/>
      <c r="S39" s="50"/>
      <c r="U39" s="89" t="s">
        <v>1677</v>
      </c>
      <c r="W39" s="50">
        <v>2.0</v>
      </c>
      <c r="X39" s="50">
        <v>2.0</v>
      </c>
      <c r="Y39" s="50">
        <v>2.0</v>
      </c>
      <c r="Z39" s="50">
        <v>2.0</v>
      </c>
      <c r="AA39" s="50">
        <v>2.0</v>
      </c>
      <c r="AB39" s="50">
        <v>2.0</v>
      </c>
      <c r="AC39" s="50">
        <v>2.0</v>
      </c>
      <c r="AD39" s="50" t="s">
        <v>64</v>
      </c>
      <c r="AE39" s="50" t="s">
        <v>64</v>
      </c>
      <c r="AF39" s="50" t="s">
        <v>64</v>
      </c>
      <c r="AG39" s="50"/>
      <c r="AI39" s="90" t="s">
        <v>1680</v>
      </c>
      <c r="AK39" s="50">
        <v>2.0</v>
      </c>
      <c r="AL39" s="50">
        <v>2.0</v>
      </c>
      <c r="AM39" s="50">
        <v>2.0</v>
      </c>
      <c r="AN39" s="50">
        <v>2.0</v>
      </c>
      <c r="AO39" s="50">
        <v>2.0</v>
      </c>
      <c r="AP39" s="50">
        <v>2.0</v>
      </c>
      <c r="AQ39" s="50">
        <v>2.0</v>
      </c>
      <c r="AR39" s="50" t="s">
        <v>64</v>
      </c>
      <c r="AS39" s="50" t="s">
        <v>64</v>
      </c>
      <c r="AT39" s="50" t="s">
        <v>64</v>
      </c>
      <c r="AU39" s="50"/>
      <c r="AY39" s="50"/>
      <c r="AZ39" s="50"/>
      <c r="BA39" s="50"/>
      <c r="BB39" s="50"/>
      <c r="BC39" s="50"/>
      <c r="BD39" s="50"/>
      <c r="BE39" s="50"/>
      <c r="BF39" s="50"/>
      <c r="BG39" s="50"/>
      <c r="BH39" s="50"/>
      <c r="BI39" s="50"/>
      <c r="BK39" s="91" t="s">
        <v>1681</v>
      </c>
      <c r="BM39" s="50">
        <v>2.0</v>
      </c>
      <c r="BN39" s="50">
        <v>2.0</v>
      </c>
      <c r="BO39" s="50">
        <v>2.0</v>
      </c>
      <c r="BP39" s="50">
        <v>2.0</v>
      </c>
      <c r="BQ39" s="50">
        <v>2.0</v>
      </c>
      <c r="BR39" s="50">
        <v>2.0</v>
      </c>
      <c r="BS39" s="50">
        <v>2.0</v>
      </c>
      <c r="BT39" s="50" t="s">
        <v>64</v>
      </c>
      <c r="BU39" s="50" t="s">
        <v>64</v>
      </c>
      <c r="BV39" s="50" t="s">
        <v>64</v>
      </c>
      <c r="BW39" s="50"/>
      <c r="BY39" s="53" t="s">
        <v>1682</v>
      </c>
      <c r="CA39" s="50">
        <v>2.0</v>
      </c>
      <c r="CB39" s="50">
        <v>2.0</v>
      </c>
      <c r="CC39" s="50">
        <v>2.0</v>
      </c>
      <c r="CD39" s="50">
        <v>2.0</v>
      </c>
      <c r="CE39" s="50">
        <v>2.0</v>
      </c>
      <c r="CF39" s="50">
        <v>2.0</v>
      </c>
      <c r="CG39" s="50">
        <v>2.0</v>
      </c>
      <c r="CH39" s="50" t="s">
        <v>64</v>
      </c>
      <c r="CI39" s="50" t="s">
        <v>64</v>
      </c>
      <c r="CJ39" s="50" t="s">
        <v>64</v>
      </c>
      <c r="CK39" s="50"/>
      <c r="CO39" s="50"/>
      <c r="CP39" s="50"/>
      <c r="CQ39" s="50"/>
      <c r="CR39" s="50"/>
      <c r="CS39" s="50"/>
      <c r="CT39" s="50"/>
      <c r="CU39" s="50"/>
      <c r="CV39" s="50"/>
      <c r="CW39" s="50"/>
      <c r="CX39" s="50"/>
      <c r="CY39" s="50"/>
      <c r="DA39" s="92" t="s">
        <v>1683</v>
      </c>
      <c r="DC39" s="50">
        <v>2.0</v>
      </c>
      <c r="DD39" s="50">
        <v>2.0</v>
      </c>
      <c r="DE39" s="50">
        <v>2.0</v>
      </c>
      <c r="DF39" s="50">
        <v>2.0</v>
      </c>
      <c r="DG39" s="50">
        <v>2.0</v>
      </c>
      <c r="DH39" s="50">
        <v>2.0</v>
      </c>
      <c r="DI39" s="50">
        <v>2.0</v>
      </c>
      <c r="DJ39" s="50" t="s">
        <v>64</v>
      </c>
      <c r="DK39" s="50" t="s">
        <v>64</v>
      </c>
      <c r="DL39" s="50" t="s">
        <v>64</v>
      </c>
      <c r="DM39" s="50"/>
      <c r="DO39" s="61" t="s">
        <v>1684</v>
      </c>
      <c r="DQ39" s="50">
        <v>2.0</v>
      </c>
      <c r="DR39" s="50">
        <v>2.0</v>
      </c>
      <c r="DS39" s="50">
        <v>2.0</v>
      </c>
      <c r="DT39" s="50">
        <v>2.0</v>
      </c>
      <c r="DU39" s="50">
        <v>2.0</v>
      </c>
      <c r="DV39" s="50">
        <v>2.0</v>
      </c>
      <c r="DW39" s="50">
        <v>2.0</v>
      </c>
      <c r="DX39" s="50" t="s">
        <v>64</v>
      </c>
      <c r="DY39" s="50" t="s">
        <v>64</v>
      </c>
      <c r="DZ39" s="50" t="s">
        <v>64</v>
      </c>
      <c r="EA39" s="50"/>
    </row>
    <row r="40" ht="15.75" customHeight="1">
      <c r="A40" s="14">
        <v>12.0</v>
      </c>
      <c r="B40" s="14" t="s">
        <v>103</v>
      </c>
      <c r="C40" s="14" t="str">
        <f t="array" ref="C40">IFERROR(INDEX(DOCUMENTOS!$E:$E,MATCH($A40,DOCUMENTOS!$A:$A,0)),"")</f>
        <v/>
      </c>
      <c r="D40" s="14" t="str">
        <f t="array" ref="D40">IFERROR(INDEX('BANCO DE PERGUNTAS'!$D:$D,MATCH($B40,'BANCO DE PERGUNTAS'!$A:$A,0)),"")</f>
        <v>Qual é a data do documento?</v>
      </c>
      <c r="E40" s="14" t="str">
        <f t="array" ref="E40">IFERROR(INDEX('BANCO DE PERGUNTAS'!$B:$B,MATCH($B40,'BANCO DE PERGUNTAS'!$A:$A,0)),"")</f>
        <v>Identificação</v>
      </c>
      <c r="F40" s="17">
        <f t="array" ref="F40">IFERROR(INDEX('BANCO DE PERGUNTAS'!$H:$H,MATCH($B40,'BANCO DE PERGUNTAS'!$A:$A,0)),"")</f>
        <v>1</v>
      </c>
      <c r="I40" s="50"/>
      <c r="J40" s="50"/>
      <c r="K40" s="50"/>
      <c r="L40" s="50"/>
      <c r="M40" s="50"/>
      <c r="N40" s="50"/>
      <c r="O40" s="50"/>
      <c r="P40" s="50"/>
      <c r="Q40" s="50"/>
      <c r="R40" s="50"/>
      <c r="S40" s="50"/>
      <c r="U40" s="93" t="s">
        <v>1693</v>
      </c>
      <c r="W40" s="50">
        <v>2.0</v>
      </c>
      <c r="X40" s="50">
        <v>2.0</v>
      </c>
      <c r="Y40" s="50">
        <v>2.0</v>
      </c>
      <c r="Z40" s="50">
        <v>2.0</v>
      </c>
      <c r="AA40" s="50">
        <v>2.0</v>
      </c>
      <c r="AB40" s="50">
        <v>2.0</v>
      </c>
      <c r="AC40" s="50">
        <v>2.0</v>
      </c>
      <c r="AD40" s="50" t="s">
        <v>64</v>
      </c>
      <c r="AE40" s="50" t="s">
        <v>64</v>
      </c>
      <c r="AF40" s="50" t="s">
        <v>64</v>
      </c>
      <c r="AG40" s="50"/>
      <c r="AI40" s="90" t="s">
        <v>1694</v>
      </c>
      <c r="AK40" s="50">
        <v>2.0</v>
      </c>
      <c r="AL40" s="50">
        <v>2.0</v>
      </c>
      <c r="AM40" s="50">
        <v>2.0</v>
      </c>
      <c r="AN40" s="50">
        <v>2.0</v>
      </c>
      <c r="AO40" s="50">
        <v>2.0</v>
      </c>
      <c r="AP40" s="50">
        <v>2.0</v>
      </c>
      <c r="AQ40" s="50">
        <v>2.0</v>
      </c>
      <c r="AR40" s="50" t="s">
        <v>64</v>
      </c>
      <c r="AS40" s="50" t="s">
        <v>64</v>
      </c>
      <c r="AT40" s="50" t="s">
        <v>64</v>
      </c>
      <c r="AU40" s="50"/>
      <c r="AY40" s="50"/>
      <c r="AZ40" s="50"/>
      <c r="BA40" s="50"/>
      <c r="BB40" s="50"/>
      <c r="BC40" s="50"/>
      <c r="BD40" s="50"/>
      <c r="BE40" s="50"/>
      <c r="BF40" s="50"/>
      <c r="BG40" s="50"/>
      <c r="BH40" s="50"/>
      <c r="BI40" s="50"/>
      <c r="BK40" s="91" t="s">
        <v>1695</v>
      </c>
      <c r="BM40" s="50">
        <v>2.0</v>
      </c>
      <c r="BN40" s="50">
        <v>2.0</v>
      </c>
      <c r="BO40" s="50">
        <v>2.0</v>
      </c>
      <c r="BP40" s="50">
        <v>2.0</v>
      </c>
      <c r="BQ40" s="50">
        <v>2.0</v>
      </c>
      <c r="BR40" s="50">
        <v>2.0</v>
      </c>
      <c r="BS40" s="50">
        <v>2.0</v>
      </c>
      <c r="BT40" s="50" t="s">
        <v>64</v>
      </c>
      <c r="BU40" s="50" t="s">
        <v>64</v>
      </c>
      <c r="BV40" s="50" t="s">
        <v>64</v>
      </c>
      <c r="BW40" s="50"/>
      <c r="BY40" s="53" t="s">
        <v>1696</v>
      </c>
      <c r="CA40" s="50">
        <v>2.0</v>
      </c>
      <c r="CB40" s="50">
        <v>2.0</v>
      </c>
      <c r="CC40" s="50">
        <v>2.0</v>
      </c>
      <c r="CD40" s="50">
        <v>2.0</v>
      </c>
      <c r="CE40" s="50">
        <v>2.0</v>
      </c>
      <c r="CF40" s="50">
        <v>2.0</v>
      </c>
      <c r="CG40" s="50">
        <v>2.0</v>
      </c>
      <c r="CH40" s="50" t="s">
        <v>64</v>
      </c>
      <c r="CI40" s="50" t="s">
        <v>64</v>
      </c>
      <c r="CJ40" s="50" t="s">
        <v>64</v>
      </c>
      <c r="CK40" s="50"/>
      <c r="CO40" s="50"/>
      <c r="CP40" s="50"/>
      <c r="CQ40" s="50"/>
      <c r="CR40" s="50"/>
      <c r="CS40" s="50"/>
      <c r="CT40" s="50"/>
      <c r="CU40" s="50"/>
      <c r="CV40" s="50"/>
      <c r="CW40" s="50"/>
      <c r="CX40" s="50"/>
      <c r="CY40" s="50"/>
      <c r="DA40" s="61" t="s">
        <v>1697</v>
      </c>
      <c r="DC40" s="50">
        <v>2.0</v>
      </c>
      <c r="DD40" s="50">
        <v>2.0</v>
      </c>
      <c r="DE40" s="50">
        <v>2.0</v>
      </c>
      <c r="DF40" s="50">
        <v>2.0</v>
      </c>
      <c r="DG40" s="50">
        <v>2.0</v>
      </c>
      <c r="DH40" s="50">
        <v>2.0</v>
      </c>
      <c r="DI40" s="50">
        <v>2.0</v>
      </c>
      <c r="DJ40" s="50" t="s">
        <v>64</v>
      </c>
      <c r="DK40" s="50" t="s">
        <v>64</v>
      </c>
      <c r="DL40" s="50" t="s">
        <v>64</v>
      </c>
      <c r="DM40" s="50"/>
      <c r="DO40" s="61" t="s">
        <v>1700</v>
      </c>
      <c r="DQ40" s="50">
        <v>2.0</v>
      </c>
      <c r="DR40" s="50">
        <v>2.0</v>
      </c>
      <c r="DS40" s="50">
        <v>2.0</v>
      </c>
      <c r="DT40" s="50">
        <v>2.0</v>
      </c>
      <c r="DU40" s="50">
        <v>2.0</v>
      </c>
      <c r="DV40" s="50">
        <v>2.0</v>
      </c>
      <c r="DW40" s="50">
        <v>2.0</v>
      </c>
      <c r="DX40" s="50" t="s">
        <v>64</v>
      </c>
      <c r="DY40" s="50" t="s">
        <v>64</v>
      </c>
      <c r="DZ40" s="50" t="s">
        <v>64</v>
      </c>
      <c r="EA40" s="50"/>
    </row>
    <row r="41" ht="15.75" customHeight="1">
      <c r="A41" s="11">
        <v>12.0</v>
      </c>
      <c r="B41" s="11" t="s">
        <v>117</v>
      </c>
      <c r="C41" s="11" t="str">
        <f t="array" ref="C41">IFERROR(INDEX(DOCUMENTOS!$E:$E,MATCH($A41,DOCUMENTOS!$A:$A,0)),"")</f>
        <v/>
      </c>
      <c r="D41" s="11" t="str">
        <f t="array" ref="D41">IFERROR(INDEX('BANCO DE PERGUNTAS'!$D:$D,MATCH($B41,'BANCO DE PERGUNTAS'!$A:$A,0)),"")</f>
        <v>Qual setor ou unidade está relacionado ao documento?</v>
      </c>
      <c r="E41" s="11" t="str">
        <f t="array" ref="E41">IFERROR(INDEX('BANCO DE PERGUNTAS'!$B:$B,MATCH($B41,'BANCO DE PERGUNTAS'!$A:$A,0)),"")</f>
        <v>Identificação</v>
      </c>
      <c r="F41" s="12">
        <f t="array" ref="F41">IFERROR(INDEX('BANCO DE PERGUNTAS'!$H:$H,MATCH($B41,'BANCO DE PERGUNTAS'!$A:$A,0)),"")</f>
        <v>1</v>
      </c>
      <c r="I41" s="50"/>
      <c r="J41" s="50"/>
      <c r="K41" s="50"/>
      <c r="L41" s="50"/>
      <c r="M41" s="50"/>
      <c r="N41" s="50"/>
      <c r="O41" s="50"/>
      <c r="P41" s="50"/>
      <c r="Q41" s="50"/>
      <c r="R41" s="50"/>
      <c r="S41" s="50"/>
      <c r="U41" s="89" t="s">
        <v>1709</v>
      </c>
      <c r="W41" s="50">
        <v>2.0</v>
      </c>
      <c r="X41" s="50">
        <v>2.0</v>
      </c>
      <c r="Y41" s="50">
        <v>2.0</v>
      </c>
      <c r="Z41" s="50">
        <v>2.0</v>
      </c>
      <c r="AA41" s="50">
        <v>2.0</v>
      </c>
      <c r="AB41" s="50">
        <v>2.0</v>
      </c>
      <c r="AC41" s="50">
        <v>2.0</v>
      </c>
      <c r="AD41" s="50" t="s">
        <v>64</v>
      </c>
      <c r="AE41" s="50" t="s">
        <v>64</v>
      </c>
      <c r="AF41" s="50" t="s">
        <v>64</v>
      </c>
      <c r="AG41" s="50"/>
      <c r="AI41" s="90" t="s">
        <v>1710</v>
      </c>
      <c r="AK41" s="50">
        <v>2.0</v>
      </c>
      <c r="AL41" s="50">
        <v>2.0</v>
      </c>
      <c r="AM41" s="50">
        <v>2.0</v>
      </c>
      <c r="AN41" s="50">
        <v>2.0</v>
      </c>
      <c r="AO41" s="50">
        <v>2.0</v>
      </c>
      <c r="AP41" s="50">
        <v>2.0</v>
      </c>
      <c r="AQ41" s="50">
        <v>2.0</v>
      </c>
      <c r="AR41" s="50" t="s">
        <v>64</v>
      </c>
      <c r="AS41" s="50" t="s">
        <v>64</v>
      </c>
      <c r="AT41" s="50" t="s">
        <v>64</v>
      </c>
      <c r="AU41" s="50"/>
      <c r="AY41" s="50"/>
      <c r="AZ41" s="50"/>
      <c r="BA41" s="50"/>
      <c r="BB41" s="50"/>
      <c r="BC41" s="50"/>
      <c r="BD41" s="50"/>
      <c r="BE41" s="50"/>
      <c r="BF41" s="50"/>
      <c r="BG41" s="50"/>
      <c r="BH41" s="50"/>
      <c r="BI41" s="50"/>
      <c r="BK41" s="91" t="s">
        <v>1711</v>
      </c>
      <c r="BM41" s="50">
        <v>2.0</v>
      </c>
      <c r="BN41" s="50">
        <v>2.0</v>
      </c>
      <c r="BO41" s="50">
        <v>2.0</v>
      </c>
      <c r="BP41" s="50">
        <v>2.0</v>
      </c>
      <c r="BQ41" s="50">
        <v>2.0</v>
      </c>
      <c r="BR41" s="50">
        <v>2.0</v>
      </c>
      <c r="BS41" s="50">
        <v>2.0</v>
      </c>
      <c r="BT41" s="50" t="s">
        <v>64</v>
      </c>
      <c r="BU41" s="50" t="s">
        <v>64</v>
      </c>
      <c r="BV41" s="50" t="s">
        <v>64</v>
      </c>
      <c r="BW41" s="50"/>
      <c r="BY41" s="53" t="s">
        <v>1713</v>
      </c>
      <c r="CA41" s="50">
        <v>2.0</v>
      </c>
      <c r="CB41" s="50">
        <v>2.0</v>
      </c>
      <c r="CC41" s="50">
        <v>2.0</v>
      </c>
      <c r="CD41" s="50">
        <v>2.0</v>
      </c>
      <c r="CE41" s="50">
        <v>2.0</v>
      </c>
      <c r="CF41" s="50">
        <v>2.0</v>
      </c>
      <c r="CG41" s="50">
        <v>2.0</v>
      </c>
      <c r="CH41" s="50" t="s">
        <v>64</v>
      </c>
      <c r="CI41" s="50" t="s">
        <v>64</v>
      </c>
      <c r="CJ41" s="50" t="s">
        <v>64</v>
      </c>
      <c r="CK41" s="50"/>
      <c r="CO41" s="50"/>
      <c r="CP41" s="50"/>
      <c r="CQ41" s="50"/>
      <c r="CR41" s="50"/>
      <c r="CS41" s="50"/>
      <c r="CT41" s="50"/>
      <c r="CU41" s="50"/>
      <c r="CV41" s="50"/>
      <c r="CW41" s="50"/>
      <c r="CX41" s="50"/>
      <c r="CY41" s="50"/>
      <c r="DA41" s="92" t="s">
        <v>1722</v>
      </c>
      <c r="DC41" s="50">
        <v>2.0</v>
      </c>
      <c r="DD41" s="50">
        <v>2.0</v>
      </c>
      <c r="DE41" s="50">
        <v>2.0</v>
      </c>
      <c r="DF41" s="50">
        <v>2.0</v>
      </c>
      <c r="DG41" s="50">
        <v>2.0</v>
      </c>
      <c r="DH41" s="50">
        <v>2.0</v>
      </c>
      <c r="DI41" s="50">
        <v>2.0</v>
      </c>
      <c r="DJ41" s="50" t="s">
        <v>64</v>
      </c>
      <c r="DK41" s="50" t="s">
        <v>64</v>
      </c>
      <c r="DL41" s="50" t="s">
        <v>64</v>
      </c>
      <c r="DM41" s="50"/>
      <c r="DO41" s="61" t="s">
        <v>1723</v>
      </c>
      <c r="DQ41" s="50">
        <v>2.0</v>
      </c>
      <c r="DR41" s="50">
        <v>2.0</v>
      </c>
      <c r="DS41" s="50">
        <v>2.0</v>
      </c>
      <c r="DT41" s="50">
        <v>2.0</v>
      </c>
      <c r="DU41" s="50">
        <v>2.0</v>
      </c>
      <c r="DV41" s="50">
        <v>2.0</v>
      </c>
      <c r="DW41" s="50">
        <v>2.0</v>
      </c>
      <c r="DX41" s="50" t="s">
        <v>64</v>
      </c>
      <c r="DY41" s="50" t="s">
        <v>64</v>
      </c>
      <c r="DZ41" s="50" t="s">
        <v>64</v>
      </c>
      <c r="EA41" s="50"/>
    </row>
    <row r="42" ht="15.75" customHeight="1">
      <c r="A42" s="14">
        <v>12.0</v>
      </c>
      <c r="B42" s="14" t="s">
        <v>131</v>
      </c>
      <c r="C42" s="14" t="str">
        <f t="array" ref="C42">IFERROR(INDEX(DOCUMENTOS!$E:$E,MATCH($A42,DOCUMENTOS!$A:$A,0)),"")</f>
        <v/>
      </c>
      <c r="D42" s="14" t="str">
        <f t="array" ref="D42">IFERROR(INDEX('BANCO DE PERGUNTAS'!$D:$D,MATCH($B42,'BANCO DE PERGUNTAS'!$A:$A,0)),"")</f>
        <v>Quais são as partes ou instituições mencionadas?</v>
      </c>
      <c r="E42" s="14" t="str">
        <f t="array" ref="E42">IFERROR(INDEX('BANCO DE PERGUNTAS'!$B:$B,MATCH($B42,'BANCO DE PERGUNTAS'!$A:$A,0)),"")</f>
        <v>Identificação</v>
      </c>
      <c r="F42" s="17">
        <f t="array" ref="F42">IFERROR(INDEX('BANCO DE PERGUNTAS'!$H:$H,MATCH($B42,'BANCO DE PERGUNTAS'!$A:$A,0)),"")</f>
        <v>2</v>
      </c>
      <c r="I42" s="50"/>
      <c r="J42" s="50"/>
      <c r="K42" s="50"/>
      <c r="L42" s="50"/>
      <c r="M42" s="50"/>
      <c r="N42" s="50"/>
      <c r="O42" s="50"/>
      <c r="P42" s="50"/>
      <c r="Q42" s="50"/>
      <c r="R42" s="50"/>
      <c r="S42" s="50"/>
      <c r="U42" s="93" t="s">
        <v>1742</v>
      </c>
      <c r="W42" s="50">
        <v>2.0</v>
      </c>
      <c r="X42" s="50">
        <v>2.0</v>
      </c>
      <c r="Y42" s="50">
        <v>2.0</v>
      </c>
      <c r="Z42" s="50">
        <v>2.0</v>
      </c>
      <c r="AA42" s="50">
        <v>2.0</v>
      </c>
      <c r="AB42" s="50">
        <v>2.0</v>
      </c>
      <c r="AC42" s="50">
        <v>2.0</v>
      </c>
      <c r="AD42" s="50" t="s">
        <v>64</v>
      </c>
      <c r="AE42" s="50" t="s">
        <v>64</v>
      </c>
      <c r="AF42" s="50" t="s">
        <v>64</v>
      </c>
      <c r="AG42" s="50"/>
      <c r="AI42" s="90" t="s">
        <v>1744</v>
      </c>
      <c r="AK42" s="50">
        <v>2.0</v>
      </c>
      <c r="AL42" s="50">
        <v>2.0</v>
      </c>
      <c r="AM42" s="50">
        <v>2.0</v>
      </c>
      <c r="AN42" s="50">
        <v>2.0</v>
      </c>
      <c r="AO42" s="50">
        <v>2.0</v>
      </c>
      <c r="AP42" s="50">
        <v>2.0</v>
      </c>
      <c r="AQ42" s="50">
        <v>2.0</v>
      </c>
      <c r="AR42" s="50" t="s">
        <v>64</v>
      </c>
      <c r="AS42" s="50" t="s">
        <v>64</v>
      </c>
      <c r="AT42" s="50" t="s">
        <v>64</v>
      </c>
      <c r="AU42" s="50"/>
      <c r="AY42" s="50"/>
      <c r="AZ42" s="50"/>
      <c r="BA42" s="50"/>
      <c r="BB42" s="50"/>
      <c r="BC42" s="50"/>
      <c r="BD42" s="50"/>
      <c r="BE42" s="50"/>
      <c r="BF42" s="50"/>
      <c r="BG42" s="50"/>
      <c r="BH42" s="50"/>
      <c r="BI42" s="50"/>
      <c r="BK42" s="91" t="s">
        <v>1745</v>
      </c>
      <c r="BM42" s="50">
        <v>2.0</v>
      </c>
      <c r="BN42" s="50">
        <v>2.0</v>
      </c>
      <c r="BO42" s="50">
        <v>2.0</v>
      </c>
      <c r="BP42" s="50">
        <v>2.0</v>
      </c>
      <c r="BQ42" s="50">
        <v>2.0</v>
      </c>
      <c r="BR42" s="50">
        <v>2.0</v>
      </c>
      <c r="BS42" s="50">
        <v>2.0</v>
      </c>
      <c r="BT42" s="50" t="s">
        <v>64</v>
      </c>
      <c r="BU42" s="50" t="s">
        <v>64</v>
      </c>
      <c r="BV42" s="50" t="s">
        <v>64</v>
      </c>
      <c r="BW42" s="50"/>
      <c r="BY42" s="53" t="s">
        <v>1746</v>
      </c>
      <c r="CA42" s="50">
        <v>2.0</v>
      </c>
      <c r="CB42" s="50">
        <v>2.0</v>
      </c>
      <c r="CC42" s="50">
        <v>2.0</v>
      </c>
      <c r="CD42" s="50">
        <v>2.0</v>
      </c>
      <c r="CE42" s="50">
        <v>2.0</v>
      </c>
      <c r="CF42" s="50">
        <v>2.0</v>
      </c>
      <c r="CG42" s="50">
        <v>2.0</v>
      </c>
      <c r="CH42" s="50" t="s">
        <v>64</v>
      </c>
      <c r="CI42" s="50" t="s">
        <v>64</v>
      </c>
      <c r="CJ42" s="50" t="s">
        <v>64</v>
      </c>
      <c r="CK42" s="50"/>
      <c r="CO42" s="50"/>
      <c r="CP42" s="50"/>
      <c r="CQ42" s="50"/>
      <c r="CR42" s="50"/>
      <c r="CS42" s="50"/>
      <c r="CT42" s="50"/>
      <c r="CU42" s="50"/>
      <c r="CV42" s="50"/>
      <c r="CW42" s="50"/>
      <c r="CX42" s="50"/>
      <c r="CY42" s="50"/>
      <c r="DA42" s="61" t="s">
        <v>1749</v>
      </c>
      <c r="DC42" s="50">
        <v>2.0</v>
      </c>
      <c r="DD42" s="50">
        <v>2.0</v>
      </c>
      <c r="DE42" s="50">
        <v>2.0</v>
      </c>
      <c r="DF42" s="50">
        <v>2.0</v>
      </c>
      <c r="DG42" s="50">
        <v>2.0</v>
      </c>
      <c r="DH42" s="50">
        <v>2.0</v>
      </c>
      <c r="DI42" s="50">
        <v>2.0</v>
      </c>
      <c r="DJ42" s="50" t="s">
        <v>64</v>
      </c>
      <c r="DK42" s="50" t="s">
        <v>64</v>
      </c>
      <c r="DL42" s="50" t="s">
        <v>64</v>
      </c>
      <c r="DM42" s="50"/>
      <c r="DO42" s="61" t="s">
        <v>1751</v>
      </c>
      <c r="DQ42" s="50">
        <v>2.0</v>
      </c>
      <c r="DR42" s="50">
        <v>2.0</v>
      </c>
      <c r="DS42" s="50">
        <v>1.0</v>
      </c>
      <c r="DT42" s="50">
        <v>2.0</v>
      </c>
      <c r="DU42" s="50">
        <v>2.0</v>
      </c>
      <c r="DV42" s="50">
        <v>2.0</v>
      </c>
      <c r="DW42" s="50">
        <v>2.0</v>
      </c>
      <c r="DX42" s="50" t="s">
        <v>64</v>
      </c>
      <c r="DY42" s="50" t="s">
        <v>64</v>
      </c>
      <c r="DZ42" s="50" t="s">
        <v>64</v>
      </c>
      <c r="EA42" s="50"/>
    </row>
    <row r="43" ht="15.75" customHeight="1">
      <c r="A43" s="11">
        <v>12.0</v>
      </c>
      <c r="B43" s="11" t="s">
        <v>144</v>
      </c>
      <c r="C43" s="11" t="str">
        <f t="array" ref="C43">IFERROR(INDEX(DOCUMENTOS!$E:$E,MATCH($A43,DOCUMENTOS!$A:$A,0)),"")</f>
        <v/>
      </c>
      <c r="D43" s="11" t="str">
        <f t="array" ref="D43">IFERROR(INDEX('BANCO DE PERGUNTAS'!$D:$D,MATCH($B43,'BANCO DE PERGUNTAS'!$A:$A,0)),"")</f>
        <v>Qual informação específica está apresentada na seção 08?</v>
      </c>
      <c r="E43" s="11" t="str">
        <f t="array" ref="E43">IFERROR(INDEX('BANCO DE PERGUNTAS'!$B:$B,MATCH($B43,'BANCO DE PERGUNTAS'!$A:$A,0)),"")</f>
        <v>Localização</v>
      </c>
      <c r="F43" s="12">
        <f t="array" ref="F43">IFERROR(INDEX('BANCO DE PERGUNTAS'!$H:$H,MATCH($B43,'BANCO DE PERGUNTAS'!$A:$A,0)),"")</f>
        <v>2</v>
      </c>
      <c r="I43" s="50"/>
      <c r="J43" s="50"/>
      <c r="K43" s="50"/>
      <c r="L43" s="50"/>
      <c r="M43" s="50"/>
      <c r="N43" s="50"/>
      <c r="O43" s="50"/>
      <c r="P43" s="50"/>
      <c r="Q43" s="50"/>
      <c r="R43" s="50"/>
      <c r="S43" s="50"/>
      <c r="U43" s="89" t="s">
        <v>1762</v>
      </c>
      <c r="W43" s="50">
        <v>2.0</v>
      </c>
      <c r="X43" s="50">
        <v>2.0</v>
      </c>
      <c r="Y43" s="50">
        <v>2.0</v>
      </c>
      <c r="Z43" s="50">
        <v>2.0</v>
      </c>
      <c r="AA43" s="50">
        <v>2.0</v>
      </c>
      <c r="AB43" s="50">
        <v>2.0</v>
      </c>
      <c r="AC43" s="50">
        <v>2.0</v>
      </c>
      <c r="AD43" s="50" t="s">
        <v>64</v>
      </c>
      <c r="AE43" s="50" t="s">
        <v>64</v>
      </c>
      <c r="AF43" s="50" t="s">
        <v>64</v>
      </c>
      <c r="AG43" s="50"/>
      <c r="AI43" s="90" t="s">
        <v>1763</v>
      </c>
      <c r="AK43" s="50">
        <v>2.0</v>
      </c>
      <c r="AL43" s="50">
        <v>2.0</v>
      </c>
      <c r="AM43" s="50">
        <v>2.0</v>
      </c>
      <c r="AN43" s="50">
        <v>2.0</v>
      </c>
      <c r="AO43" s="50">
        <v>2.0</v>
      </c>
      <c r="AP43" s="50">
        <v>2.0</v>
      </c>
      <c r="AQ43" s="50">
        <v>2.0</v>
      </c>
      <c r="AR43" s="50" t="s">
        <v>64</v>
      </c>
      <c r="AS43" s="50" t="s">
        <v>64</v>
      </c>
      <c r="AT43" s="50" t="s">
        <v>64</v>
      </c>
      <c r="AU43" s="50"/>
      <c r="AY43" s="50"/>
      <c r="AZ43" s="50"/>
      <c r="BA43" s="50"/>
      <c r="BB43" s="50"/>
      <c r="BC43" s="50"/>
      <c r="BD43" s="50"/>
      <c r="BE43" s="50"/>
      <c r="BF43" s="50"/>
      <c r="BG43" s="50"/>
      <c r="BH43" s="50"/>
      <c r="BI43" s="50"/>
      <c r="BK43" s="91" t="s">
        <v>1764</v>
      </c>
      <c r="BM43" s="50">
        <v>2.0</v>
      </c>
      <c r="BN43" s="50">
        <v>2.0</v>
      </c>
      <c r="BO43" s="50">
        <v>2.0</v>
      </c>
      <c r="BP43" s="50">
        <v>2.0</v>
      </c>
      <c r="BQ43" s="50">
        <v>2.0</v>
      </c>
      <c r="BR43" s="50">
        <v>2.0</v>
      </c>
      <c r="BS43" s="50">
        <v>2.0</v>
      </c>
      <c r="BT43" s="50" t="s">
        <v>64</v>
      </c>
      <c r="BU43" s="50" t="s">
        <v>64</v>
      </c>
      <c r="BV43" s="50" t="s">
        <v>64</v>
      </c>
      <c r="BW43" s="50"/>
      <c r="BY43" s="53" t="s">
        <v>1767</v>
      </c>
      <c r="CA43" s="50">
        <v>2.0</v>
      </c>
      <c r="CB43" s="50">
        <v>2.0</v>
      </c>
      <c r="CC43" s="50">
        <v>2.0</v>
      </c>
      <c r="CD43" s="50">
        <v>2.0</v>
      </c>
      <c r="CE43" s="50">
        <v>2.0</v>
      </c>
      <c r="CF43" s="50">
        <v>2.0</v>
      </c>
      <c r="CG43" s="50">
        <v>2.0</v>
      </c>
      <c r="CH43" s="50" t="s">
        <v>64</v>
      </c>
      <c r="CI43" s="50" t="s">
        <v>64</v>
      </c>
      <c r="CJ43" s="50" t="s">
        <v>64</v>
      </c>
      <c r="CK43" s="50"/>
      <c r="CO43" s="50"/>
      <c r="CP43" s="50"/>
      <c r="CQ43" s="50"/>
      <c r="CR43" s="50"/>
      <c r="CS43" s="50"/>
      <c r="CT43" s="50"/>
      <c r="CU43" s="50"/>
      <c r="CV43" s="50"/>
      <c r="CW43" s="50"/>
      <c r="CX43" s="50"/>
      <c r="CY43" s="50"/>
      <c r="DA43" s="92" t="s">
        <v>1772</v>
      </c>
      <c r="DC43" s="50">
        <v>2.0</v>
      </c>
      <c r="DD43" s="50">
        <v>2.0</v>
      </c>
      <c r="DE43" s="50">
        <v>2.0</v>
      </c>
      <c r="DF43" s="50">
        <v>2.0</v>
      </c>
      <c r="DG43" s="50">
        <v>2.0</v>
      </c>
      <c r="DH43" s="50">
        <v>2.0</v>
      </c>
      <c r="DI43" s="50">
        <v>2.0</v>
      </c>
      <c r="DJ43" s="50" t="s">
        <v>64</v>
      </c>
      <c r="DK43" s="50" t="s">
        <v>64</v>
      </c>
      <c r="DL43" s="50" t="s">
        <v>64</v>
      </c>
      <c r="DM43" s="50"/>
      <c r="DO43" s="61" t="s">
        <v>1773</v>
      </c>
      <c r="DQ43" s="50">
        <v>1.0</v>
      </c>
      <c r="DR43" s="50">
        <v>1.0</v>
      </c>
      <c r="DS43" s="50">
        <v>1.0</v>
      </c>
      <c r="DT43" s="50">
        <v>2.0</v>
      </c>
      <c r="DU43" s="50">
        <v>2.0</v>
      </c>
      <c r="DV43" s="50">
        <v>1.0</v>
      </c>
      <c r="DW43" s="50">
        <v>2.0</v>
      </c>
      <c r="DX43" s="50" t="s">
        <v>64</v>
      </c>
      <c r="DY43" s="50" t="s">
        <v>101</v>
      </c>
      <c r="DZ43" s="50" t="s">
        <v>101</v>
      </c>
      <c r="EA43" s="50" t="s">
        <v>447</v>
      </c>
    </row>
    <row r="44" ht="15.75" customHeight="1">
      <c r="A44" s="14">
        <v>12.0</v>
      </c>
      <c r="B44" s="14" t="s">
        <v>156</v>
      </c>
      <c r="C44" s="14" t="str">
        <f t="array" ref="C44">IFERROR(INDEX(DOCUMENTOS!$E:$E,MATCH($A44,DOCUMENTOS!$A:$A,0)),"")</f>
        <v/>
      </c>
      <c r="D44" s="14" t="str">
        <f t="array" ref="D44">IFERROR(INDEX('BANCO DE PERGUNTAS'!$D:$D,MATCH($B44,'BANCO DE PERGUNTAS'!$A:$A,0)),"")</f>
        <v>Em qual seção do documento está localizada a informação solicitada?</v>
      </c>
      <c r="E44" s="14" t="str">
        <f t="array" ref="E44">IFERROR(INDEX('BANCO DE PERGUNTAS'!$B:$B,MATCH($B44,'BANCO DE PERGUNTAS'!$A:$A,0)),"")</f>
        <v>Localização</v>
      </c>
      <c r="F44" s="17">
        <f t="array" ref="F44">IFERROR(INDEX('BANCO DE PERGUNTAS'!$H:$H,MATCH($B44,'BANCO DE PERGUNTAS'!$A:$A,0)),"")</f>
        <v>2</v>
      </c>
      <c r="I44" s="50"/>
      <c r="J44" s="50"/>
      <c r="K44" s="50"/>
      <c r="L44" s="50"/>
      <c r="M44" s="50"/>
      <c r="N44" s="50"/>
      <c r="O44" s="50"/>
      <c r="P44" s="50"/>
      <c r="Q44" s="50"/>
      <c r="R44" s="50"/>
      <c r="S44" s="50"/>
      <c r="U44" s="93" t="s">
        <v>1784</v>
      </c>
      <c r="W44" s="50">
        <v>2.0</v>
      </c>
      <c r="X44" s="50">
        <v>2.0</v>
      </c>
      <c r="Y44" s="50">
        <v>2.0</v>
      </c>
      <c r="Z44" s="50">
        <v>2.0</v>
      </c>
      <c r="AA44" s="50">
        <v>2.0</v>
      </c>
      <c r="AB44" s="50">
        <v>2.0</v>
      </c>
      <c r="AC44" s="50">
        <v>2.0</v>
      </c>
      <c r="AD44" s="50" t="s">
        <v>64</v>
      </c>
      <c r="AE44" s="50" t="s">
        <v>64</v>
      </c>
      <c r="AF44" s="50" t="s">
        <v>64</v>
      </c>
      <c r="AG44" s="50"/>
      <c r="AI44" s="90" t="s">
        <v>1786</v>
      </c>
      <c r="AK44" s="50">
        <v>2.0</v>
      </c>
      <c r="AL44" s="50">
        <v>2.0</v>
      </c>
      <c r="AM44" s="50">
        <v>2.0</v>
      </c>
      <c r="AN44" s="50">
        <v>2.0</v>
      </c>
      <c r="AO44" s="50">
        <v>2.0</v>
      </c>
      <c r="AP44" s="50">
        <v>2.0</v>
      </c>
      <c r="AQ44" s="50">
        <v>2.0</v>
      </c>
      <c r="AR44" s="50" t="s">
        <v>64</v>
      </c>
      <c r="AS44" s="50" t="s">
        <v>64</v>
      </c>
      <c r="AT44" s="50" t="s">
        <v>64</v>
      </c>
      <c r="AU44" s="50"/>
      <c r="AY44" s="50"/>
      <c r="AZ44" s="50"/>
      <c r="BA44" s="50"/>
      <c r="BB44" s="50"/>
      <c r="BC44" s="50"/>
      <c r="BD44" s="50"/>
      <c r="BE44" s="50"/>
      <c r="BF44" s="50"/>
      <c r="BG44" s="50"/>
      <c r="BH44" s="50"/>
      <c r="BI44" s="50"/>
      <c r="BK44" s="91" t="s">
        <v>1787</v>
      </c>
      <c r="BM44" s="50">
        <v>2.0</v>
      </c>
      <c r="BN44" s="50">
        <v>2.0</v>
      </c>
      <c r="BO44" s="50">
        <v>2.0</v>
      </c>
      <c r="BP44" s="50">
        <v>2.0</v>
      </c>
      <c r="BQ44" s="50">
        <v>2.0</v>
      </c>
      <c r="BR44" s="50">
        <v>2.0</v>
      </c>
      <c r="BS44" s="50">
        <v>2.0</v>
      </c>
      <c r="BT44" s="50" t="s">
        <v>64</v>
      </c>
      <c r="BU44" s="50" t="s">
        <v>64</v>
      </c>
      <c r="BV44" s="50" t="s">
        <v>64</v>
      </c>
      <c r="BW44" s="50"/>
      <c r="BY44" s="53" t="s">
        <v>1788</v>
      </c>
      <c r="CA44" s="50">
        <v>2.0</v>
      </c>
      <c r="CB44" s="50">
        <v>2.0</v>
      </c>
      <c r="CC44" s="50">
        <v>2.0</v>
      </c>
      <c r="CD44" s="50">
        <v>2.0</v>
      </c>
      <c r="CE44" s="50">
        <v>2.0</v>
      </c>
      <c r="CF44" s="50">
        <v>2.0</v>
      </c>
      <c r="CG44" s="50">
        <v>2.0</v>
      </c>
      <c r="CH44" s="50" t="s">
        <v>64</v>
      </c>
      <c r="CI44" s="50" t="s">
        <v>64</v>
      </c>
      <c r="CJ44" s="50" t="s">
        <v>64</v>
      </c>
      <c r="CK44" s="50"/>
      <c r="CO44" s="50"/>
      <c r="CP44" s="50"/>
      <c r="CQ44" s="50"/>
      <c r="CR44" s="50"/>
      <c r="CS44" s="50"/>
      <c r="CT44" s="50"/>
      <c r="CU44" s="50"/>
      <c r="CV44" s="50"/>
      <c r="CW44" s="50"/>
      <c r="CX44" s="50"/>
      <c r="CY44" s="50"/>
      <c r="DA44" s="61" t="s">
        <v>1789</v>
      </c>
      <c r="DC44" s="50">
        <v>1.0</v>
      </c>
      <c r="DD44" s="50">
        <v>1.0</v>
      </c>
      <c r="DE44" s="50">
        <v>1.0</v>
      </c>
      <c r="DF44" s="50">
        <v>2.0</v>
      </c>
      <c r="DG44" s="50">
        <v>2.0</v>
      </c>
      <c r="DH44" s="50">
        <v>1.0</v>
      </c>
      <c r="DI44" s="50">
        <v>2.0</v>
      </c>
      <c r="DJ44" s="50" t="s">
        <v>64</v>
      </c>
      <c r="DK44" s="50" t="s">
        <v>101</v>
      </c>
      <c r="DL44" s="50" t="s">
        <v>101</v>
      </c>
      <c r="DM44" s="50" t="s">
        <v>447</v>
      </c>
      <c r="DO44" s="61" t="s">
        <v>1790</v>
      </c>
      <c r="DQ44" s="50">
        <v>1.0</v>
      </c>
      <c r="DR44" s="50">
        <v>1.0</v>
      </c>
      <c r="DS44" s="50">
        <v>1.0</v>
      </c>
      <c r="DT44" s="50">
        <v>2.0</v>
      </c>
      <c r="DU44" s="50">
        <v>2.0</v>
      </c>
      <c r="DV44" s="50">
        <v>1.0</v>
      </c>
      <c r="DW44" s="50">
        <v>2.0</v>
      </c>
      <c r="DX44" s="50" t="s">
        <v>64</v>
      </c>
      <c r="DY44" s="50" t="s">
        <v>101</v>
      </c>
      <c r="DZ44" s="50" t="s">
        <v>101</v>
      </c>
      <c r="EA44" s="50" t="s">
        <v>447</v>
      </c>
    </row>
    <row r="45" ht="15.75" customHeight="1">
      <c r="A45" s="11">
        <v>12.0</v>
      </c>
      <c r="B45" s="11" t="s">
        <v>162</v>
      </c>
      <c r="C45" s="11" t="str">
        <f t="array" ref="C45">IFERROR(INDEX(DOCUMENTOS!$E:$E,MATCH($A45,DOCUMENTOS!$A:$A,0)),"")</f>
        <v/>
      </c>
      <c r="D45" s="11" t="str">
        <f t="array" ref="D45">IFERROR(INDEX('BANCO DE PERGUNTAS'!$D:$D,MATCH($B45,'BANCO DE PERGUNTAS'!$A:$A,0)),"")</f>
        <v>Qual é o valor indicado para o Valor Total Anual do Objeto licitado?</v>
      </c>
      <c r="E45" s="11" t="str">
        <f t="array" ref="E45">IFERROR(INDEX('BANCO DE PERGUNTAS'!$B:$B,MATCH($B45,'BANCO DE PERGUNTAS'!$A:$A,0)),"")</f>
        <v>Localização</v>
      </c>
      <c r="F45" s="12">
        <f t="array" ref="F45">IFERROR(INDEX('BANCO DE PERGUNTAS'!$H:$H,MATCH($B45,'BANCO DE PERGUNTAS'!$A:$A,0)),"")</f>
        <v>1</v>
      </c>
      <c r="I45" s="50"/>
      <c r="J45" s="50"/>
      <c r="K45" s="50"/>
      <c r="L45" s="50"/>
      <c r="M45" s="50"/>
      <c r="N45" s="50"/>
      <c r="O45" s="50"/>
      <c r="P45" s="50"/>
      <c r="Q45" s="50"/>
      <c r="R45" s="50"/>
      <c r="S45" s="50"/>
      <c r="U45" s="89" t="s">
        <v>1801</v>
      </c>
      <c r="W45" s="50">
        <v>2.0</v>
      </c>
      <c r="X45" s="50">
        <v>2.0</v>
      </c>
      <c r="Y45" s="50">
        <v>2.0</v>
      </c>
      <c r="Z45" s="50">
        <v>2.0</v>
      </c>
      <c r="AA45" s="50">
        <v>2.0</v>
      </c>
      <c r="AB45" s="50">
        <v>2.0</v>
      </c>
      <c r="AC45" s="50">
        <v>2.0</v>
      </c>
      <c r="AD45" s="50" t="s">
        <v>64</v>
      </c>
      <c r="AE45" s="50" t="s">
        <v>64</v>
      </c>
      <c r="AF45" s="50" t="s">
        <v>64</v>
      </c>
      <c r="AG45" s="50"/>
      <c r="AI45" s="90" t="s">
        <v>1802</v>
      </c>
      <c r="AK45" s="50">
        <v>2.0</v>
      </c>
      <c r="AL45" s="50">
        <v>2.0</v>
      </c>
      <c r="AM45" s="50">
        <v>2.0</v>
      </c>
      <c r="AN45" s="50">
        <v>2.0</v>
      </c>
      <c r="AO45" s="50">
        <v>2.0</v>
      </c>
      <c r="AP45" s="50">
        <v>2.0</v>
      </c>
      <c r="AQ45" s="50">
        <v>2.0</v>
      </c>
      <c r="AR45" s="50" t="s">
        <v>64</v>
      </c>
      <c r="AS45" s="50" t="s">
        <v>64</v>
      </c>
      <c r="AT45" s="50" t="s">
        <v>64</v>
      </c>
      <c r="AU45" s="50"/>
      <c r="AY45" s="50"/>
      <c r="AZ45" s="50"/>
      <c r="BA45" s="50"/>
      <c r="BB45" s="50"/>
      <c r="BC45" s="50"/>
      <c r="BD45" s="50"/>
      <c r="BE45" s="50"/>
      <c r="BF45" s="50"/>
      <c r="BG45" s="50"/>
      <c r="BH45" s="50"/>
      <c r="BI45" s="50"/>
      <c r="BK45" s="91" t="s">
        <v>1809</v>
      </c>
      <c r="BM45" s="50">
        <v>2.0</v>
      </c>
      <c r="BN45" s="50">
        <v>2.0</v>
      </c>
      <c r="BO45" s="50">
        <v>2.0</v>
      </c>
      <c r="BP45" s="50">
        <v>2.0</v>
      </c>
      <c r="BQ45" s="50">
        <v>2.0</v>
      </c>
      <c r="BR45" s="50">
        <v>2.0</v>
      </c>
      <c r="BS45" s="50">
        <v>2.0</v>
      </c>
      <c r="BT45" s="50" t="s">
        <v>64</v>
      </c>
      <c r="BU45" s="50" t="s">
        <v>64</v>
      </c>
      <c r="BV45" s="50" t="s">
        <v>64</v>
      </c>
      <c r="BW45" s="50"/>
      <c r="BY45" s="53" t="s">
        <v>1810</v>
      </c>
      <c r="CA45" s="50">
        <v>2.0</v>
      </c>
      <c r="CB45" s="50">
        <v>2.0</v>
      </c>
      <c r="CC45" s="50">
        <v>2.0</v>
      </c>
      <c r="CD45" s="50">
        <v>2.0</v>
      </c>
      <c r="CE45" s="50">
        <v>2.0</v>
      </c>
      <c r="CF45" s="50">
        <v>2.0</v>
      </c>
      <c r="CG45" s="50">
        <v>2.0</v>
      </c>
      <c r="CH45" s="50" t="s">
        <v>64</v>
      </c>
      <c r="CI45" s="50" t="s">
        <v>64</v>
      </c>
      <c r="CJ45" s="50" t="s">
        <v>64</v>
      </c>
      <c r="CK45" s="50"/>
      <c r="CO45" s="50"/>
      <c r="CP45" s="50"/>
      <c r="CQ45" s="50"/>
      <c r="CR45" s="50"/>
      <c r="CS45" s="50"/>
      <c r="CT45" s="50"/>
      <c r="CU45" s="50"/>
      <c r="CV45" s="50"/>
      <c r="CW45" s="50"/>
      <c r="CX45" s="50"/>
      <c r="CY45" s="50"/>
      <c r="DA45" s="92" t="s">
        <v>1811</v>
      </c>
      <c r="DC45" s="50">
        <v>1.0</v>
      </c>
      <c r="DD45" s="50">
        <v>1.0</v>
      </c>
      <c r="DE45" s="50">
        <v>1.0</v>
      </c>
      <c r="DF45" s="50">
        <v>2.0</v>
      </c>
      <c r="DG45" s="50">
        <v>2.0</v>
      </c>
      <c r="DH45" s="50">
        <v>1.0</v>
      </c>
      <c r="DI45" s="50">
        <v>2.0</v>
      </c>
      <c r="DJ45" s="50" t="s">
        <v>64</v>
      </c>
      <c r="DK45" s="50" t="s">
        <v>101</v>
      </c>
      <c r="DL45" s="50" t="s">
        <v>101</v>
      </c>
      <c r="DM45" s="50" t="s">
        <v>447</v>
      </c>
      <c r="DO45" s="61" t="s">
        <v>1812</v>
      </c>
      <c r="DQ45" s="50">
        <v>1.0</v>
      </c>
      <c r="DR45" s="50">
        <v>1.0</v>
      </c>
      <c r="DS45" s="50">
        <v>1.0</v>
      </c>
      <c r="DT45" s="50">
        <v>2.0</v>
      </c>
      <c r="DU45" s="50">
        <v>2.0</v>
      </c>
      <c r="DV45" s="50">
        <v>1.0</v>
      </c>
      <c r="DW45" s="50">
        <v>2.0</v>
      </c>
      <c r="DX45" s="50" t="s">
        <v>64</v>
      </c>
      <c r="DY45" s="50" t="s">
        <v>101</v>
      </c>
      <c r="DZ45" s="50" t="s">
        <v>101</v>
      </c>
      <c r="EA45" s="50" t="s">
        <v>447</v>
      </c>
    </row>
    <row r="46" ht="15.75" customHeight="1">
      <c r="A46" s="14">
        <v>12.0</v>
      </c>
      <c r="B46" s="14" t="s">
        <v>168</v>
      </c>
      <c r="C46" s="14" t="str">
        <f t="array" ref="C46">IFERROR(INDEX(DOCUMENTOS!$E:$E,MATCH($A46,DOCUMENTOS!$A:$A,0)),"")</f>
        <v/>
      </c>
      <c r="D46" s="14" t="str">
        <f t="array" ref="D46">IFERROR(INDEX('BANCO DE PERGUNTAS'!$D:$D,MATCH($B46,'BANCO DE PERGUNTAS'!$A:$A,0)),"")</f>
        <v>Qual é a data indicada para de assinatura de todos os membros da comissão da contratação?</v>
      </c>
      <c r="E46" s="14" t="str">
        <f t="array" ref="E46">IFERROR(INDEX('BANCO DE PERGUNTAS'!$B:$B,MATCH($B46,'BANCO DE PERGUNTAS'!$A:$A,0)),"")</f>
        <v>Localização</v>
      </c>
      <c r="F46" s="17">
        <f t="array" ref="F46">IFERROR(INDEX('BANCO DE PERGUNTAS'!$H:$H,MATCH($B46,'BANCO DE PERGUNTAS'!$A:$A,0)),"")</f>
        <v>1</v>
      </c>
      <c r="I46" s="50"/>
      <c r="J46" s="50"/>
      <c r="K46" s="50"/>
      <c r="L46" s="50"/>
      <c r="M46" s="50"/>
      <c r="N46" s="50"/>
      <c r="O46" s="50"/>
      <c r="P46" s="50"/>
      <c r="Q46" s="50"/>
      <c r="R46" s="50"/>
      <c r="S46" s="50"/>
      <c r="U46" s="93" t="s">
        <v>1831</v>
      </c>
      <c r="W46" s="50">
        <v>2.0</v>
      </c>
      <c r="X46" s="50">
        <v>2.0</v>
      </c>
      <c r="Y46" s="50">
        <v>2.0</v>
      </c>
      <c r="Z46" s="50">
        <v>2.0</v>
      </c>
      <c r="AA46" s="50">
        <v>2.0</v>
      </c>
      <c r="AB46" s="50">
        <v>2.0</v>
      </c>
      <c r="AC46" s="50">
        <v>2.0</v>
      </c>
      <c r="AD46" s="50" t="s">
        <v>64</v>
      </c>
      <c r="AE46" s="50" t="s">
        <v>64</v>
      </c>
      <c r="AF46" s="50" t="s">
        <v>64</v>
      </c>
      <c r="AG46" s="50"/>
      <c r="AI46" s="90" t="s">
        <v>1832</v>
      </c>
      <c r="AK46" s="50">
        <v>2.0</v>
      </c>
      <c r="AL46" s="50">
        <v>2.0</v>
      </c>
      <c r="AM46" s="50">
        <v>2.0</v>
      </c>
      <c r="AN46" s="50">
        <v>2.0</v>
      </c>
      <c r="AO46" s="50">
        <v>2.0</v>
      </c>
      <c r="AP46" s="50">
        <v>2.0</v>
      </c>
      <c r="AQ46" s="50">
        <v>2.0</v>
      </c>
      <c r="AR46" s="50" t="s">
        <v>64</v>
      </c>
      <c r="AS46" s="50" t="s">
        <v>64</v>
      </c>
      <c r="AT46" s="50" t="s">
        <v>64</v>
      </c>
      <c r="AU46" s="50"/>
      <c r="AY46" s="50"/>
      <c r="AZ46" s="50"/>
      <c r="BA46" s="50"/>
      <c r="BB46" s="50"/>
      <c r="BC46" s="50"/>
      <c r="BD46" s="50"/>
      <c r="BE46" s="50"/>
      <c r="BF46" s="50"/>
      <c r="BG46" s="50"/>
      <c r="BH46" s="50"/>
      <c r="BI46" s="50"/>
      <c r="BK46" s="91" t="s">
        <v>1838</v>
      </c>
      <c r="BM46" s="50">
        <v>2.0</v>
      </c>
      <c r="BN46" s="50">
        <v>2.0</v>
      </c>
      <c r="BO46" s="50">
        <v>2.0</v>
      </c>
      <c r="BP46" s="50">
        <v>2.0</v>
      </c>
      <c r="BQ46" s="50">
        <v>2.0</v>
      </c>
      <c r="BR46" s="50">
        <v>2.0</v>
      </c>
      <c r="BS46" s="50">
        <v>2.0</v>
      </c>
      <c r="BT46" s="50" t="s">
        <v>64</v>
      </c>
      <c r="BU46" s="50" t="s">
        <v>64</v>
      </c>
      <c r="BV46" s="50" t="s">
        <v>64</v>
      </c>
      <c r="BW46" s="50"/>
      <c r="BY46" s="53" t="s">
        <v>1839</v>
      </c>
      <c r="CA46" s="50">
        <v>2.0</v>
      </c>
      <c r="CB46" s="50">
        <v>2.0</v>
      </c>
      <c r="CC46" s="50">
        <v>2.0</v>
      </c>
      <c r="CD46" s="50">
        <v>2.0</v>
      </c>
      <c r="CE46" s="50">
        <v>2.0</v>
      </c>
      <c r="CF46" s="50">
        <v>2.0</v>
      </c>
      <c r="CG46" s="50">
        <v>2.0</v>
      </c>
      <c r="CH46" s="50" t="s">
        <v>64</v>
      </c>
      <c r="CI46" s="50" t="s">
        <v>64</v>
      </c>
      <c r="CJ46" s="50" t="s">
        <v>64</v>
      </c>
      <c r="CK46" s="50"/>
      <c r="CO46" s="50"/>
      <c r="CP46" s="50"/>
      <c r="CQ46" s="50"/>
      <c r="CR46" s="50"/>
      <c r="CS46" s="50"/>
      <c r="CT46" s="50"/>
      <c r="CU46" s="50"/>
      <c r="CV46" s="50"/>
      <c r="CW46" s="50"/>
      <c r="CX46" s="50"/>
      <c r="CY46" s="50"/>
      <c r="DA46" s="61" t="s">
        <v>1840</v>
      </c>
      <c r="DC46" s="50">
        <v>2.0</v>
      </c>
      <c r="DD46" s="50">
        <v>2.0</v>
      </c>
      <c r="DE46" s="50">
        <v>2.0</v>
      </c>
      <c r="DF46" s="50">
        <v>2.0</v>
      </c>
      <c r="DG46" s="50">
        <v>2.0</v>
      </c>
      <c r="DH46" s="50">
        <v>2.0</v>
      </c>
      <c r="DI46" s="50">
        <v>2.0</v>
      </c>
      <c r="DJ46" s="50" t="s">
        <v>64</v>
      </c>
      <c r="DK46" s="50" t="s">
        <v>64</v>
      </c>
      <c r="DL46" s="50" t="s">
        <v>64</v>
      </c>
      <c r="DM46" s="50"/>
      <c r="DO46" s="61" t="s">
        <v>1841</v>
      </c>
      <c r="DQ46" s="50">
        <v>2.0</v>
      </c>
      <c r="DR46" s="50">
        <v>2.0</v>
      </c>
      <c r="DS46" s="50">
        <v>2.0</v>
      </c>
      <c r="DT46" s="50">
        <v>2.0</v>
      </c>
      <c r="DU46" s="50">
        <v>2.0</v>
      </c>
      <c r="DV46" s="50">
        <v>2.0</v>
      </c>
      <c r="DW46" s="50">
        <v>2.0</v>
      </c>
      <c r="DX46" s="50" t="s">
        <v>64</v>
      </c>
      <c r="DY46" s="50" t="s">
        <v>64</v>
      </c>
      <c r="DZ46" s="50" t="s">
        <v>64</v>
      </c>
      <c r="EA46" s="50"/>
    </row>
    <row r="47" ht="15.75" customHeight="1">
      <c r="A47" s="11">
        <v>12.0</v>
      </c>
      <c r="B47" s="11" t="s">
        <v>172</v>
      </c>
      <c r="C47" s="11" t="str">
        <f t="array" ref="C47">IFERROR(INDEX(DOCUMENTOS!$E:$E,MATCH($A47,DOCUMENTOS!$A:$A,0)),"")</f>
        <v/>
      </c>
      <c r="D47" s="11" t="str">
        <f t="array" ref="D47">IFERROR(INDEX('BANCO DE PERGUNTAS'!$D:$D,MATCH($B47,'BANCO DE PERGUNTAS'!$A:$A,0)),"")</f>
        <v>Extraia os principais dados do documento em formato estruturado.</v>
      </c>
      <c r="E47" s="11" t="str">
        <f t="array" ref="E47">IFERROR(INDEX('BANCO DE PERGUNTAS'!$B:$B,MATCH($B47,'BANCO DE PERGUNTAS'!$A:$A,0)),"")</f>
        <v>Extração</v>
      </c>
      <c r="F47" s="12">
        <f t="array" ref="F47">IFERROR(INDEX('BANCO DE PERGUNTAS'!$H:$H,MATCH($B47,'BANCO DE PERGUNTAS'!$A:$A,0)),"")</f>
        <v>2</v>
      </c>
      <c r="I47" s="50"/>
      <c r="J47" s="50"/>
      <c r="K47" s="50"/>
      <c r="L47" s="50"/>
      <c r="M47" s="50"/>
      <c r="N47" s="50"/>
      <c r="O47" s="50"/>
      <c r="P47" s="50"/>
      <c r="Q47" s="50"/>
      <c r="R47" s="50"/>
      <c r="S47" s="50"/>
      <c r="U47" s="89" t="s">
        <v>1857</v>
      </c>
      <c r="W47" s="50">
        <v>2.0</v>
      </c>
      <c r="X47" s="50">
        <v>2.0</v>
      </c>
      <c r="Y47" s="50">
        <v>2.0</v>
      </c>
      <c r="Z47" s="50">
        <v>2.0</v>
      </c>
      <c r="AA47" s="50">
        <v>2.0</v>
      </c>
      <c r="AB47" s="50">
        <v>2.0</v>
      </c>
      <c r="AC47" s="50">
        <v>2.0</v>
      </c>
      <c r="AD47" s="50" t="s">
        <v>64</v>
      </c>
      <c r="AE47" s="50" t="s">
        <v>64</v>
      </c>
      <c r="AF47" s="50" t="s">
        <v>64</v>
      </c>
      <c r="AG47" s="50"/>
      <c r="AI47" s="90" t="s">
        <v>1858</v>
      </c>
      <c r="AK47" s="50">
        <v>2.0</v>
      </c>
      <c r="AL47" s="50">
        <v>2.0</v>
      </c>
      <c r="AM47" s="50">
        <v>2.0</v>
      </c>
      <c r="AN47" s="50">
        <v>2.0</v>
      </c>
      <c r="AO47" s="50">
        <v>2.0</v>
      </c>
      <c r="AP47" s="50">
        <v>2.0</v>
      </c>
      <c r="AQ47" s="50">
        <v>2.0</v>
      </c>
      <c r="AR47" s="50" t="s">
        <v>64</v>
      </c>
      <c r="AS47" s="50" t="s">
        <v>64</v>
      </c>
      <c r="AT47" s="50" t="s">
        <v>64</v>
      </c>
      <c r="AU47" s="50"/>
      <c r="AY47" s="50"/>
      <c r="AZ47" s="50"/>
      <c r="BA47" s="50"/>
      <c r="BB47" s="50"/>
      <c r="BC47" s="50"/>
      <c r="BD47" s="50"/>
      <c r="BE47" s="50"/>
      <c r="BF47" s="50"/>
      <c r="BG47" s="50"/>
      <c r="BH47" s="50"/>
      <c r="BI47" s="50"/>
      <c r="BK47" s="91" t="s">
        <v>1859</v>
      </c>
      <c r="BM47" s="50">
        <v>2.0</v>
      </c>
      <c r="BN47" s="50">
        <v>2.0</v>
      </c>
      <c r="BO47" s="50">
        <v>2.0</v>
      </c>
      <c r="BP47" s="50">
        <v>2.0</v>
      </c>
      <c r="BQ47" s="50">
        <v>2.0</v>
      </c>
      <c r="BR47" s="50">
        <v>2.0</v>
      </c>
      <c r="BS47" s="50">
        <v>2.0</v>
      </c>
      <c r="BT47" s="50" t="s">
        <v>64</v>
      </c>
      <c r="BU47" s="50" t="s">
        <v>64</v>
      </c>
      <c r="BV47" s="50" t="s">
        <v>64</v>
      </c>
      <c r="BW47" s="50"/>
      <c r="BY47" s="53" t="s">
        <v>1863</v>
      </c>
      <c r="CA47" s="50">
        <v>2.0</v>
      </c>
      <c r="CB47" s="50">
        <v>2.0</v>
      </c>
      <c r="CC47" s="50">
        <v>2.0</v>
      </c>
      <c r="CD47" s="50">
        <v>2.0</v>
      </c>
      <c r="CE47" s="50">
        <v>2.0</v>
      </c>
      <c r="CF47" s="50">
        <v>2.0</v>
      </c>
      <c r="CG47" s="50">
        <v>2.0</v>
      </c>
      <c r="CH47" s="50" t="s">
        <v>64</v>
      </c>
      <c r="CI47" s="50" t="s">
        <v>64</v>
      </c>
      <c r="CJ47" s="50" t="s">
        <v>64</v>
      </c>
      <c r="CK47" s="50"/>
      <c r="CO47" s="50"/>
      <c r="CP47" s="50"/>
      <c r="CQ47" s="50"/>
      <c r="CR47" s="50"/>
      <c r="CS47" s="50"/>
      <c r="CT47" s="50"/>
      <c r="CU47" s="50"/>
      <c r="CV47" s="50"/>
      <c r="CW47" s="50"/>
      <c r="CX47" s="50"/>
      <c r="CY47" s="50"/>
      <c r="DA47" s="92" t="s">
        <v>1867</v>
      </c>
      <c r="DC47" s="50">
        <v>2.0</v>
      </c>
      <c r="DD47" s="50">
        <v>2.0</v>
      </c>
      <c r="DE47" s="50">
        <v>2.0</v>
      </c>
      <c r="DF47" s="50">
        <v>2.0</v>
      </c>
      <c r="DG47" s="50">
        <v>2.0</v>
      </c>
      <c r="DH47" s="50">
        <v>2.0</v>
      </c>
      <c r="DI47" s="50">
        <v>2.0</v>
      </c>
      <c r="DJ47" s="50" t="s">
        <v>64</v>
      </c>
      <c r="DK47" s="50" t="s">
        <v>64</v>
      </c>
      <c r="DL47" s="50" t="s">
        <v>64</v>
      </c>
      <c r="DM47" s="50"/>
      <c r="DO47" s="61" t="s">
        <v>1868</v>
      </c>
      <c r="DQ47" s="50">
        <v>2.0</v>
      </c>
      <c r="DR47" s="50">
        <v>2.0</v>
      </c>
      <c r="DS47" s="50">
        <v>2.0</v>
      </c>
      <c r="DT47" s="50">
        <v>2.0</v>
      </c>
      <c r="DU47" s="50">
        <v>2.0</v>
      </c>
      <c r="DV47" s="50">
        <v>2.0</v>
      </c>
      <c r="DW47" s="50">
        <v>2.0</v>
      </c>
      <c r="DX47" s="50" t="s">
        <v>64</v>
      </c>
      <c r="DY47" s="50" t="s">
        <v>64</v>
      </c>
      <c r="DZ47" s="50" t="s">
        <v>64</v>
      </c>
      <c r="EA47" s="50"/>
    </row>
    <row r="48" ht="15.75" customHeight="1">
      <c r="A48" s="14">
        <v>12.0</v>
      </c>
      <c r="B48" s="14" t="s">
        <v>179</v>
      </c>
      <c r="C48" s="14" t="str">
        <f t="array" ref="C48">IFERROR(INDEX(DOCUMENTOS!$E:$E,MATCH($A48,DOCUMENTOS!$A:$A,0)),"")</f>
        <v/>
      </c>
      <c r="D48" s="14" t="str">
        <f t="array" ref="D48">IFERROR(INDEX('BANCO DE PERGUNTAS'!$D:$D,MATCH($B48,'BANCO DE PERGUNTAS'!$A:$A,0)),"")</f>
        <v>Liste os valores financeiros presentes no documento.</v>
      </c>
      <c r="E48" s="14" t="str">
        <f t="array" ref="E48">IFERROR(INDEX('BANCO DE PERGUNTAS'!$B:$B,MATCH($B48,'BANCO DE PERGUNTAS'!$A:$A,0)),"")</f>
        <v>Extração</v>
      </c>
      <c r="F48" s="17">
        <f t="array" ref="F48">IFERROR(INDEX('BANCO DE PERGUNTAS'!$H:$H,MATCH($B48,'BANCO DE PERGUNTAS'!$A:$A,0)),"")</f>
        <v>2</v>
      </c>
      <c r="I48" s="50"/>
      <c r="J48" s="50"/>
      <c r="K48" s="50"/>
      <c r="L48" s="50"/>
      <c r="M48" s="50"/>
      <c r="N48" s="50"/>
      <c r="O48" s="50"/>
      <c r="P48" s="50"/>
      <c r="Q48" s="50"/>
      <c r="R48" s="50"/>
      <c r="S48" s="50"/>
      <c r="U48" s="93" t="s">
        <v>1875</v>
      </c>
      <c r="W48" s="50">
        <v>2.0</v>
      </c>
      <c r="X48" s="50">
        <v>2.0</v>
      </c>
      <c r="Y48" s="50">
        <v>2.0</v>
      </c>
      <c r="Z48" s="50">
        <v>2.0</v>
      </c>
      <c r="AA48" s="50">
        <v>2.0</v>
      </c>
      <c r="AB48" s="50">
        <v>2.0</v>
      </c>
      <c r="AC48" s="50">
        <v>2.0</v>
      </c>
      <c r="AD48" s="50" t="s">
        <v>64</v>
      </c>
      <c r="AE48" s="50" t="s">
        <v>64</v>
      </c>
      <c r="AF48" s="50" t="s">
        <v>64</v>
      </c>
      <c r="AG48" s="50"/>
      <c r="AI48" s="90" t="s">
        <v>1881</v>
      </c>
      <c r="AK48" s="50">
        <v>2.0</v>
      </c>
      <c r="AL48" s="50">
        <v>2.0</v>
      </c>
      <c r="AM48" s="50">
        <v>2.0</v>
      </c>
      <c r="AN48" s="50">
        <v>2.0</v>
      </c>
      <c r="AO48" s="50">
        <v>2.0</v>
      </c>
      <c r="AP48" s="50">
        <v>2.0</v>
      </c>
      <c r="AQ48" s="50">
        <v>2.0</v>
      </c>
      <c r="AR48" s="50" t="s">
        <v>64</v>
      </c>
      <c r="AS48" s="50" t="s">
        <v>64</v>
      </c>
      <c r="AT48" s="50" t="s">
        <v>64</v>
      </c>
      <c r="AU48" s="50"/>
      <c r="AY48" s="50"/>
      <c r="AZ48" s="50"/>
      <c r="BA48" s="50"/>
      <c r="BB48" s="50"/>
      <c r="BC48" s="50"/>
      <c r="BD48" s="50"/>
      <c r="BE48" s="50"/>
      <c r="BF48" s="50"/>
      <c r="BG48" s="50"/>
      <c r="BH48" s="50"/>
      <c r="BI48" s="50"/>
      <c r="BK48" s="91" t="s">
        <v>1884</v>
      </c>
      <c r="BM48" s="50">
        <v>2.0</v>
      </c>
      <c r="BN48" s="50">
        <v>2.0</v>
      </c>
      <c r="BO48" s="50">
        <v>2.0</v>
      </c>
      <c r="BP48" s="50">
        <v>2.0</v>
      </c>
      <c r="BQ48" s="50">
        <v>2.0</v>
      </c>
      <c r="BR48" s="50">
        <v>2.0</v>
      </c>
      <c r="BS48" s="50">
        <v>2.0</v>
      </c>
      <c r="BT48" s="50" t="s">
        <v>64</v>
      </c>
      <c r="BU48" s="50" t="s">
        <v>64</v>
      </c>
      <c r="BV48" s="50" t="s">
        <v>64</v>
      </c>
      <c r="BW48" s="50"/>
      <c r="BY48" s="53" t="s">
        <v>1885</v>
      </c>
      <c r="CA48" s="50">
        <v>2.0</v>
      </c>
      <c r="CB48" s="50">
        <v>2.0</v>
      </c>
      <c r="CC48" s="50">
        <v>2.0</v>
      </c>
      <c r="CD48" s="50">
        <v>2.0</v>
      </c>
      <c r="CE48" s="50">
        <v>2.0</v>
      </c>
      <c r="CF48" s="50">
        <v>2.0</v>
      </c>
      <c r="CG48" s="50">
        <v>2.0</v>
      </c>
      <c r="CH48" s="50" t="s">
        <v>64</v>
      </c>
      <c r="CI48" s="50" t="s">
        <v>64</v>
      </c>
      <c r="CJ48" s="50" t="s">
        <v>64</v>
      </c>
      <c r="CK48" s="50"/>
      <c r="CO48" s="50"/>
      <c r="CP48" s="50"/>
      <c r="CQ48" s="50"/>
      <c r="CR48" s="50"/>
      <c r="CS48" s="50"/>
      <c r="CT48" s="50"/>
      <c r="CU48" s="50"/>
      <c r="CV48" s="50"/>
      <c r="CW48" s="50"/>
      <c r="CX48" s="50"/>
      <c r="CY48" s="50"/>
      <c r="DA48" s="61" t="s">
        <v>1888</v>
      </c>
      <c r="DC48" s="50">
        <v>2.0</v>
      </c>
      <c r="DD48" s="50">
        <v>1.0</v>
      </c>
      <c r="DE48" s="50">
        <v>2.0</v>
      </c>
      <c r="DF48" s="50">
        <v>2.0</v>
      </c>
      <c r="DG48" s="50">
        <v>2.0</v>
      </c>
      <c r="DH48" s="50">
        <v>1.0</v>
      </c>
      <c r="DI48" s="50">
        <v>2.0</v>
      </c>
      <c r="DJ48" s="50" t="s">
        <v>64</v>
      </c>
      <c r="DK48" s="50" t="s">
        <v>101</v>
      </c>
      <c r="DL48" s="50" t="s">
        <v>64</v>
      </c>
      <c r="DM48" s="50"/>
      <c r="DO48" s="61" t="s">
        <v>1893</v>
      </c>
      <c r="DQ48" s="50">
        <v>2.0</v>
      </c>
      <c r="DR48" s="50">
        <v>1.0</v>
      </c>
      <c r="DS48" s="50">
        <v>2.0</v>
      </c>
      <c r="DT48" s="50">
        <v>2.0</v>
      </c>
      <c r="DU48" s="50">
        <v>2.0</v>
      </c>
      <c r="DV48" s="50">
        <v>1.0</v>
      </c>
      <c r="DW48" s="50">
        <v>2.0</v>
      </c>
      <c r="DX48" s="50" t="s">
        <v>64</v>
      </c>
      <c r="DY48" s="50" t="s">
        <v>101</v>
      </c>
      <c r="DZ48" s="50" t="s">
        <v>64</v>
      </c>
      <c r="EA48" s="50"/>
    </row>
    <row r="49" ht="15.75" customHeight="1">
      <c r="A49" s="11">
        <v>12.0</v>
      </c>
      <c r="B49" s="11" t="s">
        <v>186</v>
      </c>
      <c r="C49" s="11" t="str">
        <f t="array" ref="C49">IFERROR(INDEX(DOCUMENTOS!$E:$E,MATCH($A49,DOCUMENTOS!$A:$A,0)),"")</f>
        <v/>
      </c>
      <c r="D49" s="11" t="str">
        <f t="array" ref="D49">IFERROR(INDEX('BANCO DE PERGUNTAS'!$D:$D,MATCH($B49,'BANCO DE PERGUNTAS'!$A:$A,0)),"")</f>
        <v>Liste as obrigações ou responsabilidades estabelecidas.</v>
      </c>
      <c r="E49" s="11" t="str">
        <f t="array" ref="E49">IFERROR(INDEX('BANCO DE PERGUNTAS'!$B:$B,MATCH($B49,'BANCO DE PERGUNTAS'!$A:$A,0)),"")</f>
        <v>Extração</v>
      </c>
      <c r="F49" s="12">
        <f t="array" ref="F49">IFERROR(INDEX('BANCO DE PERGUNTAS'!$H:$H,MATCH($B49,'BANCO DE PERGUNTAS'!$A:$A,0)),"")</f>
        <v>2</v>
      </c>
      <c r="I49" s="50"/>
      <c r="J49" s="50"/>
      <c r="K49" s="50"/>
      <c r="L49" s="50"/>
      <c r="M49" s="50"/>
      <c r="N49" s="50"/>
      <c r="O49" s="50"/>
      <c r="P49" s="50"/>
      <c r="Q49" s="50"/>
      <c r="R49" s="50"/>
      <c r="S49" s="50"/>
      <c r="U49" s="89" t="s">
        <v>1910</v>
      </c>
      <c r="W49" s="50">
        <v>2.0</v>
      </c>
      <c r="X49" s="50">
        <v>2.0</v>
      </c>
      <c r="Y49" s="50">
        <v>2.0</v>
      </c>
      <c r="Z49" s="50">
        <v>2.0</v>
      </c>
      <c r="AA49" s="50">
        <v>2.0</v>
      </c>
      <c r="AB49" s="50">
        <v>2.0</v>
      </c>
      <c r="AC49" s="50">
        <v>2.0</v>
      </c>
      <c r="AD49" s="50" t="s">
        <v>64</v>
      </c>
      <c r="AE49" s="50" t="s">
        <v>64</v>
      </c>
      <c r="AF49" s="50" t="s">
        <v>64</v>
      </c>
      <c r="AG49" s="50"/>
      <c r="AI49" s="90" t="s">
        <v>1912</v>
      </c>
      <c r="AK49" s="50">
        <v>2.0</v>
      </c>
      <c r="AL49" s="50">
        <v>2.0</v>
      </c>
      <c r="AM49" s="50">
        <v>2.0</v>
      </c>
      <c r="AN49" s="50">
        <v>2.0</v>
      </c>
      <c r="AO49" s="50">
        <v>2.0</v>
      </c>
      <c r="AP49" s="50">
        <v>2.0</v>
      </c>
      <c r="AQ49" s="50">
        <v>2.0</v>
      </c>
      <c r="AR49" s="50" t="s">
        <v>64</v>
      </c>
      <c r="AS49" s="50" t="s">
        <v>64</v>
      </c>
      <c r="AT49" s="50" t="s">
        <v>64</v>
      </c>
      <c r="AU49" s="50"/>
      <c r="AY49" s="50"/>
      <c r="AZ49" s="50"/>
      <c r="BA49" s="50"/>
      <c r="BB49" s="50"/>
      <c r="BC49" s="50"/>
      <c r="BD49" s="50"/>
      <c r="BE49" s="50"/>
      <c r="BF49" s="50"/>
      <c r="BG49" s="50"/>
      <c r="BH49" s="50"/>
      <c r="BI49" s="50"/>
      <c r="BK49" s="91" t="s">
        <v>1913</v>
      </c>
      <c r="BM49" s="50">
        <v>2.0</v>
      </c>
      <c r="BN49" s="50">
        <v>2.0</v>
      </c>
      <c r="BO49" s="50">
        <v>2.0</v>
      </c>
      <c r="BP49" s="50">
        <v>2.0</v>
      </c>
      <c r="BQ49" s="50">
        <v>2.0</v>
      </c>
      <c r="BR49" s="50">
        <v>2.0</v>
      </c>
      <c r="BS49" s="50">
        <v>2.0</v>
      </c>
      <c r="BT49" s="50" t="s">
        <v>64</v>
      </c>
      <c r="BU49" s="50" t="s">
        <v>64</v>
      </c>
      <c r="BV49" s="50" t="s">
        <v>64</v>
      </c>
      <c r="BW49" s="50"/>
      <c r="BY49" s="53" t="s">
        <v>1914</v>
      </c>
      <c r="CA49" s="50">
        <v>2.0</v>
      </c>
      <c r="CB49" s="50">
        <v>2.0</v>
      </c>
      <c r="CC49" s="50">
        <v>2.0</v>
      </c>
      <c r="CD49" s="50">
        <v>2.0</v>
      </c>
      <c r="CE49" s="50">
        <v>2.0</v>
      </c>
      <c r="CF49" s="50">
        <v>2.0</v>
      </c>
      <c r="CG49" s="50">
        <v>2.0</v>
      </c>
      <c r="CH49" s="50" t="s">
        <v>64</v>
      </c>
      <c r="CI49" s="50" t="s">
        <v>64</v>
      </c>
      <c r="CJ49" s="50" t="s">
        <v>64</v>
      </c>
      <c r="CK49" s="50"/>
      <c r="CO49" s="50"/>
      <c r="CP49" s="50"/>
      <c r="CQ49" s="50"/>
      <c r="CR49" s="50"/>
      <c r="CS49" s="50"/>
      <c r="CT49" s="50"/>
      <c r="CU49" s="50"/>
      <c r="CV49" s="50"/>
      <c r="CW49" s="50"/>
      <c r="CX49" s="50"/>
      <c r="CY49" s="50"/>
      <c r="DA49" s="92" t="s">
        <v>1917</v>
      </c>
      <c r="DC49" s="50">
        <v>2.0</v>
      </c>
      <c r="DD49" s="50">
        <v>1.0</v>
      </c>
      <c r="DE49" s="50">
        <v>2.0</v>
      </c>
      <c r="DF49" s="50">
        <v>2.0</v>
      </c>
      <c r="DG49" s="50">
        <v>2.0</v>
      </c>
      <c r="DH49" s="50">
        <v>1.0</v>
      </c>
      <c r="DI49" s="50">
        <v>2.0</v>
      </c>
      <c r="DJ49" s="50" t="s">
        <v>64</v>
      </c>
      <c r="DK49" s="50" t="s">
        <v>101</v>
      </c>
      <c r="DL49" s="50" t="s">
        <v>64</v>
      </c>
      <c r="DM49" s="50"/>
      <c r="DO49" s="61" t="s">
        <v>1918</v>
      </c>
      <c r="DQ49" s="50">
        <v>2.0</v>
      </c>
      <c r="DR49" s="50">
        <v>1.0</v>
      </c>
      <c r="DS49" s="50">
        <v>2.0</v>
      </c>
      <c r="DT49" s="50">
        <v>2.0</v>
      </c>
      <c r="DU49" s="50">
        <v>2.0</v>
      </c>
      <c r="DV49" s="50">
        <v>1.0</v>
      </c>
      <c r="DW49" s="50">
        <v>2.0</v>
      </c>
      <c r="DX49" s="50" t="s">
        <v>64</v>
      </c>
      <c r="DY49" s="50" t="s">
        <v>101</v>
      </c>
      <c r="DZ49" s="50" t="s">
        <v>64</v>
      </c>
      <c r="EA49" s="50"/>
    </row>
    <row r="50" ht="15.75" customHeight="1">
      <c r="A50" s="14">
        <v>12.0</v>
      </c>
      <c r="B50" s="14" t="s">
        <v>190</v>
      </c>
      <c r="C50" s="14" t="str">
        <f t="array" ref="C50">IFERROR(INDEX(DOCUMENTOS!$E:$E,MATCH($A50,DOCUMENTOS!$A:$A,0)),"")</f>
        <v/>
      </c>
      <c r="D50" s="14" t="str">
        <f t="array" ref="D50">IFERROR(INDEX('BANCO DE PERGUNTAS'!$D:$D,MATCH($B50,'BANCO DE PERGUNTAS'!$A:$A,0)),"")</f>
        <v>Explique o significado da cláusula/seção 4.1.4..</v>
      </c>
      <c r="E50" s="14" t="str">
        <f t="array" ref="E50">IFERROR(INDEX('BANCO DE PERGUNTAS'!$B:$B,MATCH($B50,'BANCO DE PERGUNTAS'!$A:$A,0)),"")</f>
        <v>Interpretação</v>
      </c>
      <c r="F50" s="17">
        <f t="array" ref="F50">IFERROR(INDEX('BANCO DE PERGUNTAS'!$H:$H,MATCH($B50,'BANCO DE PERGUNTAS'!$A:$A,0)),"")</f>
        <v>3</v>
      </c>
      <c r="I50" s="50"/>
      <c r="J50" s="50"/>
      <c r="K50" s="50"/>
      <c r="L50" s="50"/>
      <c r="M50" s="50"/>
      <c r="N50" s="50"/>
      <c r="O50" s="50"/>
      <c r="P50" s="50"/>
      <c r="Q50" s="50"/>
      <c r="R50" s="50"/>
      <c r="S50" s="50"/>
      <c r="U50" s="93" t="s">
        <v>1937</v>
      </c>
      <c r="W50" s="50">
        <v>2.0</v>
      </c>
      <c r="X50" s="50">
        <v>2.0</v>
      </c>
      <c r="Y50" s="50">
        <v>2.0</v>
      </c>
      <c r="Z50" s="50">
        <v>2.0</v>
      </c>
      <c r="AA50" s="50">
        <v>2.0</v>
      </c>
      <c r="AB50" s="50">
        <v>2.0</v>
      </c>
      <c r="AC50" s="50">
        <v>2.0</v>
      </c>
      <c r="AD50" s="50" t="s">
        <v>64</v>
      </c>
      <c r="AE50" s="50" t="s">
        <v>64</v>
      </c>
      <c r="AF50" s="50" t="s">
        <v>64</v>
      </c>
      <c r="AG50" s="50"/>
      <c r="AI50" s="90" t="s">
        <v>1938</v>
      </c>
      <c r="AK50" s="50">
        <v>2.0</v>
      </c>
      <c r="AL50" s="50">
        <v>2.0</v>
      </c>
      <c r="AM50" s="50">
        <v>2.0</v>
      </c>
      <c r="AN50" s="50">
        <v>2.0</v>
      </c>
      <c r="AO50" s="50">
        <v>2.0</v>
      </c>
      <c r="AP50" s="50">
        <v>2.0</v>
      </c>
      <c r="AQ50" s="50">
        <v>2.0</v>
      </c>
      <c r="AR50" s="50" t="s">
        <v>64</v>
      </c>
      <c r="AS50" s="50" t="s">
        <v>64</v>
      </c>
      <c r="AT50" s="50" t="s">
        <v>64</v>
      </c>
      <c r="AU50" s="50"/>
      <c r="AY50" s="50"/>
      <c r="AZ50" s="50"/>
      <c r="BA50" s="50"/>
      <c r="BB50" s="50"/>
      <c r="BC50" s="50"/>
      <c r="BD50" s="50"/>
      <c r="BE50" s="50"/>
      <c r="BF50" s="50"/>
      <c r="BG50" s="50"/>
      <c r="BH50" s="50"/>
      <c r="BI50" s="50"/>
      <c r="BK50" s="91" t="s">
        <v>1943</v>
      </c>
      <c r="BM50" s="50">
        <v>2.0</v>
      </c>
      <c r="BN50" s="50">
        <v>2.0</v>
      </c>
      <c r="BO50" s="50">
        <v>2.0</v>
      </c>
      <c r="BP50" s="50">
        <v>2.0</v>
      </c>
      <c r="BQ50" s="50">
        <v>2.0</v>
      </c>
      <c r="BR50" s="50">
        <v>2.0</v>
      </c>
      <c r="BS50" s="50">
        <v>2.0</v>
      </c>
      <c r="BT50" s="50" t="s">
        <v>64</v>
      </c>
      <c r="BU50" s="50" t="s">
        <v>64</v>
      </c>
      <c r="BV50" s="50" t="s">
        <v>64</v>
      </c>
      <c r="BW50" s="50"/>
      <c r="BY50" s="53" t="s">
        <v>1945</v>
      </c>
      <c r="CA50" s="50">
        <v>2.0</v>
      </c>
      <c r="CB50" s="50">
        <v>2.0</v>
      </c>
      <c r="CC50" s="50">
        <v>2.0</v>
      </c>
      <c r="CD50" s="50">
        <v>2.0</v>
      </c>
      <c r="CE50" s="50">
        <v>2.0</v>
      </c>
      <c r="CF50" s="50">
        <v>2.0</v>
      </c>
      <c r="CG50" s="50">
        <v>2.0</v>
      </c>
      <c r="CH50" s="50" t="s">
        <v>64</v>
      </c>
      <c r="CI50" s="50" t="s">
        <v>64</v>
      </c>
      <c r="CJ50" s="50" t="s">
        <v>64</v>
      </c>
      <c r="CK50" s="50"/>
      <c r="CO50" s="50"/>
      <c r="CP50" s="50"/>
      <c r="CQ50" s="50"/>
      <c r="CR50" s="50"/>
      <c r="CS50" s="50"/>
      <c r="CT50" s="50"/>
      <c r="CU50" s="50"/>
      <c r="CV50" s="50"/>
      <c r="CW50" s="50"/>
      <c r="CX50" s="50"/>
      <c r="CY50" s="50"/>
      <c r="DA50" s="61" t="s">
        <v>1946</v>
      </c>
      <c r="DC50" s="50">
        <v>2.0</v>
      </c>
      <c r="DD50" s="50">
        <v>2.0</v>
      </c>
      <c r="DE50" s="50">
        <v>2.0</v>
      </c>
      <c r="DF50" s="50">
        <v>2.0</v>
      </c>
      <c r="DG50" s="50">
        <v>2.0</v>
      </c>
      <c r="DH50" s="50">
        <v>2.0</v>
      </c>
      <c r="DI50" s="50">
        <v>2.0</v>
      </c>
      <c r="DJ50" s="50" t="s">
        <v>64</v>
      </c>
      <c r="DK50" s="50" t="s">
        <v>64</v>
      </c>
      <c r="DL50" s="50" t="s">
        <v>64</v>
      </c>
      <c r="DM50" s="50"/>
      <c r="DO50" s="61" t="s">
        <v>1954</v>
      </c>
      <c r="DQ50" s="50">
        <v>2.0</v>
      </c>
      <c r="DR50" s="50">
        <v>2.0</v>
      </c>
      <c r="DS50" s="50">
        <v>2.0</v>
      </c>
      <c r="DT50" s="50">
        <v>2.0</v>
      </c>
      <c r="DU50" s="50">
        <v>2.0</v>
      </c>
      <c r="DV50" s="50">
        <v>2.0</v>
      </c>
      <c r="DW50" s="50">
        <v>2.0</v>
      </c>
      <c r="DX50" s="50" t="s">
        <v>64</v>
      </c>
      <c r="DY50" s="50" t="s">
        <v>64</v>
      </c>
      <c r="DZ50" s="50" t="s">
        <v>64</v>
      </c>
      <c r="EA50" s="50"/>
    </row>
    <row r="51" ht="15.75" customHeight="1">
      <c r="A51" s="11">
        <v>12.0</v>
      </c>
      <c r="B51" s="11" t="s">
        <v>199</v>
      </c>
      <c r="C51" s="11" t="str">
        <f t="array" ref="C51">IFERROR(INDEX(DOCUMENTOS!$E:$E,MATCH($A51,DOCUMENTOS!$A:$A,0)),"")</f>
        <v/>
      </c>
      <c r="D51" s="11" t="str">
        <f t="array" ref="D51">IFERROR(INDEX('BANCO DE PERGUNTAS'!$D:$D,MATCH($B51,'BANCO DE PERGUNTAS'!$A:$A,0)),"")</f>
        <v>Qual é a finalidade administrativa deste documento?</v>
      </c>
      <c r="E51" s="11" t="str">
        <f t="array" ref="E51">IFERROR(INDEX('BANCO DE PERGUNTAS'!$B:$B,MATCH($B51,'BANCO DE PERGUNTAS'!$A:$A,0)),"")</f>
        <v>Interpretação</v>
      </c>
      <c r="F51" s="12">
        <f t="array" ref="F51">IFERROR(INDEX('BANCO DE PERGUNTAS'!$H:$H,MATCH($B51,'BANCO DE PERGUNTAS'!$A:$A,0)),"")</f>
        <v>3</v>
      </c>
      <c r="I51" s="50"/>
      <c r="J51" s="50"/>
      <c r="K51" s="50"/>
      <c r="L51" s="50"/>
      <c r="M51" s="50"/>
      <c r="N51" s="50"/>
      <c r="O51" s="50"/>
      <c r="P51" s="50"/>
      <c r="Q51" s="50"/>
      <c r="R51" s="50"/>
      <c r="S51" s="50"/>
      <c r="U51" s="89" t="s">
        <v>1960</v>
      </c>
      <c r="W51" s="50">
        <v>2.0</v>
      </c>
      <c r="X51" s="50">
        <v>2.0</v>
      </c>
      <c r="Y51" s="50">
        <v>2.0</v>
      </c>
      <c r="Z51" s="50">
        <v>2.0</v>
      </c>
      <c r="AA51" s="50">
        <v>2.0</v>
      </c>
      <c r="AB51" s="50">
        <v>2.0</v>
      </c>
      <c r="AC51" s="50">
        <v>2.0</v>
      </c>
      <c r="AD51" s="50" t="s">
        <v>64</v>
      </c>
      <c r="AE51" s="50" t="s">
        <v>64</v>
      </c>
      <c r="AF51" s="50" t="s">
        <v>64</v>
      </c>
      <c r="AG51" s="50"/>
      <c r="AI51" s="90" t="s">
        <v>1961</v>
      </c>
      <c r="AK51" s="50">
        <v>2.0</v>
      </c>
      <c r="AL51" s="50">
        <v>2.0</v>
      </c>
      <c r="AM51" s="50">
        <v>2.0</v>
      </c>
      <c r="AN51" s="50">
        <v>2.0</v>
      </c>
      <c r="AO51" s="50">
        <v>2.0</v>
      </c>
      <c r="AP51" s="50">
        <v>2.0</v>
      </c>
      <c r="AQ51" s="50">
        <v>2.0</v>
      </c>
      <c r="AR51" s="50" t="s">
        <v>64</v>
      </c>
      <c r="AS51" s="50" t="s">
        <v>64</v>
      </c>
      <c r="AT51" s="50" t="s">
        <v>64</v>
      </c>
      <c r="AU51" s="50"/>
      <c r="AY51" s="50"/>
      <c r="AZ51" s="50"/>
      <c r="BA51" s="50"/>
      <c r="BB51" s="50"/>
      <c r="BC51" s="50"/>
      <c r="BD51" s="50"/>
      <c r="BE51" s="50"/>
      <c r="BF51" s="50"/>
      <c r="BG51" s="50"/>
      <c r="BH51" s="50"/>
      <c r="BI51" s="50"/>
      <c r="BK51" s="91" t="s">
        <v>1963</v>
      </c>
      <c r="BM51" s="50">
        <v>2.0</v>
      </c>
      <c r="BN51" s="50">
        <v>2.0</v>
      </c>
      <c r="BO51" s="50">
        <v>2.0</v>
      </c>
      <c r="BP51" s="50">
        <v>2.0</v>
      </c>
      <c r="BQ51" s="50">
        <v>2.0</v>
      </c>
      <c r="BR51" s="50">
        <v>2.0</v>
      </c>
      <c r="BS51" s="50">
        <v>2.0</v>
      </c>
      <c r="BT51" s="50" t="s">
        <v>64</v>
      </c>
      <c r="BU51" s="50" t="s">
        <v>64</v>
      </c>
      <c r="BV51" s="50" t="s">
        <v>64</v>
      </c>
      <c r="BW51" s="50"/>
      <c r="BY51" s="53" t="s">
        <v>1965</v>
      </c>
      <c r="CA51" s="50">
        <v>2.0</v>
      </c>
      <c r="CB51" s="50">
        <v>2.0</v>
      </c>
      <c r="CC51" s="50">
        <v>2.0</v>
      </c>
      <c r="CD51" s="50">
        <v>2.0</v>
      </c>
      <c r="CE51" s="50">
        <v>2.0</v>
      </c>
      <c r="CF51" s="50">
        <v>2.0</v>
      </c>
      <c r="CG51" s="50">
        <v>2.0</v>
      </c>
      <c r="CH51" s="50" t="s">
        <v>64</v>
      </c>
      <c r="CI51" s="50" t="s">
        <v>64</v>
      </c>
      <c r="CJ51" s="50" t="s">
        <v>64</v>
      </c>
      <c r="CK51" s="50"/>
      <c r="CO51" s="50"/>
      <c r="CP51" s="50"/>
      <c r="CQ51" s="50"/>
      <c r="CR51" s="50"/>
      <c r="CS51" s="50"/>
      <c r="CT51" s="50"/>
      <c r="CU51" s="50"/>
      <c r="CV51" s="50"/>
      <c r="CW51" s="50"/>
      <c r="CX51" s="50"/>
      <c r="CY51" s="50"/>
      <c r="DA51" s="92" t="s">
        <v>1966</v>
      </c>
      <c r="DC51" s="50">
        <v>2.0</v>
      </c>
      <c r="DD51" s="50">
        <v>2.0</v>
      </c>
      <c r="DE51" s="50">
        <v>2.0</v>
      </c>
      <c r="DF51" s="50">
        <v>2.0</v>
      </c>
      <c r="DG51" s="50">
        <v>2.0</v>
      </c>
      <c r="DH51" s="50">
        <v>2.0</v>
      </c>
      <c r="DI51" s="50">
        <v>2.0</v>
      </c>
      <c r="DJ51" s="50" t="s">
        <v>64</v>
      </c>
      <c r="DK51" s="50" t="s">
        <v>64</v>
      </c>
      <c r="DL51" s="50" t="s">
        <v>64</v>
      </c>
      <c r="DM51" s="50"/>
      <c r="DO51" s="61" t="s">
        <v>1967</v>
      </c>
      <c r="DQ51" s="50">
        <v>2.0</v>
      </c>
      <c r="DR51" s="50">
        <v>2.0</v>
      </c>
      <c r="DS51" s="50">
        <v>2.0</v>
      </c>
      <c r="DT51" s="50">
        <v>2.0</v>
      </c>
      <c r="DU51" s="50">
        <v>2.0</v>
      </c>
      <c r="DV51" s="50">
        <v>1.0</v>
      </c>
      <c r="DW51" s="50">
        <v>2.0</v>
      </c>
      <c r="DX51" s="50" t="s">
        <v>64</v>
      </c>
      <c r="DY51" s="50" t="s">
        <v>64</v>
      </c>
      <c r="DZ51" s="50" t="s">
        <v>64</v>
      </c>
      <c r="EA51" s="50"/>
    </row>
    <row r="52" ht="15.75" customHeight="1">
      <c r="A52" s="14">
        <v>12.0</v>
      </c>
      <c r="B52" s="14" t="s">
        <v>203</v>
      </c>
      <c r="C52" s="14" t="str">
        <f t="array" ref="C52">IFERROR(INDEX(DOCUMENTOS!$E:$E,MATCH($A52,DOCUMENTOS!$A:$A,0)),"")</f>
        <v/>
      </c>
      <c r="D52" s="14" t="str">
        <f t="array" ref="D52">IFERROR(INDEX('BANCO DE PERGUNTAS'!$D:$D,MATCH($B52,'BANCO DE PERGUNTAS'!$A:$A,0)),"")</f>
        <v>Qual consequência decorre da informação estabelecida em 4.11?</v>
      </c>
      <c r="E52" s="14" t="str">
        <f t="array" ref="E52">IFERROR(INDEX('BANCO DE PERGUNTAS'!$B:$B,MATCH($B52,'BANCO DE PERGUNTAS'!$A:$A,0)),"")</f>
        <v>Interpretação</v>
      </c>
      <c r="F52" s="17">
        <f t="array" ref="F52">IFERROR(INDEX('BANCO DE PERGUNTAS'!$H:$H,MATCH($B52,'BANCO DE PERGUNTAS'!$A:$A,0)),"")</f>
        <v>3</v>
      </c>
      <c r="I52" s="50"/>
      <c r="J52" s="50"/>
      <c r="K52" s="50"/>
      <c r="L52" s="50"/>
      <c r="M52" s="50"/>
      <c r="N52" s="50"/>
      <c r="O52" s="50"/>
      <c r="P52" s="50"/>
      <c r="Q52" s="50"/>
      <c r="R52" s="50"/>
      <c r="S52" s="50"/>
      <c r="U52" s="93" t="s">
        <v>1978</v>
      </c>
      <c r="W52" s="50">
        <v>2.0</v>
      </c>
      <c r="X52" s="50">
        <v>2.0</v>
      </c>
      <c r="Y52" s="50">
        <v>2.0</v>
      </c>
      <c r="Z52" s="50">
        <v>2.0</v>
      </c>
      <c r="AA52" s="50">
        <v>2.0</v>
      </c>
      <c r="AB52" s="50">
        <v>2.0</v>
      </c>
      <c r="AC52" s="50">
        <v>2.0</v>
      </c>
      <c r="AD52" s="50" t="s">
        <v>64</v>
      </c>
      <c r="AE52" s="50" t="s">
        <v>64</v>
      </c>
      <c r="AF52" s="50" t="s">
        <v>64</v>
      </c>
      <c r="AG52" s="50"/>
      <c r="AI52" s="90" t="s">
        <v>1979</v>
      </c>
      <c r="AK52" s="50">
        <v>2.0</v>
      </c>
      <c r="AL52" s="50">
        <v>2.0</v>
      </c>
      <c r="AM52" s="50">
        <v>2.0</v>
      </c>
      <c r="AN52" s="50">
        <v>2.0</v>
      </c>
      <c r="AO52" s="50">
        <v>2.0</v>
      </c>
      <c r="AP52" s="50">
        <v>2.0</v>
      </c>
      <c r="AQ52" s="50">
        <v>2.0</v>
      </c>
      <c r="AR52" s="50" t="s">
        <v>64</v>
      </c>
      <c r="AS52" s="50" t="s">
        <v>64</v>
      </c>
      <c r="AT52" s="50" t="s">
        <v>64</v>
      </c>
      <c r="AU52" s="50"/>
      <c r="AY52" s="50"/>
      <c r="AZ52" s="50"/>
      <c r="BA52" s="50"/>
      <c r="BB52" s="50"/>
      <c r="BC52" s="50"/>
      <c r="BD52" s="50"/>
      <c r="BE52" s="50"/>
      <c r="BF52" s="50"/>
      <c r="BG52" s="50"/>
      <c r="BH52" s="50"/>
      <c r="BI52" s="50"/>
      <c r="BK52" s="91" t="s">
        <v>1982</v>
      </c>
      <c r="BM52" s="50">
        <v>2.0</v>
      </c>
      <c r="BN52" s="50">
        <v>2.0</v>
      </c>
      <c r="BO52" s="50">
        <v>2.0</v>
      </c>
      <c r="BP52" s="50">
        <v>2.0</v>
      </c>
      <c r="BQ52" s="50">
        <v>2.0</v>
      </c>
      <c r="BR52" s="50">
        <v>2.0</v>
      </c>
      <c r="BS52" s="50">
        <v>2.0</v>
      </c>
      <c r="BT52" s="50" t="s">
        <v>64</v>
      </c>
      <c r="BU52" s="50" t="s">
        <v>64</v>
      </c>
      <c r="BV52" s="50" t="s">
        <v>64</v>
      </c>
      <c r="BW52" s="50"/>
      <c r="BY52" s="53" t="s">
        <v>1983</v>
      </c>
      <c r="CA52" s="50">
        <v>2.0</v>
      </c>
      <c r="CB52" s="50">
        <v>2.0</v>
      </c>
      <c r="CC52" s="50">
        <v>2.0</v>
      </c>
      <c r="CD52" s="50">
        <v>2.0</v>
      </c>
      <c r="CE52" s="50">
        <v>2.0</v>
      </c>
      <c r="CF52" s="50">
        <v>2.0</v>
      </c>
      <c r="CG52" s="50">
        <v>2.0</v>
      </c>
      <c r="CH52" s="50" t="s">
        <v>64</v>
      </c>
      <c r="CI52" s="50" t="s">
        <v>64</v>
      </c>
      <c r="CJ52" s="50" t="s">
        <v>64</v>
      </c>
      <c r="CK52" s="50"/>
      <c r="CO52" s="50"/>
      <c r="CP52" s="50"/>
      <c r="CQ52" s="50"/>
      <c r="CR52" s="50"/>
      <c r="CS52" s="50"/>
      <c r="CT52" s="50"/>
      <c r="CU52" s="50"/>
      <c r="CV52" s="50"/>
      <c r="CW52" s="50"/>
      <c r="CX52" s="50"/>
      <c r="CY52" s="50"/>
      <c r="DA52" s="61" t="s">
        <v>1984</v>
      </c>
      <c r="DC52" s="50">
        <v>2.0</v>
      </c>
      <c r="DD52" s="50">
        <v>2.0</v>
      </c>
      <c r="DE52" s="50">
        <v>2.0</v>
      </c>
      <c r="DF52" s="50">
        <v>2.0</v>
      </c>
      <c r="DG52" s="50">
        <v>2.0</v>
      </c>
      <c r="DH52" s="50">
        <v>2.0</v>
      </c>
      <c r="DI52" s="50">
        <v>2.0</v>
      </c>
      <c r="DJ52" s="50" t="s">
        <v>64</v>
      </c>
      <c r="DK52" s="50" t="s">
        <v>64</v>
      </c>
      <c r="DL52" s="50" t="s">
        <v>64</v>
      </c>
      <c r="DM52" s="50"/>
      <c r="DO52" s="61" t="s">
        <v>1989</v>
      </c>
      <c r="DQ52" s="50">
        <v>2.0</v>
      </c>
      <c r="DR52" s="50">
        <v>2.0</v>
      </c>
      <c r="DS52" s="50">
        <v>2.0</v>
      </c>
      <c r="DT52" s="50">
        <v>2.0</v>
      </c>
      <c r="DU52" s="50">
        <v>2.0</v>
      </c>
      <c r="DV52" s="50">
        <v>2.0</v>
      </c>
      <c r="DW52" s="50">
        <v>2.0</v>
      </c>
      <c r="DX52" s="50" t="s">
        <v>64</v>
      </c>
      <c r="DY52" s="50" t="s">
        <v>64</v>
      </c>
      <c r="DZ52" s="50" t="s">
        <v>64</v>
      </c>
      <c r="EA52" s="50"/>
    </row>
    <row r="53" ht="15.75" customHeight="1">
      <c r="A53" s="11">
        <v>12.0</v>
      </c>
      <c r="B53" s="11" t="s">
        <v>208</v>
      </c>
      <c r="C53" s="11" t="str">
        <f t="array" ref="C53">IFERROR(INDEX(DOCUMENTOS!$E:$E,MATCH($A53,DOCUMENTOS!$A:$A,0)),"")</f>
        <v/>
      </c>
      <c r="D53" s="11" t="str">
        <f t="array" ref="D53">IFERROR(INDEX('BANCO DE PERGUNTAS'!$D:$D,MATCH($B53,'BANCO DE PERGUNTAS'!$A:$A,0)),"")</f>
        <v>Existem informações aparentemente inconsistentes dentro do documento?</v>
      </c>
      <c r="E53" s="11" t="str">
        <f t="array" ref="E53">IFERROR(INDEX('BANCO DE PERGUNTAS'!$B:$B,MATCH($B53,'BANCO DE PERGUNTAS'!$A:$A,0)),"")</f>
        <v>Identificação de Inconsistências</v>
      </c>
      <c r="F53" s="12">
        <f t="array" ref="F53">IFERROR(INDEX('BANCO DE PERGUNTAS'!$H:$H,MATCH($B53,'BANCO DE PERGUNTAS'!$A:$A,0)),"")</f>
        <v>4</v>
      </c>
      <c r="I53" s="50"/>
      <c r="J53" s="50"/>
      <c r="K53" s="50"/>
      <c r="L53" s="50"/>
      <c r="M53" s="50"/>
      <c r="N53" s="50"/>
      <c r="O53" s="50"/>
      <c r="P53" s="50"/>
      <c r="Q53" s="50"/>
      <c r="R53" s="50"/>
      <c r="S53" s="50"/>
      <c r="U53" s="89" t="s">
        <v>2007</v>
      </c>
      <c r="W53" s="50">
        <v>2.0</v>
      </c>
      <c r="X53" s="50">
        <v>1.0</v>
      </c>
      <c r="Y53" s="50">
        <v>1.0</v>
      </c>
      <c r="Z53" s="50">
        <v>2.0</v>
      </c>
      <c r="AA53" s="50">
        <v>2.0</v>
      </c>
      <c r="AB53" s="50">
        <v>1.0</v>
      </c>
      <c r="AC53" s="50">
        <v>2.0</v>
      </c>
      <c r="AD53" s="50" t="s">
        <v>64</v>
      </c>
      <c r="AE53" s="50" t="s">
        <v>64</v>
      </c>
      <c r="AF53" s="50" t="s">
        <v>64</v>
      </c>
      <c r="AG53" s="50"/>
      <c r="AI53" s="90" t="s">
        <v>2008</v>
      </c>
      <c r="AK53" s="50">
        <v>2.0</v>
      </c>
      <c r="AL53" s="50">
        <v>1.0</v>
      </c>
      <c r="AM53" s="50">
        <v>1.0</v>
      </c>
      <c r="AN53" s="50">
        <v>2.0</v>
      </c>
      <c r="AO53" s="50">
        <v>2.0</v>
      </c>
      <c r="AP53" s="50">
        <v>1.0</v>
      </c>
      <c r="AQ53" s="50">
        <v>2.0</v>
      </c>
      <c r="AR53" s="50" t="s">
        <v>64</v>
      </c>
      <c r="AS53" s="50" t="s">
        <v>64</v>
      </c>
      <c r="AT53" s="50" t="s">
        <v>64</v>
      </c>
      <c r="AU53" s="50"/>
      <c r="AY53" s="50"/>
      <c r="AZ53" s="50"/>
      <c r="BA53" s="50"/>
      <c r="BB53" s="50"/>
      <c r="BC53" s="50"/>
      <c r="BD53" s="50"/>
      <c r="BE53" s="50"/>
      <c r="BF53" s="50"/>
      <c r="BG53" s="50"/>
      <c r="BH53" s="50"/>
      <c r="BI53" s="50"/>
      <c r="BK53" s="91" t="s">
        <v>2009</v>
      </c>
      <c r="BM53" s="50">
        <v>2.0</v>
      </c>
      <c r="BN53" s="50">
        <v>2.0</v>
      </c>
      <c r="BO53" s="50">
        <v>2.0</v>
      </c>
      <c r="BP53" s="50">
        <v>2.0</v>
      </c>
      <c r="BQ53" s="50">
        <v>2.0</v>
      </c>
      <c r="BR53" s="50">
        <v>2.0</v>
      </c>
      <c r="BS53" s="50">
        <v>2.0</v>
      </c>
      <c r="BT53" s="50" t="s">
        <v>64</v>
      </c>
      <c r="BU53" s="50" t="s">
        <v>64</v>
      </c>
      <c r="BV53" s="50" t="s">
        <v>64</v>
      </c>
      <c r="BW53" s="50"/>
      <c r="BY53" s="53" t="s">
        <v>2012</v>
      </c>
      <c r="CA53" s="50">
        <v>2.0</v>
      </c>
      <c r="CB53" s="50">
        <v>2.0</v>
      </c>
      <c r="CC53" s="50">
        <v>2.0</v>
      </c>
      <c r="CD53" s="50">
        <v>2.0</v>
      </c>
      <c r="CE53" s="50">
        <v>2.0</v>
      </c>
      <c r="CF53" s="50">
        <v>2.0</v>
      </c>
      <c r="CG53" s="50">
        <v>2.0</v>
      </c>
      <c r="CH53" s="50" t="s">
        <v>64</v>
      </c>
      <c r="CI53" s="50" t="s">
        <v>64</v>
      </c>
      <c r="CJ53" s="50" t="s">
        <v>64</v>
      </c>
      <c r="CK53" s="50"/>
      <c r="CO53" s="50"/>
      <c r="CP53" s="50"/>
      <c r="CQ53" s="50"/>
      <c r="CR53" s="50"/>
      <c r="CS53" s="50"/>
      <c r="CT53" s="50"/>
      <c r="CU53" s="50"/>
      <c r="CV53" s="50"/>
      <c r="CW53" s="50"/>
      <c r="CX53" s="50"/>
      <c r="CY53" s="50"/>
      <c r="DA53" s="92" t="s">
        <v>2013</v>
      </c>
      <c r="DC53" s="50">
        <v>2.0</v>
      </c>
      <c r="DD53" s="50">
        <v>1.0</v>
      </c>
      <c r="DE53" s="50">
        <v>1.0</v>
      </c>
      <c r="DF53" s="50">
        <v>2.0</v>
      </c>
      <c r="DG53" s="50">
        <v>2.0</v>
      </c>
      <c r="DH53" s="50">
        <v>1.0</v>
      </c>
      <c r="DI53" s="50">
        <v>2.0</v>
      </c>
      <c r="DJ53" s="50" t="s">
        <v>64</v>
      </c>
      <c r="DK53" s="50" t="s">
        <v>64</v>
      </c>
      <c r="DL53" s="50" t="s">
        <v>64</v>
      </c>
      <c r="DM53" s="50"/>
      <c r="DO53" s="61" t="s">
        <v>2014</v>
      </c>
      <c r="DQ53" s="50">
        <v>1.0</v>
      </c>
      <c r="DR53" s="50">
        <v>1.0</v>
      </c>
      <c r="DS53" s="50">
        <v>1.0</v>
      </c>
      <c r="DT53" s="50">
        <v>2.0</v>
      </c>
      <c r="DU53" s="50">
        <v>2.0</v>
      </c>
      <c r="DV53" s="50">
        <v>1.0</v>
      </c>
      <c r="DW53" s="50">
        <v>2.0</v>
      </c>
      <c r="DX53" s="50" t="s">
        <v>64</v>
      </c>
      <c r="DY53" s="50" t="s">
        <v>64</v>
      </c>
      <c r="DZ53" s="50" t="s">
        <v>64</v>
      </c>
      <c r="EA53" s="50"/>
    </row>
    <row r="54" ht="15.75" customHeight="1">
      <c r="A54" s="14">
        <v>12.0</v>
      </c>
      <c r="B54" s="14" t="s">
        <v>215</v>
      </c>
      <c r="C54" s="14" t="str">
        <f t="array" ref="C54">IFERROR(INDEX(DOCUMENTOS!$E:$E,MATCH($A54,DOCUMENTOS!$A:$A,0)),"")</f>
        <v/>
      </c>
      <c r="D54" s="14" t="str">
        <f t="array" ref="D54">IFERROR(INDEX('BANCO DE PERGUNTAS'!$D:$D,MATCH($B54,'BANCO DE PERGUNTAS'!$A:$A,0)),"")</f>
        <v>Existem valores, datas, números ou informações aparentemente incompatíveis?</v>
      </c>
      <c r="E54" s="14" t="str">
        <f t="array" ref="E54">IFERROR(INDEX('BANCO DE PERGUNTAS'!$B:$B,MATCH($B54,'BANCO DE PERGUNTAS'!$A:$A,0)),"")</f>
        <v>Identificação de Inconsistências</v>
      </c>
      <c r="F54" s="17">
        <f t="array" ref="F54">IFERROR(INDEX('BANCO DE PERGUNTAS'!$H:$H,MATCH($B54,'BANCO DE PERGUNTAS'!$A:$A,0)),"")</f>
        <v>4</v>
      </c>
      <c r="I54" s="50"/>
      <c r="J54" s="50"/>
      <c r="K54" s="50"/>
      <c r="L54" s="50"/>
      <c r="M54" s="50"/>
      <c r="N54" s="50"/>
      <c r="O54" s="50"/>
      <c r="P54" s="50"/>
      <c r="Q54" s="50"/>
      <c r="R54" s="50"/>
      <c r="S54" s="50"/>
      <c r="U54" s="93" t="s">
        <v>2026</v>
      </c>
      <c r="W54" s="50">
        <v>2.0</v>
      </c>
      <c r="X54" s="50">
        <v>2.0</v>
      </c>
      <c r="Y54" s="50">
        <v>2.0</v>
      </c>
      <c r="Z54" s="50">
        <v>2.0</v>
      </c>
      <c r="AA54" s="50">
        <v>2.0</v>
      </c>
      <c r="AB54" s="50">
        <v>2.0</v>
      </c>
      <c r="AC54" s="50">
        <v>2.0</v>
      </c>
      <c r="AD54" s="50" t="s">
        <v>64</v>
      </c>
      <c r="AE54" s="50" t="s">
        <v>64</v>
      </c>
      <c r="AF54" s="50" t="s">
        <v>64</v>
      </c>
      <c r="AG54" s="50"/>
      <c r="AI54" s="90" t="s">
        <v>2030</v>
      </c>
      <c r="AK54" s="50">
        <v>2.0</v>
      </c>
      <c r="AL54" s="50">
        <v>1.0</v>
      </c>
      <c r="AM54" s="50">
        <v>1.0</v>
      </c>
      <c r="AN54" s="50">
        <v>2.0</v>
      </c>
      <c r="AO54" s="50">
        <v>2.0</v>
      </c>
      <c r="AP54" s="50">
        <v>1.0</v>
      </c>
      <c r="AQ54" s="50">
        <v>2.0</v>
      </c>
      <c r="AR54" s="50" t="s">
        <v>64</v>
      </c>
      <c r="AS54" s="50" t="s">
        <v>64</v>
      </c>
      <c r="AT54" s="50" t="s">
        <v>64</v>
      </c>
      <c r="AU54" s="50"/>
      <c r="AY54" s="50"/>
      <c r="AZ54" s="50"/>
      <c r="BA54" s="50"/>
      <c r="BB54" s="50"/>
      <c r="BC54" s="50"/>
      <c r="BD54" s="50"/>
      <c r="BE54" s="50"/>
      <c r="BF54" s="50"/>
      <c r="BG54" s="50"/>
      <c r="BH54" s="50"/>
      <c r="BI54" s="50"/>
      <c r="BK54" s="91" t="s">
        <v>2031</v>
      </c>
      <c r="BM54" s="50">
        <v>2.0</v>
      </c>
      <c r="BN54" s="50">
        <v>2.0</v>
      </c>
      <c r="BO54" s="50">
        <v>2.0</v>
      </c>
      <c r="BP54" s="50">
        <v>2.0</v>
      </c>
      <c r="BQ54" s="50">
        <v>2.0</v>
      </c>
      <c r="BR54" s="50">
        <v>2.0</v>
      </c>
      <c r="BS54" s="50">
        <v>2.0</v>
      </c>
      <c r="BT54" s="50" t="s">
        <v>64</v>
      </c>
      <c r="BU54" s="50" t="s">
        <v>64</v>
      </c>
      <c r="BV54" s="50" t="s">
        <v>64</v>
      </c>
      <c r="BW54" s="50"/>
      <c r="BY54" s="53" t="s">
        <v>2032</v>
      </c>
      <c r="CA54" s="50">
        <v>2.0</v>
      </c>
      <c r="CB54" s="50">
        <v>2.0</v>
      </c>
      <c r="CC54" s="50">
        <v>2.0</v>
      </c>
      <c r="CD54" s="50">
        <v>2.0</v>
      </c>
      <c r="CE54" s="50">
        <v>2.0</v>
      </c>
      <c r="CF54" s="50">
        <v>2.0</v>
      </c>
      <c r="CG54" s="50">
        <v>2.0</v>
      </c>
      <c r="CH54" s="50" t="s">
        <v>64</v>
      </c>
      <c r="CI54" s="50" t="s">
        <v>64</v>
      </c>
      <c r="CJ54" s="50" t="s">
        <v>64</v>
      </c>
      <c r="CK54" s="50"/>
      <c r="CO54" s="50"/>
      <c r="CP54" s="50"/>
      <c r="CQ54" s="50"/>
      <c r="CR54" s="50"/>
      <c r="CS54" s="50"/>
      <c r="CT54" s="50"/>
      <c r="CU54" s="50"/>
      <c r="CV54" s="50"/>
      <c r="CW54" s="50"/>
      <c r="CX54" s="50"/>
      <c r="CY54" s="50"/>
      <c r="DA54" s="61" t="s">
        <v>2038</v>
      </c>
      <c r="DC54" s="50">
        <v>2.0</v>
      </c>
      <c r="DD54" s="50">
        <v>2.0</v>
      </c>
      <c r="DE54" s="50">
        <v>2.0</v>
      </c>
      <c r="DF54" s="50">
        <v>2.0</v>
      </c>
      <c r="DG54" s="50">
        <v>2.0</v>
      </c>
      <c r="DH54" s="50">
        <v>2.0</v>
      </c>
      <c r="DI54" s="50">
        <v>2.0</v>
      </c>
      <c r="DJ54" s="50" t="s">
        <v>64</v>
      </c>
      <c r="DK54" s="50" t="s">
        <v>64</v>
      </c>
      <c r="DL54" s="50" t="s">
        <v>64</v>
      </c>
      <c r="DM54" s="50"/>
      <c r="DO54" s="61" t="s">
        <v>2039</v>
      </c>
      <c r="DQ54" s="50">
        <v>2.0</v>
      </c>
      <c r="DR54" s="50">
        <v>1.0</v>
      </c>
      <c r="DS54" s="50">
        <v>1.0</v>
      </c>
      <c r="DT54" s="50">
        <v>2.0</v>
      </c>
      <c r="DU54" s="50">
        <v>2.0</v>
      </c>
      <c r="DV54" s="50">
        <v>1.0</v>
      </c>
      <c r="DW54" s="50">
        <v>2.0</v>
      </c>
      <c r="DX54" s="50" t="s">
        <v>64</v>
      </c>
      <c r="DY54" s="50" t="s">
        <v>64</v>
      </c>
      <c r="DZ54" s="50" t="s">
        <v>64</v>
      </c>
      <c r="EA54" s="50"/>
    </row>
    <row r="55" ht="15.75" customHeight="1">
      <c r="A55" s="11">
        <v>12.0</v>
      </c>
      <c r="B55" s="11" t="s">
        <v>219</v>
      </c>
      <c r="C55" s="11" t="str">
        <f t="array" ref="C55">IFERROR(INDEX(DOCUMENTOS!$E:$E,MATCH($A55,DOCUMENTOS!$A:$A,0)),"")</f>
        <v/>
      </c>
      <c r="D55" s="11" t="str">
        <f t="array" ref="D55">IFERROR(INDEX('BANCO DE PERGUNTAS'!$D:$D,MATCH($B55,'BANCO DE PERGUNTAS'!$A:$A,0)),"")</f>
        <v>Existem informações relevantes ausentes?</v>
      </c>
      <c r="E55" s="11" t="str">
        <f t="array" ref="E55">IFERROR(INDEX('BANCO DE PERGUNTAS'!$B:$B,MATCH($B55,'BANCO DE PERGUNTAS'!$A:$A,0)),"")</f>
        <v>Identificação de Omissões</v>
      </c>
      <c r="F55" s="12">
        <f t="array" ref="F55">IFERROR(INDEX('BANCO DE PERGUNTAS'!$H:$H,MATCH($B55,'BANCO DE PERGUNTAS'!$A:$A,0)),"")</f>
        <v>4</v>
      </c>
      <c r="I55" s="50"/>
      <c r="J55" s="50"/>
      <c r="K55" s="50"/>
      <c r="L55" s="50"/>
      <c r="M55" s="50"/>
      <c r="N55" s="50"/>
      <c r="O55" s="50"/>
      <c r="P55" s="50"/>
      <c r="Q55" s="50"/>
      <c r="R55" s="50"/>
      <c r="S55" s="50"/>
      <c r="U55" s="89" t="s">
        <v>2055</v>
      </c>
      <c r="W55" s="50">
        <v>2.0</v>
      </c>
      <c r="X55" s="50">
        <v>2.0</v>
      </c>
      <c r="Y55" s="50">
        <v>2.0</v>
      </c>
      <c r="Z55" s="50">
        <v>2.0</v>
      </c>
      <c r="AA55" s="50">
        <v>2.0</v>
      </c>
      <c r="AB55" s="50">
        <v>2.0</v>
      </c>
      <c r="AC55" s="50">
        <v>2.0</v>
      </c>
      <c r="AD55" s="50" t="s">
        <v>64</v>
      </c>
      <c r="AE55" s="50" t="s">
        <v>64</v>
      </c>
      <c r="AF55" s="50" t="s">
        <v>64</v>
      </c>
      <c r="AG55" s="50"/>
      <c r="AI55" s="90" t="s">
        <v>2056</v>
      </c>
      <c r="AK55" s="50">
        <v>2.0</v>
      </c>
      <c r="AL55" s="50">
        <v>1.0</v>
      </c>
      <c r="AM55" s="50">
        <v>1.0</v>
      </c>
      <c r="AN55" s="50">
        <v>2.0</v>
      </c>
      <c r="AO55" s="50">
        <v>2.0</v>
      </c>
      <c r="AP55" s="50">
        <v>1.0</v>
      </c>
      <c r="AQ55" s="50">
        <v>2.0</v>
      </c>
      <c r="AR55" s="50" t="s">
        <v>64</v>
      </c>
      <c r="AS55" s="50" t="s">
        <v>64</v>
      </c>
      <c r="AT55" s="50" t="s">
        <v>64</v>
      </c>
      <c r="AU55" s="50"/>
      <c r="AY55" s="50"/>
      <c r="AZ55" s="50"/>
      <c r="BA55" s="50"/>
      <c r="BB55" s="50"/>
      <c r="BC55" s="50"/>
      <c r="BD55" s="50"/>
      <c r="BE55" s="50"/>
      <c r="BF55" s="50"/>
      <c r="BG55" s="50"/>
      <c r="BH55" s="50"/>
      <c r="BI55" s="50"/>
      <c r="BK55" s="91" t="s">
        <v>2059</v>
      </c>
      <c r="BM55" s="50">
        <v>2.0</v>
      </c>
      <c r="BN55" s="50">
        <v>2.0</v>
      </c>
      <c r="BO55" s="50">
        <v>2.0</v>
      </c>
      <c r="BP55" s="50">
        <v>2.0</v>
      </c>
      <c r="BQ55" s="50">
        <v>2.0</v>
      </c>
      <c r="BR55" s="50">
        <v>2.0</v>
      </c>
      <c r="BS55" s="50">
        <v>2.0</v>
      </c>
      <c r="BT55" s="50" t="s">
        <v>64</v>
      </c>
      <c r="BU55" s="50" t="s">
        <v>64</v>
      </c>
      <c r="BV55" s="50" t="s">
        <v>64</v>
      </c>
      <c r="BW55" s="50"/>
      <c r="BY55" s="53" t="s">
        <v>2060</v>
      </c>
      <c r="CA55" s="50">
        <v>2.0</v>
      </c>
      <c r="CB55" s="50">
        <v>2.0</v>
      </c>
      <c r="CC55" s="50">
        <v>2.0</v>
      </c>
      <c r="CD55" s="50">
        <v>2.0</v>
      </c>
      <c r="CE55" s="50">
        <v>2.0</v>
      </c>
      <c r="CF55" s="50">
        <v>2.0</v>
      </c>
      <c r="CG55" s="50">
        <v>2.0</v>
      </c>
      <c r="CH55" s="50" t="s">
        <v>64</v>
      </c>
      <c r="CI55" s="50" t="s">
        <v>64</v>
      </c>
      <c r="CJ55" s="50" t="s">
        <v>64</v>
      </c>
      <c r="CK55" s="50"/>
      <c r="CO55" s="50"/>
      <c r="CP55" s="50"/>
      <c r="CQ55" s="50"/>
      <c r="CR55" s="50"/>
      <c r="CS55" s="50"/>
      <c r="CT55" s="50"/>
      <c r="CU55" s="50"/>
      <c r="CV55" s="50"/>
      <c r="CW55" s="50"/>
      <c r="CX55" s="50"/>
      <c r="CY55" s="50"/>
      <c r="DA55" s="92" t="s">
        <v>2064</v>
      </c>
      <c r="DC55" s="50">
        <v>2.0</v>
      </c>
      <c r="DD55" s="50">
        <v>1.0</v>
      </c>
      <c r="DE55" s="50">
        <v>2.0</v>
      </c>
      <c r="DF55" s="50">
        <v>2.0</v>
      </c>
      <c r="DG55" s="50">
        <v>2.0</v>
      </c>
      <c r="DH55" s="50">
        <v>1.0</v>
      </c>
      <c r="DI55" s="50">
        <v>2.0</v>
      </c>
      <c r="DJ55" s="50" t="s">
        <v>64</v>
      </c>
      <c r="DK55" s="50" t="s">
        <v>64</v>
      </c>
      <c r="DL55" s="50" t="s">
        <v>64</v>
      </c>
      <c r="DM55" s="50"/>
      <c r="DO55" s="61" t="s">
        <v>2067</v>
      </c>
      <c r="DQ55" s="50">
        <v>1.0</v>
      </c>
      <c r="DR55" s="50">
        <v>1.0</v>
      </c>
      <c r="DS55" s="50">
        <v>1.0</v>
      </c>
      <c r="DT55" s="50">
        <v>2.0</v>
      </c>
      <c r="DU55" s="50">
        <v>2.0</v>
      </c>
      <c r="DV55" s="50">
        <v>1.0</v>
      </c>
      <c r="DW55" s="50">
        <v>2.0</v>
      </c>
      <c r="DX55" s="50" t="s">
        <v>64</v>
      </c>
      <c r="DY55" s="50" t="s">
        <v>64</v>
      </c>
      <c r="DZ55" s="50" t="s">
        <v>64</v>
      </c>
      <c r="EA55" s="50"/>
    </row>
    <row r="56" ht="15.75" customHeight="1">
      <c r="A56" s="14">
        <v>12.0</v>
      </c>
      <c r="B56" s="14" t="s">
        <v>226</v>
      </c>
      <c r="C56" s="14" t="str">
        <f t="array" ref="C56">IFERROR(INDEX(DOCUMENTOS!$E:$E,MATCH($A56,DOCUMENTOS!$A:$A,0)),"")</f>
        <v/>
      </c>
      <c r="D56" s="14" t="str">
        <f t="array" ref="D56">IFERROR(INDEX('BANCO DE PERGUNTAS'!$D:$D,MATCH($B56,'BANCO DE PERGUNTAS'!$A:$A,0)),"")</f>
        <v>Identifique possíveis erros materiais no documento.</v>
      </c>
      <c r="E56" s="14" t="str">
        <f t="array" ref="E56">IFERROR(INDEX('BANCO DE PERGUNTAS'!$B:$B,MATCH($B56,'BANCO DE PERGUNTAS'!$A:$A,0)),"")</f>
        <v>Detecção de Erros</v>
      </c>
      <c r="F56" s="17">
        <f t="array" ref="F56">IFERROR(INDEX('BANCO DE PERGUNTAS'!$H:$H,MATCH($B56,'BANCO DE PERGUNTAS'!$A:$A,0)),"")</f>
        <v>4</v>
      </c>
      <c r="I56" s="50"/>
      <c r="J56" s="50"/>
      <c r="K56" s="50"/>
      <c r="L56" s="50"/>
      <c r="M56" s="50"/>
      <c r="N56" s="50"/>
      <c r="O56" s="50"/>
      <c r="P56" s="50"/>
      <c r="Q56" s="50"/>
      <c r="R56" s="50"/>
      <c r="S56" s="50"/>
      <c r="U56" s="93" t="s">
        <v>2082</v>
      </c>
      <c r="W56" s="50">
        <v>2.0</v>
      </c>
      <c r="X56" s="50">
        <v>2.0</v>
      </c>
      <c r="Y56" s="50">
        <v>2.0</v>
      </c>
      <c r="Z56" s="50">
        <v>2.0</v>
      </c>
      <c r="AA56" s="50">
        <v>2.0</v>
      </c>
      <c r="AB56" s="50">
        <v>2.0</v>
      </c>
      <c r="AC56" s="50">
        <v>2.0</v>
      </c>
      <c r="AD56" s="50" t="s">
        <v>64</v>
      </c>
      <c r="AE56" s="50" t="s">
        <v>64</v>
      </c>
      <c r="AF56" s="50" t="s">
        <v>64</v>
      </c>
      <c r="AG56" s="50"/>
      <c r="AI56" s="90" t="s">
        <v>2083</v>
      </c>
      <c r="AK56" s="50">
        <v>1.0</v>
      </c>
      <c r="AL56" s="50">
        <v>1.0</v>
      </c>
      <c r="AM56" s="50">
        <v>1.0</v>
      </c>
      <c r="AN56" s="50">
        <v>2.0</v>
      </c>
      <c r="AO56" s="50">
        <v>2.0</v>
      </c>
      <c r="AP56" s="50">
        <v>1.0</v>
      </c>
      <c r="AQ56" s="50">
        <v>2.0</v>
      </c>
      <c r="AR56" s="50" t="s">
        <v>64</v>
      </c>
      <c r="AS56" s="50" t="s">
        <v>64</v>
      </c>
      <c r="AT56" s="50" t="s">
        <v>64</v>
      </c>
      <c r="AU56" s="50"/>
      <c r="AY56" s="50"/>
      <c r="AZ56" s="50"/>
      <c r="BA56" s="50"/>
      <c r="BB56" s="50"/>
      <c r="BC56" s="50"/>
      <c r="BD56" s="50"/>
      <c r="BE56" s="50"/>
      <c r="BF56" s="50"/>
      <c r="BG56" s="50"/>
      <c r="BH56" s="50"/>
      <c r="BI56" s="50"/>
      <c r="BK56" s="91" t="s">
        <v>2087</v>
      </c>
      <c r="BM56" s="50">
        <v>2.0</v>
      </c>
      <c r="BN56" s="50">
        <v>1.0</v>
      </c>
      <c r="BO56" s="50">
        <v>1.0</v>
      </c>
      <c r="BP56" s="50">
        <v>2.0</v>
      </c>
      <c r="BQ56" s="50">
        <v>2.0</v>
      </c>
      <c r="BR56" s="50">
        <v>1.0</v>
      </c>
      <c r="BS56" s="50">
        <v>2.0</v>
      </c>
      <c r="BT56" s="50" t="s">
        <v>64</v>
      </c>
      <c r="BU56" s="50" t="s">
        <v>64</v>
      </c>
      <c r="BV56" s="50" t="s">
        <v>64</v>
      </c>
      <c r="BW56" s="50"/>
      <c r="BY56" s="53" t="s">
        <v>2088</v>
      </c>
      <c r="CA56" s="50">
        <v>2.0</v>
      </c>
      <c r="CB56" s="50">
        <v>2.0</v>
      </c>
      <c r="CC56" s="50">
        <v>2.0</v>
      </c>
      <c r="CD56" s="50">
        <v>2.0</v>
      </c>
      <c r="CE56" s="50">
        <v>2.0</v>
      </c>
      <c r="CF56" s="50">
        <v>2.0</v>
      </c>
      <c r="CG56" s="50">
        <v>2.0</v>
      </c>
      <c r="CH56" s="50" t="s">
        <v>64</v>
      </c>
      <c r="CI56" s="50" t="s">
        <v>64</v>
      </c>
      <c r="CJ56" s="50" t="s">
        <v>64</v>
      </c>
      <c r="CK56" s="50"/>
      <c r="CO56" s="50"/>
      <c r="CP56" s="50"/>
      <c r="CQ56" s="50"/>
      <c r="CR56" s="50"/>
      <c r="CS56" s="50"/>
      <c r="CT56" s="50"/>
      <c r="CU56" s="50"/>
      <c r="CV56" s="50"/>
      <c r="CW56" s="50"/>
      <c r="CX56" s="50"/>
      <c r="CY56" s="50"/>
      <c r="DA56" s="61" t="s">
        <v>2089</v>
      </c>
      <c r="DC56" s="50">
        <v>1.0</v>
      </c>
      <c r="DD56" s="50">
        <v>1.0</v>
      </c>
      <c r="DE56" s="50">
        <v>1.0</v>
      </c>
      <c r="DF56" s="50">
        <v>2.0</v>
      </c>
      <c r="DG56" s="50">
        <v>2.0</v>
      </c>
      <c r="DH56" s="50">
        <v>1.0</v>
      </c>
      <c r="DI56" s="50">
        <v>2.0</v>
      </c>
      <c r="DJ56" s="50" t="s">
        <v>64</v>
      </c>
      <c r="DK56" s="50" t="s">
        <v>64</v>
      </c>
      <c r="DL56" s="50" t="s">
        <v>101</v>
      </c>
      <c r="DM56" s="50" t="s">
        <v>328</v>
      </c>
      <c r="DO56" s="61" t="s">
        <v>2091</v>
      </c>
      <c r="DQ56" s="50">
        <v>1.0</v>
      </c>
      <c r="DR56" s="50">
        <v>1.0</v>
      </c>
      <c r="DS56" s="50">
        <v>1.0</v>
      </c>
      <c r="DT56" s="50">
        <v>2.0</v>
      </c>
      <c r="DU56" s="50">
        <v>2.0</v>
      </c>
      <c r="DV56" s="50">
        <v>1.0</v>
      </c>
      <c r="DW56" s="50">
        <v>2.0</v>
      </c>
      <c r="DX56" s="50" t="s">
        <v>64</v>
      </c>
      <c r="DY56" s="50" t="s">
        <v>64</v>
      </c>
      <c r="DZ56" s="50" t="s">
        <v>101</v>
      </c>
      <c r="EA56" s="50" t="s">
        <v>328</v>
      </c>
    </row>
    <row r="57" ht="15.75" customHeight="1">
      <c r="A57" s="11">
        <v>12.0</v>
      </c>
      <c r="B57" s="11" t="s">
        <v>232</v>
      </c>
      <c r="C57" s="11" t="str">
        <f t="array" ref="C57">IFERROR(INDEX(DOCUMENTOS!$E:$E,MATCH($A57,DOCUMENTOS!$A:$A,0)),"")</f>
        <v/>
      </c>
      <c r="D57" s="11" t="str">
        <f t="array" ref="D57">IFERROR(INDEX('BANCO DE PERGUNTAS'!$D:$D,MATCH($B57,'BANCO DE PERGUNTAS'!$A:$A,0)),"")</f>
        <v>Existem informações que deveriam ser verificadas por um servidor antes da utilização do documento?</v>
      </c>
      <c r="E57" s="11" t="str">
        <f t="array" ref="E57">IFERROR(INDEX('BANCO DE PERGUNTAS'!$B:$B,MATCH($B57,'BANCO DE PERGUNTAS'!$A:$A,0)),"")</f>
        <v>Análise de Risco</v>
      </c>
      <c r="F57" s="12">
        <f t="array" ref="F57">IFERROR(INDEX('BANCO DE PERGUNTAS'!$H:$H,MATCH($B57,'BANCO DE PERGUNTAS'!$A:$A,0)),"")</f>
        <v>4</v>
      </c>
      <c r="I57" s="50"/>
      <c r="J57" s="50"/>
      <c r="K57" s="50"/>
      <c r="L57" s="50"/>
      <c r="M57" s="50"/>
      <c r="N57" s="50"/>
      <c r="O57" s="50"/>
      <c r="P57" s="50"/>
      <c r="Q57" s="50"/>
      <c r="R57" s="50"/>
      <c r="S57" s="50"/>
      <c r="U57" s="89" t="s">
        <v>2102</v>
      </c>
      <c r="W57" s="50">
        <v>2.0</v>
      </c>
      <c r="X57" s="50">
        <v>2.0</v>
      </c>
      <c r="Y57" s="50">
        <v>2.0</v>
      </c>
      <c r="Z57" s="50">
        <v>2.0</v>
      </c>
      <c r="AA57" s="50">
        <v>2.0</v>
      </c>
      <c r="AB57" s="50">
        <v>2.0</v>
      </c>
      <c r="AC57" s="50">
        <v>2.0</v>
      </c>
      <c r="AD57" s="50" t="s">
        <v>64</v>
      </c>
      <c r="AE57" s="50" t="s">
        <v>64</v>
      </c>
      <c r="AF57" s="50" t="s">
        <v>64</v>
      </c>
      <c r="AG57" s="50"/>
      <c r="AI57" s="90" t="s">
        <v>2103</v>
      </c>
      <c r="AK57" s="50">
        <v>2.0</v>
      </c>
      <c r="AL57" s="50">
        <v>2.0</v>
      </c>
      <c r="AM57" s="50">
        <v>2.0</v>
      </c>
      <c r="AN57" s="50">
        <v>2.0</v>
      </c>
      <c r="AO57" s="50">
        <v>2.0</v>
      </c>
      <c r="AP57" s="50">
        <v>2.0</v>
      </c>
      <c r="AQ57" s="50">
        <v>2.0</v>
      </c>
      <c r="AR57" s="50" t="s">
        <v>64</v>
      </c>
      <c r="AS57" s="50" t="s">
        <v>64</v>
      </c>
      <c r="AT57" s="50" t="s">
        <v>64</v>
      </c>
      <c r="AU57" s="50"/>
      <c r="AY57" s="50"/>
      <c r="AZ57" s="50"/>
      <c r="BA57" s="50"/>
      <c r="BB57" s="50"/>
      <c r="BC57" s="50"/>
      <c r="BD57" s="50"/>
      <c r="BE57" s="50"/>
      <c r="BF57" s="50"/>
      <c r="BG57" s="50"/>
      <c r="BH57" s="50"/>
      <c r="BI57" s="50"/>
      <c r="BK57" s="91" t="s">
        <v>2104</v>
      </c>
      <c r="BM57" s="50">
        <v>2.0</v>
      </c>
      <c r="BN57" s="50">
        <v>2.0</v>
      </c>
      <c r="BO57" s="50">
        <v>2.0</v>
      </c>
      <c r="BP57" s="50">
        <v>2.0</v>
      </c>
      <c r="BQ57" s="50">
        <v>2.0</v>
      </c>
      <c r="BR57" s="50">
        <v>2.0</v>
      </c>
      <c r="BS57" s="50">
        <v>2.0</v>
      </c>
      <c r="BT57" s="50" t="s">
        <v>64</v>
      </c>
      <c r="BU57" s="50" t="s">
        <v>64</v>
      </c>
      <c r="BV57" s="50" t="s">
        <v>64</v>
      </c>
      <c r="BW57" s="50"/>
      <c r="BY57" s="53" t="s">
        <v>2105</v>
      </c>
      <c r="CA57" s="50">
        <v>2.0</v>
      </c>
      <c r="CB57" s="50">
        <v>2.0</v>
      </c>
      <c r="CC57" s="50">
        <v>2.0</v>
      </c>
      <c r="CD57" s="50">
        <v>2.0</v>
      </c>
      <c r="CE57" s="50">
        <v>2.0</v>
      </c>
      <c r="CF57" s="50">
        <v>2.0</v>
      </c>
      <c r="CG57" s="50">
        <v>2.0</v>
      </c>
      <c r="CH57" s="50" t="s">
        <v>64</v>
      </c>
      <c r="CI57" s="50" t="s">
        <v>64</v>
      </c>
      <c r="CJ57" s="50" t="s">
        <v>64</v>
      </c>
      <c r="CK57" s="50"/>
      <c r="CO57" s="50"/>
      <c r="CP57" s="50"/>
      <c r="CQ57" s="50"/>
      <c r="CR57" s="50"/>
      <c r="CS57" s="50"/>
      <c r="CT57" s="50"/>
      <c r="CU57" s="50"/>
      <c r="CV57" s="50"/>
      <c r="CW57" s="50"/>
      <c r="CX57" s="50"/>
      <c r="CY57" s="50"/>
      <c r="DA57" s="92" t="s">
        <v>2112</v>
      </c>
      <c r="DC57" s="50">
        <v>2.0</v>
      </c>
      <c r="DD57" s="50">
        <v>2.0</v>
      </c>
      <c r="DE57" s="50">
        <v>2.0</v>
      </c>
      <c r="DF57" s="50">
        <v>2.0</v>
      </c>
      <c r="DG57" s="50">
        <v>2.0</v>
      </c>
      <c r="DH57" s="50">
        <v>2.0</v>
      </c>
      <c r="DI57" s="50">
        <v>2.0</v>
      </c>
      <c r="DJ57" s="50" t="s">
        <v>64</v>
      </c>
      <c r="DK57" s="50" t="s">
        <v>64</v>
      </c>
      <c r="DL57" s="50" t="s">
        <v>64</v>
      </c>
      <c r="DM57" s="50"/>
      <c r="DO57" s="61" t="s">
        <v>2117</v>
      </c>
      <c r="DQ57" s="50">
        <v>2.0</v>
      </c>
      <c r="DR57" s="50">
        <v>1.0</v>
      </c>
      <c r="DS57" s="50">
        <v>2.0</v>
      </c>
      <c r="DT57" s="50">
        <v>1.0</v>
      </c>
      <c r="DU57" s="50">
        <v>2.0</v>
      </c>
      <c r="DV57" s="50">
        <v>2.0</v>
      </c>
      <c r="DW57" s="50">
        <v>2.0</v>
      </c>
      <c r="DX57" s="50" t="s">
        <v>64</v>
      </c>
      <c r="DY57" s="50" t="s">
        <v>64</v>
      </c>
      <c r="DZ57" s="50" t="s">
        <v>64</v>
      </c>
      <c r="EA57" s="50"/>
    </row>
    <row r="58" ht="15.75" customHeight="1">
      <c r="A58" s="14">
        <v>12.0</v>
      </c>
      <c r="B58" s="14" t="s">
        <v>240</v>
      </c>
      <c r="C58" s="14" t="str">
        <f t="array" ref="C58">IFERROR(INDEX(DOCUMENTOS!$E:$E,MATCH($A58,DOCUMENTOS!$A:$A,0)),"")</f>
        <v/>
      </c>
      <c r="D58" s="14" t="str">
        <f t="array" ref="D58">IFERROR(INDEX('BANCO DE PERGUNTAS'!$D:$D,MATCH($B58,'BANCO DE PERGUNTAS'!$A:$A,0)),"")</f>
        <v>Existem elementos que indiquem possível desconformidade com os próprios requisitos apresentados no documento?</v>
      </c>
      <c r="E58" s="14" t="str">
        <f t="array" ref="E58">IFERROR(INDEX('BANCO DE PERGUNTAS'!$B:$B,MATCH($B58,'BANCO DE PERGUNTAS'!$A:$A,0)),"")</f>
        <v>Conformidade Documental</v>
      </c>
      <c r="F58" s="17">
        <f t="array" ref="F58">IFERROR(INDEX('BANCO DE PERGUNTAS'!$H:$H,MATCH($B58,'BANCO DE PERGUNTAS'!$A:$A,0)),"")</f>
        <v>4</v>
      </c>
      <c r="I58" s="50"/>
      <c r="J58" s="50"/>
      <c r="K58" s="50"/>
      <c r="L58" s="50"/>
      <c r="M58" s="50"/>
      <c r="N58" s="50"/>
      <c r="O58" s="50"/>
      <c r="P58" s="50"/>
      <c r="Q58" s="50"/>
      <c r="R58" s="50"/>
      <c r="S58" s="50"/>
      <c r="U58" s="93" t="s">
        <v>2148</v>
      </c>
      <c r="W58" s="50">
        <v>2.0</v>
      </c>
      <c r="X58" s="50">
        <v>1.0</v>
      </c>
      <c r="Y58" s="50">
        <v>1.0</v>
      </c>
      <c r="Z58" s="50">
        <v>2.0</v>
      </c>
      <c r="AA58" s="50">
        <v>2.0</v>
      </c>
      <c r="AB58" s="50">
        <v>1.0</v>
      </c>
      <c r="AC58" s="50">
        <v>2.0</v>
      </c>
      <c r="AD58" s="50" t="s">
        <v>64</v>
      </c>
      <c r="AE58" s="50" t="s">
        <v>64</v>
      </c>
      <c r="AF58" s="50" t="s">
        <v>64</v>
      </c>
      <c r="AG58" s="50"/>
      <c r="AI58" s="90" t="s">
        <v>2149</v>
      </c>
      <c r="AK58" s="50">
        <v>2.0</v>
      </c>
      <c r="AL58" s="50">
        <v>2.0</v>
      </c>
      <c r="AM58" s="50">
        <v>2.0</v>
      </c>
      <c r="AN58" s="50">
        <v>2.0</v>
      </c>
      <c r="AO58" s="50">
        <v>2.0</v>
      </c>
      <c r="AP58" s="50">
        <v>2.0</v>
      </c>
      <c r="AQ58" s="50">
        <v>2.0</v>
      </c>
      <c r="AR58" s="50" t="s">
        <v>64</v>
      </c>
      <c r="AS58" s="50" t="s">
        <v>64</v>
      </c>
      <c r="AT58" s="50" t="s">
        <v>64</v>
      </c>
      <c r="AU58" s="50"/>
      <c r="AY58" s="50"/>
      <c r="AZ58" s="50"/>
      <c r="BA58" s="50"/>
      <c r="BB58" s="50"/>
      <c r="BC58" s="50"/>
      <c r="BD58" s="50"/>
      <c r="BE58" s="50"/>
      <c r="BF58" s="50"/>
      <c r="BG58" s="50"/>
      <c r="BH58" s="50"/>
      <c r="BI58" s="50"/>
      <c r="BK58" s="91" t="s">
        <v>2160</v>
      </c>
      <c r="BM58" s="50">
        <v>2.0</v>
      </c>
      <c r="BN58" s="50">
        <v>2.0</v>
      </c>
      <c r="BO58" s="50">
        <v>2.0</v>
      </c>
      <c r="BP58" s="50">
        <v>2.0</v>
      </c>
      <c r="BQ58" s="50">
        <v>2.0</v>
      </c>
      <c r="BR58" s="50">
        <v>2.0</v>
      </c>
      <c r="BS58" s="50">
        <v>2.0</v>
      </c>
      <c r="BT58" s="50" t="s">
        <v>64</v>
      </c>
      <c r="BU58" s="50" t="s">
        <v>64</v>
      </c>
      <c r="BV58" s="50" t="s">
        <v>64</v>
      </c>
      <c r="BW58" s="50"/>
      <c r="BY58" s="53" t="s">
        <v>2161</v>
      </c>
      <c r="CA58" s="50">
        <v>2.0</v>
      </c>
      <c r="CB58" s="50">
        <v>2.0</v>
      </c>
      <c r="CC58" s="50">
        <v>2.0</v>
      </c>
      <c r="CD58" s="50">
        <v>2.0</v>
      </c>
      <c r="CE58" s="50">
        <v>2.0</v>
      </c>
      <c r="CF58" s="50">
        <v>2.0</v>
      </c>
      <c r="CG58" s="50">
        <v>2.0</v>
      </c>
      <c r="CH58" s="50" t="s">
        <v>64</v>
      </c>
      <c r="CI58" s="50" t="s">
        <v>64</v>
      </c>
      <c r="CJ58" s="50" t="s">
        <v>64</v>
      </c>
      <c r="CK58" s="50"/>
      <c r="CO58" s="50"/>
      <c r="CP58" s="50"/>
      <c r="CQ58" s="50"/>
      <c r="CR58" s="50"/>
      <c r="CS58" s="50"/>
      <c r="CT58" s="50"/>
      <c r="CU58" s="50"/>
      <c r="CV58" s="50"/>
      <c r="CW58" s="50"/>
      <c r="CX58" s="50"/>
      <c r="CY58" s="50"/>
      <c r="DA58" s="61" t="s">
        <v>2172</v>
      </c>
      <c r="DC58" s="50">
        <v>2.0</v>
      </c>
      <c r="DD58" s="50">
        <v>1.0</v>
      </c>
      <c r="DE58" s="50">
        <v>1.0</v>
      </c>
      <c r="DF58" s="50">
        <v>2.0</v>
      </c>
      <c r="DG58" s="50">
        <v>2.0</v>
      </c>
      <c r="DH58" s="50">
        <v>1.0</v>
      </c>
      <c r="DI58" s="50">
        <v>2.0</v>
      </c>
      <c r="DJ58" s="50" t="s">
        <v>64</v>
      </c>
      <c r="DK58" s="50" t="s">
        <v>64</v>
      </c>
      <c r="DL58" s="50" t="s">
        <v>64</v>
      </c>
      <c r="DM58" s="50"/>
      <c r="DO58" s="61" t="s">
        <v>2174</v>
      </c>
      <c r="DQ58" s="50">
        <v>2.0</v>
      </c>
      <c r="DR58" s="50">
        <v>1.0</v>
      </c>
      <c r="DS58" s="50">
        <v>1.0</v>
      </c>
      <c r="DT58" s="50">
        <v>2.0</v>
      </c>
      <c r="DU58" s="50">
        <v>2.0</v>
      </c>
      <c r="DV58" s="50">
        <v>1.0</v>
      </c>
      <c r="DW58" s="50">
        <v>2.0</v>
      </c>
      <c r="DX58" s="50" t="s">
        <v>64</v>
      </c>
      <c r="DY58" s="50" t="s">
        <v>64</v>
      </c>
      <c r="DZ58" s="50" t="s">
        <v>64</v>
      </c>
      <c r="EA58" s="50"/>
    </row>
    <row r="59" ht="15.75" customHeight="1">
      <c r="A59" s="11">
        <v>12.0</v>
      </c>
      <c r="B59" s="11" t="s">
        <v>247</v>
      </c>
      <c r="C59" s="11" t="str">
        <f t="array" ref="C59">IFERROR(INDEX(DOCUMENTOS!$E:$E,MATCH($A59,DOCUMENTOS!$A:$A,0)),"")</f>
        <v/>
      </c>
      <c r="D59" s="11" t="str">
        <f t="array" ref="D59">IFERROR(INDEX('BANCO DE PERGUNTAS'!$D:$D,MATCH($B59,'BANCO DE PERGUNTAS'!$A:$A,0)),"")</f>
        <v>Quais requisitos estão explicitamente presentes?</v>
      </c>
      <c r="E59" s="11" t="str">
        <f t="array" ref="E59">IFERROR(INDEX('BANCO DE PERGUNTAS'!$B:$B,MATCH($B59,'BANCO DE PERGUNTAS'!$A:$A,0)),"")</f>
        <v>Conformidade Documental</v>
      </c>
      <c r="F59" s="12">
        <f t="array" ref="F59">IFERROR(INDEX('BANCO DE PERGUNTAS'!$H:$H,MATCH($B59,'BANCO DE PERGUNTAS'!$A:$A,0)),"")</f>
        <v>2</v>
      </c>
      <c r="I59" s="50"/>
      <c r="J59" s="50"/>
      <c r="K59" s="50"/>
      <c r="L59" s="50"/>
      <c r="M59" s="50"/>
      <c r="N59" s="50"/>
      <c r="O59" s="50"/>
      <c r="P59" s="50"/>
      <c r="Q59" s="50"/>
      <c r="R59" s="50"/>
      <c r="S59" s="50"/>
      <c r="U59" s="89" t="s">
        <v>2212</v>
      </c>
      <c r="W59" s="50">
        <v>2.0</v>
      </c>
      <c r="X59" s="50">
        <v>2.0</v>
      </c>
      <c r="Y59" s="50">
        <v>2.0</v>
      </c>
      <c r="Z59" s="50">
        <v>2.0</v>
      </c>
      <c r="AA59" s="50">
        <v>2.0</v>
      </c>
      <c r="AB59" s="50">
        <v>2.0</v>
      </c>
      <c r="AC59" s="50">
        <v>2.0</v>
      </c>
      <c r="AD59" s="50" t="s">
        <v>64</v>
      </c>
      <c r="AE59" s="50" t="s">
        <v>64</v>
      </c>
      <c r="AF59" s="50" t="s">
        <v>64</v>
      </c>
      <c r="AG59" s="50"/>
      <c r="AI59" s="90" t="s">
        <v>2213</v>
      </c>
      <c r="AK59" s="50">
        <v>2.0</v>
      </c>
      <c r="AL59" s="50">
        <v>1.0</v>
      </c>
      <c r="AM59" s="50">
        <v>1.0</v>
      </c>
      <c r="AN59" s="50">
        <v>2.0</v>
      </c>
      <c r="AO59" s="50">
        <v>2.0</v>
      </c>
      <c r="AP59" s="50">
        <v>1.0</v>
      </c>
      <c r="AQ59" s="50">
        <v>2.0</v>
      </c>
      <c r="AR59" s="50" t="s">
        <v>64</v>
      </c>
      <c r="AS59" s="50" t="s">
        <v>64</v>
      </c>
      <c r="AT59" s="50" t="s">
        <v>64</v>
      </c>
      <c r="AU59" s="50"/>
      <c r="AY59" s="50"/>
      <c r="AZ59" s="50"/>
      <c r="BA59" s="50"/>
      <c r="BB59" s="50"/>
      <c r="BC59" s="50"/>
      <c r="BD59" s="50"/>
      <c r="BE59" s="50"/>
      <c r="BF59" s="50"/>
      <c r="BG59" s="50"/>
      <c r="BH59" s="50"/>
      <c r="BI59" s="50"/>
      <c r="BK59" s="91" t="s">
        <v>2223</v>
      </c>
      <c r="BM59" s="50">
        <v>2.0</v>
      </c>
      <c r="BN59" s="50">
        <v>1.0</v>
      </c>
      <c r="BO59" s="50">
        <v>1.0</v>
      </c>
      <c r="BP59" s="50">
        <v>2.0</v>
      </c>
      <c r="BQ59" s="50">
        <v>2.0</v>
      </c>
      <c r="BR59" s="50">
        <v>1.0</v>
      </c>
      <c r="BS59" s="50">
        <v>2.0</v>
      </c>
      <c r="BT59" s="50" t="s">
        <v>64</v>
      </c>
      <c r="BU59" s="50" t="s">
        <v>64</v>
      </c>
      <c r="BV59" s="50" t="s">
        <v>64</v>
      </c>
      <c r="BW59" s="50"/>
      <c r="BY59" s="53" t="s">
        <v>2224</v>
      </c>
      <c r="CA59" s="50">
        <v>2.0</v>
      </c>
      <c r="CB59" s="50">
        <v>2.0</v>
      </c>
      <c r="CC59" s="50">
        <v>2.0</v>
      </c>
      <c r="CD59" s="50">
        <v>2.0</v>
      </c>
      <c r="CE59" s="50">
        <v>2.0</v>
      </c>
      <c r="CF59" s="50">
        <v>2.0</v>
      </c>
      <c r="CG59" s="50">
        <v>2.0</v>
      </c>
      <c r="CH59" s="50" t="s">
        <v>64</v>
      </c>
      <c r="CI59" s="50" t="s">
        <v>64</v>
      </c>
      <c r="CJ59" s="50" t="s">
        <v>64</v>
      </c>
      <c r="CK59" s="50"/>
      <c r="CO59" s="50"/>
      <c r="CP59" s="50"/>
      <c r="CQ59" s="50"/>
      <c r="CR59" s="50"/>
      <c r="CS59" s="50"/>
      <c r="CT59" s="50"/>
      <c r="CU59" s="50"/>
      <c r="CV59" s="50"/>
      <c r="CW59" s="50"/>
      <c r="CX59" s="50"/>
      <c r="CY59" s="50"/>
      <c r="DA59" s="92" t="s">
        <v>2225</v>
      </c>
      <c r="DC59" s="50">
        <v>2.0</v>
      </c>
      <c r="DD59" s="50">
        <v>1.0</v>
      </c>
      <c r="DE59" s="50">
        <v>1.0</v>
      </c>
      <c r="DF59" s="50">
        <v>2.0</v>
      </c>
      <c r="DG59" s="50">
        <v>2.0</v>
      </c>
      <c r="DH59" s="50">
        <v>1.0</v>
      </c>
      <c r="DI59" s="50">
        <v>2.0</v>
      </c>
      <c r="DJ59" s="50" t="s">
        <v>64</v>
      </c>
      <c r="DK59" s="50" t="s">
        <v>101</v>
      </c>
      <c r="DL59" s="50" t="s">
        <v>64</v>
      </c>
      <c r="DM59" s="50"/>
      <c r="DO59" s="61" t="s">
        <v>2226</v>
      </c>
      <c r="DQ59" s="50">
        <v>2.0</v>
      </c>
      <c r="DR59" s="50">
        <v>2.0</v>
      </c>
      <c r="DS59" s="50">
        <v>2.0</v>
      </c>
      <c r="DT59" s="50">
        <v>2.0</v>
      </c>
      <c r="DU59" s="50">
        <v>2.0</v>
      </c>
      <c r="DV59" s="50">
        <v>2.0</v>
      </c>
      <c r="DW59" s="50">
        <v>2.0</v>
      </c>
      <c r="DX59" s="50" t="s">
        <v>64</v>
      </c>
      <c r="DY59" s="50" t="s">
        <v>64</v>
      </c>
      <c r="DZ59" s="50" t="s">
        <v>64</v>
      </c>
      <c r="EA59" s="50"/>
    </row>
    <row r="60" ht="15.75" customHeight="1">
      <c r="A60" s="14">
        <v>12.0</v>
      </c>
      <c r="B60" s="14" t="s">
        <v>252</v>
      </c>
      <c r="C60" s="14" t="str">
        <f t="array" ref="C60">IFERROR(INDEX(DOCUMENTOS!$E:$E,MATCH($A60,DOCUMENTOS!$A:$A,0)),"")</f>
        <v/>
      </c>
      <c r="D60" s="14" t="str">
        <f t="array" ref="D60">IFERROR(INDEX('BANCO DE PERGUNTAS'!$D:$D,MATCH($B60,'BANCO DE PERGUNTAS'!$A:$A,0)),"")</f>
        <v>Quais informações necessárias parecem estar ausentes?</v>
      </c>
      <c r="E60" s="14" t="str">
        <f t="array" ref="E60">IFERROR(INDEX('BANCO DE PERGUNTAS'!$B:$B,MATCH($B60,'BANCO DE PERGUNTAS'!$A:$A,0)),"")</f>
        <v>Identificação de Omissões</v>
      </c>
      <c r="F60" s="17">
        <f t="array" ref="F60">IFERROR(INDEX('BANCO DE PERGUNTAS'!$H:$H,MATCH($B60,'BANCO DE PERGUNTAS'!$A:$A,0)),"")</f>
        <v>4</v>
      </c>
      <c r="I60" s="50"/>
      <c r="J60" s="50"/>
      <c r="K60" s="50"/>
      <c r="L60" s="50"/>
      <c r="M60" s="50"/>
      <c r="N60" s="50"/>
      <c r="O60" s="50"/>
      <c r="P60" s="50"/>
      <c r="Q60" s="50"/>
      <c r="R60" s="50"/>
      <c r="S60" s="50"/>
      <c r="U60" s="93" t="s">
        <v>2246</v>
      </c>
      <c r="W60" s="50">
        <v>2.0</v>
      </c>
      <c r="X60" s="50">
        <v>1.0</v>
      </c>
      <c r="Y60" s="50">
        <v>2.0</v>
      </c>
      <c r="Z60" s="50">
        <v>2.0</v>
      </c>
      <c r="AA60" s="50">
        <v>2.0</v>
      </c>
      <c r="AB60" s="50">
        <v>1.0</v>
      </c>
      <c r="AC60" s="50">
        <v>2.0</v>
      </c>
      <c r="AD60" s="50" t="s">
        <v>64</v>
      </c>
      <c r="AE60" s="50" t="s">
        <v>64</v>
      </c>
      <c r="AF60" s="50" t="s">
        <v>64</v>
      </c>
      <c r="AG60" s="50"/>
      <c r="AI60" s="90" t="s">
        <v>2254</v>
      </c>
      <c r="AK60" s="50">
        <v>2.0</v>
      </c>
      <c r="AL60" s="50">
        <v>2.0</v>
      </c>
      <c r="AM60" s="50">
        <v>2.0</v>
      </c>
      <c r="AN60" s="50">
        <v>2.0</v>
      </c>
      <c r="AO60" s="50">
        <v>2.0</v>
      </c>
      <c r="AP60" s="50">
        <v>2.0</v>
      </c>
      <c r="AQ60" s="50">
        <v>2.0</v>
      </c>
      <c r="AR60" s="50" t="s">
        <v>64</v>
      </c>
      <c r="AS60" s="50" t="s">
        <v>64</v>
      </c>
      <c r="AT60" s="50" t="s">
        <v>64</v>
      </c>
      <c r="AU60" s="50"/>
      <c r="AY60" s="50"/>
      <c r="AZ60" s="50"/>
      <c r="BA60" s="50"/>
      <c r="BB60" s="50"/>
      <c r="BC60" s="50"/>
      <c r="BD60" s="50"/>
      <c r="BE60" s="50"/>
      <c r="BF60" s="50"/>
      <c r="BG60" s="50"/>
      <c r="BH60" s="50"/>
      <c r="BI60" s="50"/>
      <c r="BK60" s="91" t="s">
        <v>2257</v>
      </c>
      <c r="BM60" s="50">
        <v>2.0</v>
      </c>
      <c r="BN60" s="50">
        <v>1.0</v>
      </c>
      <c r="BO60" s="50">
        <v>1.0</v>
      </c>
      <c r="BP60" s="50">
        <v>2.0</v>
      </c>
      <c r="BQ60" s="50">
        <v>2.0</v>
      </c>
      <c r="BR60" s="50">
        <v>1.0</v>
      </c>
      <c r="BS60" s="50">
        <v>2.0</v>
      </c>
      <c r="BT60" s="50" t="s">
        <v>64</v>
      </c>
      <c r="BU60" s="50" t="s">
        <v>64</v>
      </c>
      <c r="BV60" s="50" t="s">
        <v>64</v>
      </c>
      <c r="BW60" s="50"/>
      <c r="BY60" s="53" t="s">
        <v>2258</v>
      </c>
      <c r="CA60" s="50">
        <v>2.0</v>
      </c>
      <c r="CB60" s="50">
        <v>2.0</v>
      </c>
      <c r="CC60" s="50">
        <v>2.0</v>
      </c>
      <c r="CD60" s="50">
        <v>2.0</v>
      </c>
      <c r="CE60" s="50">
        <v>2.0</v>
      </c>
      <c r="CF60" s="50">
        <v>2.0</v>
      </c>
      <c r="CG60" s="50">
        <v>2.0</v>
      </c>
      <c r="CH60" s="50" t="s">
        <v>64</v>
      </c>
      <c r="CI60" s="50" t="s">
        <v>64</v>
      </c>
      <c r="CJ60" s="50" t="s">
        <v>64</v>
      </c>
      <c r="CK60" s="50"/>
      <c r="CO60" s="50"/>
      <c r="CP60" s="50"/>
      <c r="CQ60" s="50"/>
      <c r="CR60" s="50"/>
      <c r="CS60" s="50"/>
      <c r="CT60" s="50"/>
      <c r="CU60" s="50"/>
      <c r="CV60" s="50"/>
      <c r="CW60" s="50"/>
      <c r="CX60" s="50"/>
      <c r="CY60" s="50"/>
      <c r="DA60" s="61" t="s">
        <v>2259</v>
      </c>
      <c r="DC60" s="50">
        <v>2.0</v>
      </c>
      <c r="DD60" s="50">
        <v>2.0</v>
      </c>
      <c r="DE60" s="50">
        <v>2.0</v>
      </c>
      <c r="DF60" s="50">
        <v>2.0</v>
      </c>
      <c r="DG60" s="50">
        <v>2.0</v>
      </c>
      <c r="DH60" s="50">
        <v>2.0</v>
      </c>
      <c r="DI60" s="50">
        <v>2.0</v>
      </c>
      <c r="DJ60" s="50" t="s">
        <v>64</v>
      </c>
      <c r="DK60" s="50" t="s">
        <v>64</v>
      </c>
      <c r="DL60" s="50" t="s">
        <v>64</v>
      </c>
      <c r="DM60" s="50"/>
      <c r="DO60" s="61" t="s">
        <v>2263</v>
      </c>
      <c r="DQ60" s="50">
        <v>2.0</v>
      </c>
      <c r="DR60" s="50">
        <v>1.0</v>
      </c>
      <c r="DS60" s="50">
        <v>1.0</v>
      </c>
      <c r="DT60" s="50">
        <v>2.0</v>
      </c>
      <c r="DU60" s="50">
        <v>2.0</v>
      </c>
      <c r="DV60" s="50">
        <v>1.0</v>
      </c>
      <c r="DW60" s="50">
        <v>2.0</v>
      </c>
      <c r="DX60" s="50" t="s">
        <v>64</v>
      </c>
      <c r="DY60" s="50" t="s">
        <v>101</v>
      </c>
      <c r="DZ60" s="50" t="s">
        <v>64</v>
      </c>
      <c r="EA60" s="50"/>
    </row>
    <row r="61" ht="15.75" customHeight="1">
      <c r="A61" s="11">
        <v>12.0</v>
      </c>
      <c r="B61" s="11" t="s">
        <v>257</v>
      </c>
      <c r="C61" s="11" t="str">
        <f t="array" ref="C61">IFERROR(INDEX(DOCUMENTOS!$E:$E,MATCH($A61,DOCUMENTOS!$A:$A,0)),"")</f>
        <v/>
      </c>
      <c r="D61" s="11" t="str">
        <f t="array" ref="D61">IFERROR(INDEX('BANCO DE PERGUNTAS'!$D:$D,MATCH($B61,'BANCO DE PERGUNTAS'!$A:$A,0)),"")</f>
        <v>Existem informações conflitantes com outro documento relacionado?</v>
      </c>
      <c r="E61" s="11" t="str">
        <f t="array" ref="E61">IFERROR(INDEX('BANCO DE PERGUNTAS'!$B:$B,MATCH($B61,'BANCO DE PERGUNTAS'!$A:$A,0)),"")</f>
        <v>Comparação</v>
      </c>
      <c r="F61" s="12">
        <f t="array" ref="F61">IFERROR(INDEX('BANCO DE PERGUNTAS'!$H:$H,MATCH($B61,'BANCO DE PERGUNTAS'!$A:$A,0)),"")</f>
        <v>5</v>
      </c>
      <c r="I61" s="50"/>
      <c r="J61" s="50"/>
      <c r="K61" s="50"/>
      <c r="L61" s="50"/>
      <c r="M61" s="50"/>
      <c r="N61" s="50"/>
      <c r="O61" s="50"/>
      <c r="P61" s="50"/>
      <c r="Q61" s="50"/>
      <c r="R61" s="50"/>
      <c r="S61" s="50"/>
      <c r="U61" s="89" t="s">
        <v>2288</v>
      </c>
      <c r="W61" s="50">
        <v>2.0</v>
      </c>
      <c r="X61" s="50">
        <v>1.0</v>
      </c>
      <c r="Y61" s="50">
        <v>1.0</v>
      </c>
      <c r="Z61" s="50">
        <v>2.0</v>
      </c>
      <c r="AA61" s="50">
        <v>2.0</v>
      </c>
      <c r="AB61" s="50">
        <v>1.0</v>
      </c>
      <c r="AC61" s="50">
        <v>2.0</v>
      </c>
      <c r="AD61" s="50" t="s">
        <v>64</v>
      </c>
      <c r="AE61" s="50" t="s">
        <v>64</v>
      </c>
      <c r="AF61" s="50" t="s">
        <v>101</v>
      </c>
      <c r="AG61" s="50" t="s">
        <v>447</v>
      </c>
      <c r="AI61" s="90" t="s">
        <v>2289</v>
      </c>
      <c r="AK61" s="50">
        <v>2.0</v>
      </c>
      <c r="AL61" s="50">
        <v>1.0</v>
      </c>
      <c r="AM61" s="50">
        <v>1.0</v>
      </c>
      <c r="AN61" s="50">
        <v>2.0</v>
      </c>
      <c r="AO61" s="50">
        <v>2.0</v>
      </c>
      <c r="AP61" s="50">
        <v>1.0</v>
      </c>
      <c r="AQ61" s="50">
        <v>2.0</v>
      </c>
      <c r="AR61" s="50" t="s">
        <v>64</v>
      </c>
      <c r="AS61" s="50" t="s">
        <v>64</v>
      </c>
      <c r="AT61" s="50" t="s">
        <v>101</v>
      </c>
      <c r="AU61" s="50" t="s">
        <v>447</v>
      </c>
      <c r="AY61" s="50"/>
      <c r="AZ61" s="50"/>
      <c r="BA61" s="50"/>
      <c r="BB61" s="50"/>
      <c r="BC61" s="50"/>
      <c r="BD61" s="50"/>
      <c r="BE61" s="50"/>
      <c r="BF61" s="50"/>
      <c r="BG61" s="50"/>
      <c r="BH61" s="50"/>
      <c r="BI61" s="50"/>
      <c r="BK61" s="91" t="s">
        <v>2300</v>
      </c>
      <c r="BM61" s="50">
        <v>2.0</v>
      </c>
      <c r="BN61" s="50">
        <v>2.0</v>
      </c>
      <c r="BO61" s="50">
        <v>2.0</v>
      </c>
      <c r="BP61" s="50">
        <v>2.0</v>
      </c>
      <c r="BQ61" s="50">
        <v>2.0</v>
      </c>
      <c r="BR61" s="50">
        <v>2.0</v>
      </c>
      <c r="BS61" s="50">
        <v>2.0</v>
      </c>
      <c r="BT61" s="50" t="s">
        <v>64</v>
      </c>
      <c r="BU61" s="50" t="s">
        <v>64</v>
      </c>
      <c r="BV61" s="50" t="s">
        <v>64</v>
      </c>
      <c r="BW61" s="50"/>
      <c r="BY61" s="53" t="s">
        <v>2301</v>
      </c>
      <c r="CA61" s="50">
        <v>2.0</v>
      </c>
      <c r="CB61" s="50">
        <v>2.0</v>
      </c>
      <c r="CC61" s="50">
        <v>2.0</v>
      </c>
      <c r="CD61" s="50">
        <v>2.0</v>
      </c>
      <c r="CE61" s="50">
        <v>2.0</v>
      </c>
      <c r="CF61" s="50">
        <v>2.0</v>
      </c>
      <c r="CG61" s="50">
        <v>2.0</v>
      </c>
      <c r="CH61" s="50" t="s">
        <v>64</v>
      </c>
      <c r="CI61" s="50" t="s">
        <v>64</v>
      </c>
      <c r="CJ61" s="50" t="s">
        <v>64</v>
      </c>
      <c r="CK61" s="50"/>
      <c r="CO61" s="50"/>
      <c r="CP61" s="50"/>
      <c r="CQ61" s="50"/>
      <c r="CR61" s="50"/>
      <c r="CS61" s="50"/>
      <c r="CT61" s="50"/>
      <c r="CU61" s="50"/>
      <c r="CV61" s="50"/>
      <c r="CW61" s="50"/>
      <c r="CX61" s="50"/>
      <c r="CY61" s="50"/>
      <c r="DA61" s="92" t="s">
        <v>2302</v>
      </c>
      <c r="DC61" s="50">
        <v>2.0</v>
      </c>
      <c r="DD61" s="50">
        <v>2.0</v>
      </c>
      <c r="DE61" s="50">
        <v>2.0</v>
      </c>
      <c r="DF61" s="50">
        <v>2.0</v>
      </c>
      <c r="DG61" s="50">
        <v>2.0</v>
      </c>
      <c r="DH61" s="50">
        <v>2.0</v>
      </c>
      <c r="DI61" s="50">
        <v>2.0</v>
      </c>
      <c r="DJ61" s="50" t="s">
        <v>64</v>
      </c>
      <c r="DK61" s="50" t="s">
        <v>64</v>
      </c>
      <c r="DL61" s="50" t="s">
        <v>64</v>
      </c>
      <c r="DM61" s="50"/>
      <c r="DO61" s="61" t="s">
        <v>2303</v>
      </c>
      <c r="DQ61" s="50">
        <v>2.0</v>
      </c>
      <c r="DR61" s="50">
        <v>2.0</v>
      </c>
      <c r="DS61" s="50">
        <v>2.0</v>
      </c>
      <c r="DT61" s="50">
        <v>2.0</v>
      </c>
      <c r="DU61" s="50">
        <v>2.0</v>
      </c>
      <c r="DV61" s="50">
        <v>2.0</v>
      </c>
      <c r="DW61" s="50">
        <v>2.0</v>
      </c>
      <c r="DX61" s="50" t="s">
        <v>64</v>
      </c>
      <c r="DY61" s="50" t="s">
        <v>64</v>
      </c>
      <c r="DZ61" s="50" t="s">
        <v>64</v>
      </c>
    </row>
    <row r="62" ht="15.75" customHeight="1">
      <c r="A62" s="14">
        <v>12.0</v>
      </c>
      <c r="B62" s="14" t="s">
        <v>264</v>
      </c>
      <c r="C62" s="14" t="str">
        <f t="array" ref="C62">IFERROR(INDEX(DOCUMENTOS!$E:$E,MATCH($A62,DOCUMENTOS!$A:$A,0)),"")</f>
        <v/>
      </c>
      <c r="D62" s="14" t="str">
        <f t="array" ref="D62">IFERROR(INDEX('BANCO DE PERGUNTAS'!$D:$D,MATCH($B62,'BANCO DE PERGUNTAS'!$A:$A,0)),"")</f>
        <v>Quais diferenças existem entre os documentos?</v>
      </c>
      <c r="E62" s="14" t="str">
        <f t="array" ref="E62">IFERROR(INDEX('BANCO DE PERGUNTAS'!$B:$B,MATCH($B62,'BANCO DE PERGUNTAS'!$A:$A,0)),"")</f>
        <v>Comparação</v>
      </c>
      <c r="F62" s="17">
        <f t="array" ref="F62">IFERROR(INDEX('BANCO DE PERGUNTAS'!$H:$H,MATCH($B62,'BANCO DE PERGUNTAS'!$A:$A,0)),"")</f>
        <v>5</v>
      </c>
      <c r="I62" s="50"/>
      <c r="J62" s="50"/>
      <c r="K62" s="50"/>
      <c r="L62" s="50"/>
      <c r="M62" s="50"/>
      <c r="N62" s="50"/>
      <c r="O62" s="50"/>
      <c r="P62" s="50"/>
      <c r="Q62" s="50"/>
      <c r="R62" s="50"/>
      <c r="S62" s="50"/>
      <c r="U62" s="93" t="s">
        <v>2320</v>
      </c>
      <c r="W62" s="50">
        <v>2.0</v>
      </c>
      <c r="X62" s="50">
        <v>1.0</v>
      </c>
      <c r="Y62" s="50">
        <v>1.0</v>
      </c>
      <c r="Z62" s="50">
        <v>2.0</v>
      </c>
      <c r="AA62" s="50">
        <v>2.0</v>
      </c>
      <c r="AB62" s="50">
        <v>1.0</v>
      </c>
      <c r="AC62" s="50">
        <v>2.0</v>
      </c>
      <c r="AD62" s="50" t="s">
        <v>64</v>
      </c>
      <c r="AE62" s="50" t="s">
        <v>64</v>
      </c>
      <c r="AF62" s="50" t="s">
        <v>101</v>
      </c>
      <c r="AG62" s="50" t="s">
        <v>447</v>
      </c>
      <c r="AI62" s="90" t="s">
        <v>2321</v>
      </c>
      <c r="AK62" s="50">
        <v>2.0</v>
      </c>
      <c r="AL62" s="50">
        <v>1.0</v>
      </c>
      <c r="AM62" s="50">
        <v>1.0</v>
      </c>
      <c r="AN62" s="50">
        <v>2.0</v>
      </c>
      <c r="AO62" s="50">
        <v>2.0</v>
      </c>
      <c r="AP62" s="50">
        <v>1.0</v>
      </c>
      <c r="AQ62" s="50">
        <v>2.0</v>
      </c>
      <c r="AR62" s="50" t="s">
        <v>64</v>
      </c>
      <c r="AS62" s="50" t="s">
        <v>64</v>
      </c>
      <c r="AT62" s="50" t="s">
        <v>101</v>
      </c>
      <c r="AU62" s="50" t="s">
        <v>447</v>
      </c>
      <c r="AY62" s="50"/>
      <c r="AZ62" s="50"/>
      <c r="BA62" s="50"/>
      <c r="BB62" s="50"/>
      <c r="BC62" s="50"/>
      <c r="BD62" s="50"/>
      <c r="BE62" s="50"/>
      <c r="BF62" s="50"/>
      <c r="BG62" s="50"/>
      <c r="BH62" s="50"/>
      <c r="BI62" s="50"/>
      <c r="BK62" s="91" t="s">
        <v>2322</v>
      </c>
      <c r="BM62" s="50">
        <v>2.0</v>
      </c>
      <c r="BN62" s="50">
        <v>2.0</v>
      </c>
      <c r="BO62" s="50">
        <v>2.0</v>
      </c>
      <c r="BP62" s="50">
        <v>2.0</v>
      </c>
      <c r="BQ62" s="50">
        <v>2.0</v>
      </c>
      <c r="BR62" s="50">
        <v>2.0</v>
      </c>
      <c r="BS62" s="50">
        <v>2.0</v>
      </c>
      <c r="BT62" s="50" t="s">
        <v>64</v>
      </c>
      <c r="BU62" s="50" t="s">
        <v>64</v>
      </c>
      <c r="BV62" s="50" t="s">
        <v>64</v>
      </c>
      <c r="BW62" s="50"/>
      <c r="BY62" s="53" t="s">
        <v>2323</v>
      </c>
      <c r="CA62" s="50">
        <v>2.0</v>
      </c>
      <c r="CB62" s="50">
        <v>1.0</v>
      </c>
      <c r="CC62" s="50">
        <v>1.0</v>
      </c>
      <c r="CD62" s="50">
        <v>2.0</v>
      </c>
      <c r="CE62" s="50">
        <v>2.0</v>
      </c>
      <c r="CF62" s="50">
        <v>1.0</v>
      </c>
      <c r="CG62" s="50">
        <v>2.0</v>
      </c>
      <c r="CH62" s="50" t="s">
        <v>64</v>
      </c>
      <c r="CI62" s="50" t="s">
        <v>64</v>
      </c>
      <c r="CJ62" s="50" t="s">
        <v>101</v>
      </c>
      <c r="CK62" s="50" t="s">
        <v>447</v>
      </c>
      <c r="CO62" s="50"/>
      <c r="CP62" s="50"/>
      <c r="CQ62" s="50"/>
      <c r="CR62" s="50"/>
      <c r="CS62" s="50"/>
      <c r="CT62" s="50"/>
      <c r="CU62" s="50"/>
      <c r="CV62" s="50"/>
      <c r="CW62" s="50"/>
      <c r="CX62" s="50"/>
      <c r="CY62" s="50"/>
      <c r="DA62" s="61" t="s">
        <v>2324</v>
      </c>
      <c r="DC62" s="50">
        <v>2.0</v>
      </c>
      <c r="DD62" s="50">
        <v>1.0</v>
      </c>
      <c r="DE62" s="50">
        <v>1.0</v>
      </c>
      <c r="DF62" s="50">
        <v>2.0</v>
      </c>
      <c r="DG62" s="50">
        <v>2.0</v>
      </c>
      <c r="DH62" s="50">
        <v>1.0</v>
      </c>
      <c r="DI62" s="50">
        <v>2.0</v>
      </c>
      <c r="DJ62" s="50" t="s">
        <v>64</v>
      </c>
      <c r="DK62" s="50" t="s">
        <v>64</v>
      </c>
      <c r="DL62" s="50" t="s">
        <v>101</v>
      </c>
      <c r="DM62" s="50" t="s">
        <v>447</v>
      </c>
      <c r="DO62" s="61" t="s">
        <v>682</v>
      </c>
      <c r="DQ62" s="50">
        <v>2.0</v>
      </c>
      <c r="DR62" s="50">
        <v>2.0</v>
      </c>
      <c r="DS62" s="50">
        <v>2.0</v>
      </c>
      <c r="DT62" s="50">
        <v>2.0</v>
      </c>
      <c r="DU62" s="50">
        <v>2.0</v>
      </c>
      <c r="DV62" s="50">
        <v>2.0</v>
      </c>
      <c r="DW62" s="50">
        <v>2.0</v>
      </c>
      <c r="DX62" s="50" t="s">
        <v>64</v>
      </c>
      <c r="DY62" s="50" t="s">
        <v>64</v>
      </c>
      <c r="DZ62" s="50" t="s">
        <v>64</v>
      </c>
      <c r="EA62" s="50"/>
    </row>
    <row r="63" ht="15.75" customHeight="1">
      <c r="A63" s="11">
        <v>12.0</v>
      </c>
      <c r="B63" s="11" t="s">
        <v>269</v>
      </c>
      <c r="C63" s="11" t="str">
        <f t="array" ref="C63">IFERROR(INDEX(DOCUMENTOS!$E:$E,MATCH($A63,DOCUMENTOS!$A:$A,0)),"")</f>
        <v/>
      </c>
      <c r="D63" s="11" t="str">
        <f t="array" ref="D63">IFERROR(INDEX('BANCO DE PERGUNTAS'!$D:$D,MATCH($B63,'BANCO DE PERGUNTAS'!$A:$A,0)),"")</f>
        <v>Quais informações foram alteradas?</v>
      </c>
      <c r="E63" s="11" t="str">
        <f t="array" ref="E63">IFERROR(INDEX('BANCO DE PERGUNTAS'!$B:$B,MATCH($B63,'BANCO DE PERGUNTAS'!$A:$A,0)),"")</f>
        <v>Análise de Relações entre Informações</v>
      </c>
      <c r="F63" s="12">
        <f t="array" ref="F63">IFERROR(INDEX('BANCO DE PERGUNTAS'!$H:$H,MATCH($B63,'BANCO DE PERGUNTAS'!$A:$A,0)),"")</f>
        <v>5</v>
      </c>
      <c r="I63" s="50"/>
      <c r="J63" s="50"/>
      <c r="K63" s="50"/>
      <c r="L63" s="50"/>
      <c r="M63" s="50"/>
      <c r="N63" s="50"/>
      <c r="O63" s="50"/>
      <c r="P63" s="50"/>
      <c r="Q63" s="50"/>
      <c r="R63" s="50"/>
      <c r="S63" s="50"/>
      <c r="U63" s="89" t="s">
        <v>2325</v>
      </c>
      <c r="W63" s="50">
        <v>2.0</v>
      </c>
      <c r="X63" s="50">
        <v>2.0</v>
      </c>
      <c r="Y63" s="50">
        <v>2.0</v>
      </c>
      <c r="Z63" s="50">
        <v>2.0</v>
      </c>
      <c r="AA63" s="50">
        <v>2.0</v>
      </c>
      <c r="AB63" s="50">
        <v>2.0</v>
      </c>
      <c r="AC63" s="50">
        <v>2.0</v>
      </c>
      <c r="AD63" s="50" t="s">
        <v>64</v>
      </c>
      <c r="AE63" s="50" t="s">
        <v>64</v>
      </c>
      <c r="AF63" s="50" t="s">
        <v>64</v>
      </c>
      <c r="AG63" s="50"/>
      <c r="AI63" s="90" t="s">
        <v>2326</v>
      </c>
      <c r="AK63" s="50">
        <v>2.0</v>
      </c>
      <c r="AL63" s="50">
        <v>2.0</v>
      </c>
      <c r="AM63" s="50">
        <v>2.0</v>
      </c>
      <c r="AN63" s="50">
        <v>2.0</v>
      </c>
      <c r="AO63" s="50">
        <v>2.0</v>
      </c>
      <c r="AP63" s="50">
        <v>2.0</v>
      </c>
      <c r="AQ63" s="50">
        <v>2.0</v>
      </c>
      <c r="AR63" s="50" t="s">
        <v>64</v>
      </c>
      <c r="AS63" s="50" t="s">
        <v>64</v>
      </c>
      <c r="AT63" s="50" t="s">
        <v>64</v>
      </c>
      <c r="AU63" s="50"/>
      <c r="AY63" s="50"/>
      <c r="AZ63" s="50"/>
      <c r="BA63" s="50"/>
      <c r="BB63" s="50"/>
      <c r="BC63" s="50"/>
      <c r="BD63" s="50"/>
      <c r="BE63" s="50"/>
      <c r="BF63" s="50"/>
      <c r="BG63" s="50"/>
      <c r="BH63" s="50"/>
      <c r="BI63" s="50"/>
      <c r="BK63" s="91" t="s">
        <v>2327</v>
      </c>
      <c r="BM63" s="50">
        <v>2.0</v>
      </c>
      <c r="BN63" s="50">
        <v>2.0</v>
      </c>
      <c r="BO63" s="50">
        <v>2.0</v>
      </c>
      <c r="BP63" s="50">
        <v>2.0</v>
      </c>
      <c r="BQ63" s="50">
        <v>2.0</v>
      </c>
      <c r="BR63" s="50">
        <v>2.0</v>
      </c>
      <c r="BS63" s="50">
        <v>2.0</v>
      </c>
      <c r="BT63" s="50" t="s">
        <v>64</v>
      </c>
      <c r="BU63" s="50" t="s">
        <v>64</v>
      </c>
      <c r="BV63" s="50" t="s">
        <v>64</v>
      </c>
      <c r="BW63" s="50"/>
      <c r="BY63" s="53" t="s">
        <v>2328</v>
      </c>
      <c r="CA63" s="50">
        <v>2.0</v>
      </c>
      <c r="CB63" s="50">
        <v>2.0</v>
      </c>
      <c r="CC63" s="50">
        <v>2.0</v>
      </c>
      <c r="CD63" s="50">
        <v>2.0</v>
      </c>
      <c r="CE63" s="50">
        <v>2.0</v>
      </c>
      <c r="CF63" s="50">
        <v>2.0</v>
      </c>
      <c r="CG63" s="50">
        <v>2.0</v>
      </c>
      <c r="CH63" s="50" t="s">
        <v>64</v>
      </c>
      <c r="CI63" s="50" t="s">
        <v>64</v>
      </c>
      <c r="CJ63" s="50" t="s">
        <v>64</v>
      </c>
      <c r="CK63" s="50"/>
      <c r="CO63" s="50"/>
      <c r="CP63" s="50"/>
      <c r="CQ63" s="50"/>
      <c r="CR63" s="50"/>
      <c r="CS63" s="50"/>
      <c r="CT63" s="50"/>
      <c r="CU63" s="50"/>
      <c r="CV63" s="50"/>
      <c r="CW63" s="50"/>
      <c r="CX63" s="50"/>
      <c r="CY63" s="50"/>
      <c r="DA63" s="92" t="s">
        <v>2329</v>
      </c>
      <c r="DC63" s="50">
        <v>2.0</v>
      </c>
      <c r="DD63" s="50">
        <v>1.0</v>
      </c>
      <c r="DE63" s="50">
        <v>1.0</v>
      </c>
      <c r="DF63" s="50">
        <v>2.0</v>
      </c>
      <c r="DG63" s="50">
        <v>2.0</v>
      </c>
      <c r="DH63" s="50">
        <v>1.0</v>
      </c>
      <c r="DI63" s="50">
        <v>2.0</v>
      </c>
      <c r="DJ63" s="50" t="s">
        <v>64</v>
      </c>
      <c r="DK63" s="50" t="s">
        <v>64</v>
      </c>
      <c r="DL63" s="50" t="s">
        <v>101</v>
      </c>
      <c r="DM63" s="50" t="s">
        <v>447</v>
      </c>
      <c r="DO63" s="61" t="s">
        <v>2330</v>
      </c>
      <c r="DQ63" s="50">
        <v>2.0</v>
      </c>
      <c r="DR63" s="50">
        <v>2.0</v>
      </c>
      <c r="DS63" s="50">
        <v>2.0</v>
      </c>
      <c r="DT63" s="50">
        <v>2.0</v>
      </c>
      <c r="DU63" s="50">
        <v>2.0</v>
      </c>
      <c r="DV63" s="50">
        <v>2.0</v>
      </c>
      <c r="DW63" s="50">
        <v>2.0</v>
      </c>
      <c r="DX63" s="50" t="s">
        <v>64</v>
      </c>
      <c r="DY63" s="50" t="s">
        <v>64</v>
      </c>
      <c r="DZ63" s="50" t="s">
        <v>64</v>
      </c>
    </row>
    <row r="64" ht="15.75" customHeight="1">
      <c r="A64" s="14">
        <v>12.0</v>
      </c>
      <c r="B64" s="14" t="s">
        <v>276</v>
      </c>
      <c r="C64" s="14" t="str">
        <f t="array" ref="C64">IFERROR(INDEX(DOCUMENTOS!$E:$E,MATCH($A64,DOCUMENTOS!$A:$A,0)),"")</f>
        <v/>
      </c>
      <c r="D64" s="14" t="str">
        <f t="array" ref="D64">IFERROR(INDEX('BANCO DE PERGUNTAS'!$D:$D,MATCH($B64,'BANCO DE PERGUNTAS'!$A:$A,0)),"")</f>
        <v>Identifique possíveis pontos de atenção administrativa.</v>
      </c>
      <c r="E64" s="14" t="str">
        <f t="array" ref="E64">IFERROR(INDEX('BANCO DE PERGUNTAS'!$B:$B,MATCH($B64,'BANCO DE PERGUNTAS'!$A:$A,0)),"")</f>
        <v>Análise de Risco</v>
      </c>
      <c r="F64" s="17">
        <f t="array" ref="F64">IFERROR(INDEX('BANCO DE PERGUNTAS'!$H:$H,MATCH($B64,'BANCO DE PERGUNTAS'!$A:$A,0)),"")</f>
        <v>4</v>
      </c>
      <c r="I64" s="50"/>
      <c r="J64" s="50"/>
      <c r="K64" s="50"/>
      <c r="L64" s="50"/>
      <c r="M64" s="50"/>
      <c r="N64" s="50"/>
      <c r="O64" s="50"/>
      <c r="P64" s="50"/>
      <c r="Q64" s="50"/>
      <c r="R64" s="50"/>
      <c r="S64" s="50"/>
      <c r="U64" s="93" t="s">
        <v>2331</v>
      </c>
      <c r="W64" s="50">
        <v>2.0</v>
      </c>
      <c r="X64" s="50">
        <v>2.0</v>
      </c>
      <c r="Y64" s="50">
        <v>2.0</v>
      </c>
      <c r="Z64" s="50">
        <v>2.0</v>
      </c>
      <c r="AA64" s="50">
        <v>2.0</v>
      </c>
      <c r="AB64" s="50">
        <v>2.0</v>
      </c>
      <c r="AC64" s="50">
        <v>2.0</v>
      </c>
      <c r="AD64" s="50" t="s">
        <v>64</v>
      </c>
      <c r="AE64" s="50" t="s">
        <v>64</v>
      </c>
      <c r="AF64" s="50" t="s">
        <v>64</v>
      </c>
      <c r="AG64" s="50"/>
      <c r="AI64" s="90" t="s">
        <v>2332</v>
      </c>
      <c r="AK64" s="50">
        <v>2.0</v>
      </c>
      <c r="AL64" s="50">
        <v>1.0</v>
      </c>
      <c r="AM64" s="50">
        <v>1.0</v>
      </c>
      <c r="AN64" s="50">
        <v>2.0</v>
      </c>
      <c r="AO64" s="50">
        <v>2.0</v>
      </c>
      <c r="AP64" s="50">
        <v>1.0</v>
      </c>
      <c r="AQ64" s="50">
        <v>2.0</v>
      </c>
      <c r="AR64" s="50" t="s">
        <v>64</v>
      </c>
      <c r="AS64" s="50" t="s">
        <v>64</v>
      </c>
      <c r="AT64" s="50" t="s">
        <v>101</v>
      </c>
      <c r="AU64" s="50" t="s">
        <v>447</v>
      </c>
      <c r="AY64" s="50"/>
      <c r="AZ64" s="50"/>
      <c r="BA64" s="50"/>
      <c r="BB64" s="50"/>
      <c r="BC64" s="50"/>
      <c r="BD64" s="50"/>
      <c r="BE64" s="50"/>
      <c r="BF64" s="50"/>
      <c r="BG64" s="50"/>
      <c r="BH64" s="50"/>
      <c r="BI64" s="50"/>
      <c r="BK64" s="91" t="s">
        <v>2334</v>
      </c>
      <c r="BM64" s="50">
        <v>2.0</v>
      </c>
      <c r="BN64" s="50">
        <v>2.0</v>
      </c>
      <c r="BO64" s="50">
        <v>2.0</v>
      </c>
      <c r="BP64" s="50">
        <v>2.0</v>
      </c>
      <c r="BQ64" s="50">
        <v>2.0</v>
      </c>
      <c r="BR64" s="50">
        <v>2.0</v>
      </c>
      <c r="BS64" s="50">
        <v>2.0</v>
      </c>
      <c r="BT64" s="50" t="s">
        <v>64</v>
      </c>
      <c r="BU64" s="50" t="s">
        <v>64</v>
      </c>
      <c r="BV64" s="50" t="s">
        <v>64</v>
      </c>
      <c r="BW64" s="50"/>
      <c r="BY64" s="53" t="s">
        <v>2335</v>
      </c>
      <c r="CA64" s="50">
        <v>2.0</v>
      </c>
      <c r="CB64" s="50">
        <v>2.0</v>
      </c>
      <c r="CC64" s="50">
        <v>2.0</v>
      </c>
      <c r="CD64" s="50">
        <v>2.0</v>
      </c>
      <c r="CE64" s="50">
        <v>2.0</v>
      </c>
      <c r="CF64" s="50">
        <v>2.0</v>
      </c>
      <c r="CG64" s="50">
        <v>2.0</v>
      </c>
      <c r="CH64" s="50" t="s">
        <v>64</v>
      </c>
      <c r="CI64" s="50" t="s">
        <v>64</v>
      </c>
      <c r="CJ64" s="50" t="s">
        <v>64</v>
      </c>
      <c r="CK64" s="50"/>
      <c r="CO64" s="50"/>
      <c r="CP64" s="50"/>
      <c r="CQ64" s="50"/>
      <c r="CR64" s="50"/>
      <c r="CS64" s="50"/>
      <c r="CT64" s="50"/>
      <c r="CU64" s="50"/>
      <c r="CV64" s="50"/>
      <c r="CW64" s="50"/>
      <c r="CX64" s="50"/>
      <c r="CY64" s="50"/>
      <c r="DA64" s="61" t="s">
        <v>2336</v>
      </c>
      <c r="DC64" s="50">
        <v>2.0</v>
      </c>
      <c r="DD64" s="50">
        <v>1.0</v>
      </c>
      <c r="DE64" s="50">
        <v>1.0</v>
      </c>
      <c r="DF64" s="50">
        <v>2.0</v>
      </c>
      <c r="DG64" s="50">
        <v>2.0</v>
      </c>
      <c r="DH64" s="50">
        <v>1.0</v>
      </c>
      <c r="DI64" s="50">
        <v>2.0</v>
      </c>
      <c r="DJ64" s="50" t="s">
        <v>64</v>
      </c>
      <c r="DK64" s="50" t="s">
        <v>64</v>
      </c>
      <c r="DL64" s="50" t="s">
        <v>101</v>
      </c>
      <c r="DM64" s="50" t="s">
        <v>447</v>
      </c>
      <c r="DO64" s="61" t="s">
        <v>2337</v>
      </c>
      <c r="DQ64" s="50">
        <v>2.0</v>
      </c>
      <c r="DR64" s="50">
        <v>1.0</v>
      </c>
      <c r="DS64" s="50">
        <v>1.0</v>
      </c>
      <c r="DT64" s="50">
        <v>2.0</v>
      </c>
      <c r="DU64" s="50">
        <v>2.0</v>
      </c>
      <c r="DV64" s="50">
        <v>1.0</v>
      </c>
      <c r="DW64" s="50">
        <v>2.0</v>
      </c>
      <c r="DX64" s="50" t="s">
        <v>64</v>
      </c>
      <c r="DY64" s="50" t="s">
        <v>64</v>
      </c>
      <c r="DZ64" s="50" t="s">
        <v>101</v>
      </c>
      <c r="EA64" s="50" t="s">
        <v>447</v>
      </c>
    </row>
    <row r="65" ht="15.75" customHeight="1">
      <c r="A65" s="11">
        <v>12.0</v>
      </c>
      <c r="B65" s="11" t="s">
        <v>284</v>
      </c>
      <c r="C65" s="11" t="str">
        <f t="array" ref="C65">IFERROR(INDEX(DOCUMENTOS!$E:$E,MATCH($A65,DOCUMENTOS!$A:$A,0)),"")</f>
        <v/>
      </c>
      <c r="D65" s="11" t="str">
        <f t="array" ref="D65">IFERROR(INDEX('BANCO DE PERGUNTAS'!$D:$D,MATCH($B65,'BANCO DE PERGUNTAS'!$A:$A,0)),"")</f>
        <v>Quais informações deveriam ser verificadas antes de uma decisão administrativa?</v>
      </c>
      <c r="E65" s="11" t="str">
        <f t="array" ref="E65">IFERROR(INDEX('BANCO DE PERGUNTAS'!$B:$B,MATCH($B65,'BANCO DE PERGUNTAS'!$A:$A,0)),"")</f>
        <v>Análise de Risco</v>
      </c>
      <c r="F65" s="12">
        <f t="array" ref="F65">IFERROR(INDEX('BANCO DE PERGUNTAS'!$H:$H,MATCH($B65,'BANCO DE PERGUNTAS'!$A:$A,0)),"")</f>
        <v>4</v>
      </c>
      <c r="I65" s="50"/>
      <c r="J65" s="50"/>
      <c r="K65" s="50"/>
      <c r="L65" s="50"/>
      <c r="M65" s="50"/>
      <c r="N65" s="50"/>
      <c r="O65" s="50"/>
      <c r="P65" s="50"/>
      <c r="Q65" s="50"/>
      <c r="R65" s="50"/>
      <c r="S65" s="50"/>
      <c r="U65" s="89" t="s">
        <v>2338</v>
      </c>
      <c r="W65" s="50">
        <v>2.0</v>
      </c>
      <c r="X65" s="50">
        <v>1.0</v>
      </c>
      <c r="Y65" s="50">
        <v>1.0</v>
      </c>
      <c r="Z65" s="50">
        <v>2.0</v>
      </c>
      <c r="AA65" s="50">
        <v>2.0</v>
      </c>
      <c r="AB65" s="50">
        <v>1.0</v>
      </c>
      <c r="AC65" s="50">
        <v>2.0</v>
      </c>
      <c r="AD65" s="50" t="s">
        <v>64</v>
      </c>
      <c r="AE65" s="50" t="s">
        <v>101</v>
      </c>
      <c r="AF65" s="50" t="s">
        <v>64</v>
      </c>
      <c r="AG65" s="50"/>
      <c r="AI65" s="90" t="s">
        <v>2339</v>
      </c>
      <c r="AK65" s="50">
        <v>2.0</v>
      </c>
      <c r="AL65" s="50">
        <v>1.0</v>
      </c>
      <c r="AM65" s="50">
        <v>1.0</v>
      </c>
      <c r="AN65" s="50">
        <v>2.0</v>
      </c>
      <c r="AO65" s="50">
        <v>2.0</v>
      </c>
      <c r="AP65" s="50">
        <v>1.0</v>
      </c>
      <c r="AQ65" s="50">
        <v>2.0</v>
      </c>
      <c r="AR65" s="50" t="s">
        <v>64</v>
      </c>
      <c r="AS65" s="50" t="s">
        <v>101</v>
      </c>
      <c r="AT65" s="50" t="s">
        <v>64</v>
      </c>
      <c r="AU65" s="50"/>
      <c r="AY65" s="50"/>
      <c r="AZ65" s="50"/>
      <c r="BA65" s="50"/>
      <c r="BB65" s="50"/>
      <c r="BC65" s="50"/>
      <c r="BD65" s="50"/>
      <c r="BE65" s="50"/>
      <c r="BF65" s="50"/>
      <c r="BG65" s="50"/>
      <c r="BH65" s="50"/>
      <c r="BI65" s="50"/>
      <c r="BK65" s="91" t="s">
        <v>2340</v>
      </c>
      <c r="BM65" s="50">
        <v>2.0</v>
      </c>
      <c r="BN65" s="50">
        <v>1.0</v>
      </c>
      <c r="BO65" s="50">
        <v>1.0</v>
      </c>
      <c r="BP65" s="50">
        <v>2.0</v>
      </c>
      <c r="BQ65" s="50">
        <v>2.0</v>
      </c>
      <c r="BR65" s="50">
        <v>1.0</v>
      </c>
      <c r="BS65" s="50">
        <v>2.0</v>
      </c>
      <c r="BT65" s="50" t="s">
        <v>64</v>
      </c>
      <c r="BU65" s="50" t="s">
        <v>64</v>
      </c>
      <c r="BV65" s="50" t="s">
        <v>101</v>
      </c>
      <c r="BW65" s="50" t="s">
        <v>447</v>
      </c>
      <c r="BY65" s="53" t="s">
        <v>2341</v>
      </c>
      <c r="CA65" s="50">
        <v>2.0</v>
      </c>
      <c r="CB65" s="50">
        <v>1.0</v>
      </c>
      <c r="CC65" s="50">
        <v>1.0</v>
      </c>
      <c r="CD65" s="50">
        <v>2.0</v>
      </c>
      <c r="CE65" s="50">
        <v>2.0</v>
      </c>
      <c r="CF65" s="50">
        <v>1.0</v>
      </c>
      <c r="CG65" s="50">
        <v>2.0</v>
      </c>
      <c r="CH65" s="50" t="s">
        <v>64</v>
      </c>
      <c r="CI65" s="50" t="s">
        <v>64</v>
      </c>
      <c r="CJ65" s="50" t="s">
        <v>101</v>
      </c>
      <c r="CK65" s="50" t="s">
        <v>447</v>
      </c>
      <c r="CO65" s="50"/>
      <c r="CP65" s="50"/>
      <c r="CQ65" s="50"/>
      <c r="CR65" s="50"/>
      <c r="CS65" s="50"/>
      <c r="CT65" s="50"/>
      <c r="CU65" s="50"/>
      <c r="CV65" s="50"/>
      <c r="CW65" s="50"/>
      <c r="CX65" s="50"/>
      <c r="CY65" s="50"/>
      <c r="DA65" s="92" t="s">
        <v>2342</v>
      </c>
      <c r="DC65" s="50">
        <v>2.0</v>
      </c>
      <c r="DD65" s="50">
        <v>1.0</v>
      </c>
      <c r="DE65" s="50">
        <v>1.0</v>
      </c>
      <c r="DF65" s="50">
        <v>2.0</v>
      </c>
      <c r="DG65" s="50">
        <v>2.0</v>
      </c>
      <c r="DH65" s="50">
        <v>1.0</v>
      </c>
      <c r="DI65" s="50">
        <v>2.0</v>
      </c>
      <c r="DJ65" s="50" t="s">
        <v>64</v>
      </c>
      <c r="DK65" s="50" t="s">
        <v>101</v>
      </c>
      <c r="DL65" s="50" t="s">
        <v>64</v>
      </c>
      <c r="DM65" s="50"/>
      <c r="DO65" s="61" t="s">
        <v>2343</v>
      </c>
      <c r="DQ65" s="50">
        <v>2.0</v>
      </c>
      <c r="DR65" s="50">
        <v>1.0</v>
      </c>
      <c r="DS65" s="50">
        <v>1.0</v>
      </c>
      <c r="DT65" s="50">
        <v>2.0</v>
      </c>
      <c r="DU65" s="50">
        <v>2.0</v>
      </c>
      <c r="DV65" s="50">
        <v>1.0</v>
      </c>
      <c r="DW65" s="50">
        <v>2.0</v>
      </c>
      <c r="DX65" s="50" t="s">
        <v>64</v>
      </c>
      <c r="DY65" s="50" t="s">
        <v>101</v>
      </c>
      <c r="DZ65" s="50" t="s">
        <v>64</v>
      </c>
      <c r="EA65" s="50"/>
    </row>
    <row r="66" ht="15.75" customHeight="1">
      <c r="A66" s="14">
        <v>12.0</v>
      </c>
      <c r="B66" s="14" t="s">
        <v>288</v>
      </c>
      <c r="C66" s="14" t="str">
        <f t="array" ref="C66">IFERROR(INDEX(DOCUMENTOS!$E:$E,MATCH($A66,DOCUMENTOS!$A:$A,0)),"")</f>
        <v/>
      </c>
      <c r="D66" s="14" t="str">
        <f t="array" ref="D66">IFERROR(INDEX('BANCO DE PERGUNTAS'!$D:$D,MATCH($B66,'BANCO DE PERGUNTAS'!$A:$A,0)),"")</f>
        <v>Identifique situações que possam representar risco administrativo.</v>
      </c>
      <c r="E66" s="14" t="str">
        <f t="array" ref="E66">IFERROR(INDEX('BANCO DE PERGUNTAS'!$B:$B,MATCH($B66,'BANCO DE PERGUNTAS'!$A:$A,0)),"")</f>
        <v>Análise de Risco</v>
      </c>
      <c r="F66" s="17">
        <f t="array" ref="F66">IFERROR(INDEX('BANCO DE PERGUNTAS'!$H:$H,MATCH($B66,'BANCO DE PERGUNTAS'!$A:$A,0)),"")</f>
        <v>4</v>
      </c>
      <c r="I66" s="50"/>
      <c r="J66" s="50"/>
      <c r="K66" s="50"/>
      <c r="L66" s="50"/>
      <c r="M66" s="50"/>
      <c r="N66" s="50"/>
      <c r="O66" s="50"/>
      <c r="P66" s="50"/>
      <c r="Q66" s="50"/>
      <c r="R66" s="50"/>
      <c r="S66" s="50"/>
      <c r="U66" s="93" t="s">
        <v>2344</v>
      </c>
      <c r="W66" s="50">
        <v>2.0</v>
      </c>
      <c r="X66" s="50">
        <v>2.0</v>
      </c>
      <c r="Y66" s="50">
        <v>2.0</v>
      </c>
      <c r="Z66" s="50">
        <v>2.0</v>
      </c>
      <c r="AA66" s="50">
        <v>2.0</v>
      </c>
      <c r="AB66" s="50">
        <v>2.0</v>
      </c>
      <c r="AC66" s="50">
        <v>2.0</v>
      </c>
      <c r="AD66" s="50" t="s">
        <v>64</v>
      </c>
      <c r="AE66" s="50" t="s">
        <v>64</v>
      </c>
      <c r="AF66" s="50" t="s">
        <v>64</v>
      </c>
      <c r="AG66" s="50"/>
      <c r="AI66" s="90" t="s">
        <v>2345</v>
      </c>
      <c r="AK66" s="50">
        <v>2.0</v>
      </c>
      <c r="AL66" s="50">
        <v>2.0</v>
      </c>
      <c r="AM66" s="50">
        <v>2.0</v>
      </c>
      <c r="AN66" s="50">
        <v>2.0</v>
      </c>
      <c r="AO66" s="50">
        <v>2.0</v>
      </c>
      <c r="AP66" s="50">
        <v>2.0</v>
      </c>
      <c r="AQ66" s="50">
        <v>2.0</v>
      </c>
      <c r="AR66" s="50" t="s">
        <v>64</v>
      </c>
      <c r="AS66" s="50" t="s">
        <v>64</v>
      </c>
      <c r="AT66" s="50" t="s">
        <v>64</v>
      </c>
      <c r="AU66" s="50"/>
      <c r="AY66" s="50"/>
      <c r="AZ66" s="50"/>
      <c r="BA66" s="50"/>
      <c r="BB66" s="50"/>
      <c r="BC66" s="50"/>
      <c r="BD66" s="50"/>
      <c r="BE66" s="50"/>
      <c r="BF66" s="50"/>
      <c r="BG66" s="50"/>
      <c r="BH66" s="50"/>
      <c r="BI66" s="50"/>
      <c r="BK66" s="91" t="s">
        <v>2346</v>
      </c>
      <c r="BM66" s="50">
        <v>2.0</v>
      </c>
      <c r="BN66" s="50">
        <v>2.0</v>
      </c>
      <c r="BO66" s="50">
        <v>2.0</v>
      </c>
      <c r="BP66" s="50">
        <v>2.0</v>
      </c>
      <c r="BQ66" s="50">
        <v>2.0</v>
      </c>
      <c r="BR66" s="50">
        <v>2.0</v>
      </c>
      <c r="BS66" s="50">
        <v>2.0</v>
      </c>
      <c r="BT66" s="50" t="s">
        <v>64</v>
      </c>
      <c r="BU66" s="50" t="s">
        <v>64</v>
      </c>
      <c r="BV66" s="50" t="s">
        <v>64</v>
      </c>
      <c r="BW66" s="50"/>
      <c r="BY66" s="53" t="s">
        <v>2347</v>
      </c>
      <c r="CA66" s="50">
        <v>2.0</v>
      </c>
      <c r="CB66" s="50">
        <v>2.0</v>
      </c>
      <c r="CC66" s="50">
        <v>2.0</v>
      </c>
      <c r="CD66" s="50">
        <v>2.0</v>
      </c>
      <c r="CE66" s="50">
        <v>2.0</v>
      </c>
      <c r="CF66" s="50">
        <v>2.0</v>
      </c>
      <c r="CG66" s="50">
        <v>2.0</v>
      </c>
      <c r="CH66" s="50" t="s">
        <v>64</v>
      </c>
      <c r="CI66" s="50" t="s">
        <v>64</v>
      </c>
      <c r="CJ66" s="50" t="s">
        <v>64</v>
      </c>
      <c r="CK66" s="50"/>
      <c r="CO66" s="50"/>
      <c r="CP66" s="50"/>
      <c r="CQ66" s="50"/>
      <c r="CR66" s="50"/>
      <c r="CS66" s="50"/>
      <c r="CT66" s="50"/>
      <c r="CU66" s="50"/>
      <c r="CV66" s="50"/>
      <c r="CW66" s="50"/>
      <c r="CX66" s="50"/>
      <c r="CY66" s="50"/>
      <c r="DA66" s="61" t="s">
        <v>2348</v>
      </c>
      <c r="DC66" s="50">
        <v>2.0</v>
      </c>
      <c r="DD66" s="50">
        <v>1.0</v>
      </c>
      <c r="DE66" s="50">
        <v>1.0</v>
      </c>
      <c r="DF66" s="50">
        <v>2.0</v>
      </c>
      <c r="DG66" s="50">
        <v>2.0</v>
      </c>
      <c r="DH66" s="50">
        <v>1.0</v>
      </c>
      <c r="DI66" s="50">
        <v>2.0</v>
      </c>
      <c r="DJ66" s="50" t="s">
        <v>64</v>
      </c>
      <c r="DK66" s="50" t="s">
        <v>101</v>
      </c>
      <c r="DL66" s="50" t="s">
        <v>64</v>
      </c>
      <c r="DM66" s="50"/>
      <c r="DO66" s="61" t="s">
        <v>2349</v>
      </c>
      <c r="DQ66" s="50">
        <v>2.0</v>
      </c>
      <c r="DR66" s="50">
        <v>1.0</v>
      </c>
      <c r="DS66" s="50">
        <v>1.0</v>
      </c>
      <c r="DT66" s="50">
        <v>2.0</v>
      </c>
      <c r="DU66" s="50">
        <v>2.0</v>
      </c>
      <c r="DV66" s="50">
        <v>1.0</v>
      </c>
      <c r="DW66" s="50">
        <v>2.0</v>
      </c>
      <c r="DX66" s="50" t="s">
        <v>64</v>
      </c>
      <c r="DY66" s="50" t="s">
        <v>101</v>
      </c>
      <c r="DZ66" s="50" t="s">
        <v>64</v>
      </c>
      <c r="EA66" s="50"/>
    </row>
    <row r="67" ht="15.75" customHeight="1">
      <c r="A67" s="11">
        <v>12.0</v>
      </c>
      <c r="B67" s="11" t="s">
        <v>294</v>
      </c>
      <c r="C67" s="11" t="str">
        <f t="array" ref="C67">IFERROR(INDEX(DOCUMENTOS!$E:$E,MATCH($A67,DOCUMENTOS!$A:$A,0)),"")</f>
        <v/>
      </c>
      <c r="D67" s="11" t="str">
        <f t="array" ref="D67">IFERROR(INDEX('BANCO DE PERGUNTAS'!$D:$D,MATCH($B67,'BANCO DE PERGUNTAS'!$A:$A,0)),"")</f>
        <v>Resuma o documento em até cinco pontos objetivos.</v>
      </c>
      <c r="E67" s="11" t="str">
        <f t="array" ref="E67">IFERROR(INDEX('BANCO DE PERGUNTAS'!$B:$B,MATCH($B67,'BANCO DE PERGUNTAS'!$A:$A,0)),"")</f>
        <v>Síntese</v>
      </c>
      <c r="F67" s="12">
        <f t="array" ref="F67">IFERROR(INDEX('BANCO DE PERGUNTAS'!$H:$H,MATCH($B67,'BANCO DE PERGUNTAS'!$A:$A,0)),"")</f>
        <v>3</v>
      </c>
      <c r="I67" s="50"/>
      <c r="J67" s="50"/>
      <c r="K67" s="50"/>
      <c r="L67" s="50"/>
      <c r="M67" s="50"/>
      <c r="N67" s="50"/>
      <c r="O67" s="50"/>
      <c r="P67" s="50"/>
      <c r="Q67" s="50"/>
      <c r="R67" s="50"/>
      <c r="S67" s="50"/>
      <c r="U67" s="89" t="s">
        <v>2350</v>
      </c>
      <c r="W67" s="50">
        <v>2.0</v>
      </c>
      <c r="X67" s="50">
        <v>2.0</v>
      </c>
      <c r="Y67" s="50">
        <v>2.0</v>
      </c>
      <c r="Z67" s="50">
        <v>2.0</v>
      </c>
      <c r="AA67" s="50">
        <v>2.0</v>
      </c>
      <c r="AB67" s="50">
        <v>2.0</v>
      </c>
      <c r="AC67" s="50">
        <v>2.0</v>
      </c>
      <c r="AD67" s="50" t="s">
        <v>64</v>
      </c>
      <c r="AE67" s="50" t="s">
        <v>64</v>
      </c>
      <c r="AF67" s="50" t="s">
        <v>64</v>
      </c>
      <c r="AG67" s="50"/>
      <c r="AI67" s="90" t="s">
        <v>2351</v>
      </c>
      <c r="AK67" s="50">
        <v>2.0</v>
      </c>
      <c r="AL67" s="50">
        <v>2.0</v>
      </c>
      <c r="AM67" s="50">
        <v>2.0</v>
      </c>
      <c r="AN67" s="50">
        <v>2.0</v>
      </c>
      <c r="AO67" s="50">
        <v>2.0</v>
      </c>
      <c r="AP67" s="50">
        <v>2.0</v>
      </c>
      <c r="AQ67" s="50">
        <v>2.0</v>
      </c>
      <c r="AR67" s="50" t="s">
        <v>64</v>
      </c>
      <c r="AS67" s="50" t="s">
        <v>64</v>
      </c>
      <c r="AT67" s="50" t="s">
        <v>64</v>
      </c>
      <c r="AU67" s="50"/>
      <c r="AY67" s="50"/>
      <c r="AZ67" s="50"/>
      <c r="BA67" s="50"/>
      <c r="BB67" s="50"/>
      <c r="BC67" s="50"/>
      <c r="BD67" s="50"/>
      <c r="BE67" s="50"/>
      <c r="BF67" s="50"/>
      <c r="BG67" s="50"/>
      <c r="BH67" s="50"/>
      <c r="BI67" s="50"/>
      <c r="BK67" s="91" t="s">
        <v>2352</v>
      </c>
      <c r="BM67" s="50">
        <v>2.0</v>
      </c>
      <c r="BN67" s="50">
        <v>2.0</v>
      </c>
      <c r="BO67" s="50">
        <v>2.0</v>
      </c>
      <c r="BP67" s="50">
        <v>2.0</v>
      </c>
      <c r="BQ67" s="50">
        <v>2.0</v>
      </c>
      <c r="BR67" s="50">
        <v>2.0</v>
      </c>
      <c r="BS67" s="50">
        <v>2.0</v>
      </c>
      <c r="BT67" s="50" t="s">
        <v>64</v>
      </c>
      <c r="BU67" s="50" t="s">
        <v>64</v>
      </c>
      <c r="BV67" s="50" t="s">
        <v>64</v>
      </c>
      <c r="BW67" s="50"/>
      <c r="BY67" s="53" t="s">
        <v>2353</v>
      </c>
      <c r="CA67" s="50">
        <v>2.0</v>
      </c>
      <c r="CB67" s="50">
        <v>2.0</v>
      </c>
      <c r="CC67" s="50">
        <v>2.0</v>
      </c>
      <c r="CD67" s="50">
        <v>2.0</v>
      </c>
      <c r="CE67" s="50">
        <v>2.0</v>
      </c>
      <c r="CF67" s="50">
        <v>2.0</v>
      </c>
      <c r="CG67" s="50">
        <v>2.0</v>
      </c>
      <c r="CH67" s="50" t="s">
        <v>64</v>
      </c>
      <c r="CI67" s="50" t="s">
        <v>64</v>
      </c>
      <c r="CJ67" s="50" t="s">
        <v>64</v>
      </c>
      <c r="CK67" s="50"/>
      <c r="CO67" s="50"/>
      <c r="CP67" s="50"/>
      <c r="CQ67" s="50"/>
      <c r="CR67" s="50"/>
      <c r="CS67" s="50"/>
      <c r="CT67" s="50"/>
      <c r="CU67" s="50"/>
      <c r="CV67" s="50"/>
      <c r="CW67" s="50"/>
      <c r="CX67" s="50"/>
      <c r="CY67" s="50"/>
      <c r="DA67" s="92" t="s">
        <v>2354</v>
      </c>
      <c r="DC67" s="50">
        <v>2.0</v>
      </c>
      <c r="DD67" s="50">
        <v>2.0</v>
      </c>
      <c r="DE67" s="50">
        <v>2.0</v>
      </c>
      <c r="DF67" s="50">
        <v>2.0</v>
      </c>
      <c r="DG67" s="50">
        <v>2.0</v>
      </c>
      <c r="DH67" s="50">
        <v>2.0</v>
      </c>
      <c r="DI67" s="50">
        <v>2.0</v>
      </c>
      <c r="DJ67" s="50" t="s">
        <v>64</v>
      </c>
      <c r="DK67" s="50" t="s">
        <v>64</v>
      </c>
      <c r="DL67" s="50" t="s">
        <v>64</v>
      </c>
      <c r="DM67" s="50"/>
      <c r="DO67" s="61" t="s">
        <v>2355</v>
      </c>
      <c r="DQ67" s="50">
        <v>2.0</v>
      </c>
      <c r="DR67" s="50">
        <v>2.0</v>
      </c>
      <c r="DS67" s="50">
        <v>2.0</v>
      </c>
      <c r="DT67" s="50">
        <v>2.0</v>
      </c>
      <c r="DU67" s="50">
        <v>2.0</v>
      </c>
      <c r="DV67" s="50">
        <v>2.0</v>
      </c>
      <c r="DW67" s="50">
        <v>2.0</v>
      </c>
      <c r="DX67" s="50" t="s">
        <v>64</v>
      </c>
      <c r="DY67" s="50" t="s">
        <v>64</v>
      </c>
      <c r="DZ67" s="50" t="s">
        <v>64</v>
      </c>
      <c r="EA67" s="50"/>
    </row>
    <row r="68" ht="15.75" customHeight="1">
      <c r="A68" s="14">
        <v>12.0</v>
      </c>
      <c r="B68" s="14" t="s">
        <v>302</v>
      </c>
      <c r="C68" s="14" t="str">
        <f t="array" ref="C68">IFERROR(INDEX(DOCUMENTOS!$E:$E,MATCH($A68,DOCUMENTOS!$A:$A,0)),"")</f>
        <v/>
      </c>
      <c r="D68" s="14" t="str">
        <f t="array" ref="D68">IFERROR(INDEX('BANCO DE PERGUNTAS'!$D:$D,MATCH($B68,'BANCO DE PERGUNTAS'!$A:$A,0)),"")</f>
        <v>Qual é a principal finalidade do documento?</v>
      </c>
      <c r="E68" s="14" t="str">
        <f t="array" ref="E68">IFERROR(INDEX('BANCO DE PERGUNTAS'!$B:$B,MATCH($B68,'BANCO DE PERGUNTAS'!$A:$A,0)),"")</f>
        <v>Síntese</v>
      </c>
      <c r="F68" s="17">
        <f t="array" ref="F68">IFERROR(INDEX('BANCO DE PERGUNTAS'!$H:$H,MATCH($B68,'BANCO DE PERGUNTAS'!$A:$A,0)),"")</f>
        <v>2</v>
      </c>
      <c r="I68" s="50"/>
      <c r="J68" s="50"/>
      <c r="K68" s="50"/>
      <c r="L68" s="50"/>
      <c r="M68" s="50"/>
      <c r="N68" s="50"/>
      <c r="O68" s="50"/>
      <c r="P68" s="50"/>
      <c r="Q68" s="50"/>
      <c r="R68" s="50"/>
      <c r="S68" s="50"/>
      <c r="U68" s="93" t="s">
        <v>2356</v>
      </c>
      <c r="W68" s="50">
        <v>2.0</v>
      </c>
      <c r="X68" s="50">
        <v>2.0</v>
      </c>
      <c r="Y68" s="50">
        <v>2.0</v>
      </c>
      <c r="Z68" s="50">
        <v>2.0</v>
      </c>
      <c r="AA68" s="50">
        <v>2.0</v>
      </c>
      <c r="AB68" s="50">
        <v>2.0</v>
      </c>
      <c r="AC68" s="50">
        <v>2.0</v>
      </c>
      <c r="AD68" s="50" t="s">
        <v>64</v>
      </c>
      <c r="AE68" s="50" t="s">
        <v>64</v>
      </c>
      <c r="AF68" s="50" t="s">
        <v>64</v>
      </c>
      <c r="AG68" s="50"/>
      <c r="AI68" s="90" t="s">
        <v>2357</v>
      </c>
      <c r="AK68" s="50">
        <v>2.0</v>
      </c>
      <c r="AL68" s="50">
        <v>2.0</v>
      </c>
      <c r="AM68" s="50">
        <v>2.0</v>
      </c>
      <c r="AN68" s="50">
        <v>2.0</v>
      </c>
      <c r="AO68" s="50">
        <v>2.0</v>
      </c>
      <c r="AP68" s="50">
        <v>2.0</v>
      </c>
      <c r="AQ68" s="50">
        <v>2.0</v>
      </c>
      <c r="AR68" s="50" t="s">
        <v>64</v>
      </c>
      <c r="AS68" s="50" t="s">
        <v>64</v>
      </c>
      <c r="AT68" s="50" t="s">
        <v>64</v>
      </c>
      <c r="AU68" s="50"/>
      <c r="AY68" s="50"/>
      <c r="AZ68" s="50"/>
      <c r="BA68" s="50"/>
      <c r="BB68" s="50"/>
      <c r="BC68" s="50"/>
      <c r="BD68" s="50"/>
      <c r="BE68" s="50"/>
      <c r="BF68" s="50"/>
      <c r="BG68" s="50"/>
      <c r="BH68" s="50"/>
      <c r="BI68" s="50"/>
      <c r="BK68" s="91" t="s">
        <v>2358</v>
      </c>
      <c r="BM68" s="50">
        <v>2.0</v>
      </c>
      <c r="BN68" s="50">
        <v>2.0</v>
      </c>
      <c r="BO68" s="50">
        <v>2.0</v>
      </c>
      <c r="BP68" s="50">
        <v>2.0</v>
      </c>
      <c r="BQ68" s="50">
        <v>2.0</v>
      </c>
      <c r="BR68" s="50">
        <v>2.0</v>
      </c>
      <c r="BS68" s="50">
        <v>2.0</v>
      </c>
      <c r="BT68" s="50" t="s">
        <v>64</v>
      </c>
      <c r="BU68" s="50" t="s">
        <v>64</v>
      </c>
      <c r="BV68" s="50" t="s">
        <v>64</v>
      </c>
      <c r="BW68" s="50"/>
      <c r="BY68" s="53" t="s">
        <v>2359</v>
      </c>
      <c r="CA68" s="50">
        <v>2.0</v>
      </c>
      <c r="CB68" s="50">
        <v>2.0</v>
      </c>
      <c r="CC68" s="50">
        <v>2.0</v>
      </c>
      <c r="CD68" s="50">
        <v>2.0</v>
      </c>
      <c r="CE68" s="50">
        <v>2.0</v>
      </c>
      <c r="CF68" s="50">
        <v>2.0</v>
      </c>
      <c r="CG68" s="50">
        <v>2.0</v>
      </c>
      <c r="CH68" s="50" t="s">
        <v>64</v>
      </c>
      <c r="CI68" s="50" t="s">
        <v>64</v>
      </c>
      <c r="CJ68" s="50" t="s">
        <v>64</v>
      </c>
      <c r="CK68" s="50"/>
      <c r="CO68" s="50"/>
      <c r="CP68" s="50"/>
      <c r="CQ68" s="50"/>
      <c r="CR68" s="50"/>
      <c r="CS68" s="50"/>
      <c r="CT68" s="50"/>
      <c r="CU68" s="50"/>
      <c r="CV68" s="50"/>
      <c r="CW68" s="50"/>
      <c r="CX68" s="50"/>
      <c r="CY68" s="50"/>
      <c r="DA68" s="61" t="s">
        <v>2360</v>
      </c>
      <c r="DC68" s="50">
        <v>2.0</v>
      </c>
      <c r="DD68" s="50">
        <v>2.0</v>
      </c>
      <c r="DE68" s="50">
        <v>2.0</v>
      </c>
      <c r="DF68" s="50">
        <v>2.0</v>
      </c>
      <c r="DG68" s="50">
        <v>2.0</v>
      </c>
      <c r="DH68" s="50">
        <v>2.0</v>
      </c>
      <c r="DI68" s="50">
        <v>2.0</v>
      </c>
      <c r="DJ68" s="50" t="s">
        <v>64</v>
      </c>
      <c r="DK68" s="50" t="s">
        <v>64</v>
      </c>
      <c r="DL68" s="50" t="s">
        <v>64</v>
      </c>
      <c r="DM68" s="50"/>
      <c r="DO68" s="61" t="s">
        <v>2361</v>
      </c>
      <c r="DQ68" s="50">
        <v>2.0</v>
      </c>
      <c r="DR68" s="50">
        <v>2.0</v>
      </c>
      <c r="DS68" s="50">
        <v>2.0</v>
      </c>
      <c r="DT68" s="50">
        <v>2.0</v>
      </c>
      <c r="DU68" s="50">
        <v>2.0</v>
      </c>
      <c r="DV68" s="50">
        <v>2.0</v>
      </c>
      <c r="DW68" s="50">
        <v>2.0</v>
      </c>
      <c r="DX68" s="50" t="s">
        <v>64</v>
      </c>
      <c r="DY68" s="50" t="s">
        <v>64</v>
      </c>
      <c r="DZ68" s="50" t="s">
        <v>64</v>
      </c>
      <c r="EA68" s="50"/>
    </row>
    <row r="69" ht="15.75" customHeight="1">
      <c r="A69" s="11">
        <v>12.0</v>
      </c>
      <c r="B69" s="11" t="s">
        <v>307</v>
      </c>
      <c r="C69" s="11" t="str">
        <f t="array" ref="C69">IFERROR(INDEX(DOCUMENTOS!$E:$E,MATCH($A69,DOCUMENTOS!$A:$A,0)),"")</f>
        <v/>
      </c>
      <c r="D69" s="11" t="str">
        <f t="array" ref="D69">IFERROR(INDEX('BANCO DE PERGUNTAS'!$D:$D,MATCH($B69,'BANCO DE PERGUNTAS'!$A:$A,0)),"")</f>
        <v>Quais são as três informações mais importantes para um servidor responsável pela análise?</v>
      </c>
      <c r="E69" s="11" t="str">
        <f t="array" ref="E69">IFERROR(INDEX('BANCO DE PERGUNTAS'!$B:$B,MATCH($B69,'BANCO DE PERGUNTAS'!$A:$A,0)),"")</f>
        <v>Síntese</v>
      </c>
      <c r="F69" s="12">
        <f t="array" ref="F69">IFERROR(INDEX('BANCO DE PERGUNTAS'!$H:$H,MATCH($B69,'BANCO DE PERGUNTAS'!$A:$A,0)),"")</f>
        <v>3</v>
      </c>
      <c r="I69" s="50"/>
      <c r="J69" s="50"/>
      <c r="K69" s="50"/>
      <c r="L69" s="50"/>
      <c r="M69" s="50"/>
      <c r="N69" s="50"/>
      <c r="O69" s="50"/>
      <c r="P69" s="50"/>
      <c r="Q69" s="50"/>
      <c r="R69" s="50"/>
      <c r="S69" s="50"/>
      <c r="U69" s="89" t="s">
        <v>2362</v>
      </c>
      <c r="W69" s="50">
        <v>2.0</v>
      </c>
      <c r="X69" s="50">
        <v>2.0</v>
      </c>
      <c r="Y69" s="50">
        <v>2.0</v>
      </c>
      <c r="Z69" s="50">
        <v>2.0</v>
      </c>
      <c r="AA69" s="50">
        <v>2.0</v>
      </c>
      <c r="AB69" s="50">
        <v>2.0</v>
      </c>
      <c r="AC69" s="50">
        <v>2.0</v>
      </c>
      <c r="AD69" s="50" t="s">
        <v>64</v>
      </c>
      <c r="AE69" s="50" t="s">
        <v>64</v>
      </c>
      <c r="AF69" s="50" t="s">
        <v>64</v>
      </c>
      <c r="AG69" s="50"/>
      <c r="AI69" s="96" t="s">
        <v>2363</v>
      </c>
      <c r="AK69" s="50">
        <v>2.0</v>
      </c>
      <c r="AL69" s="50">
        <v>2.0</v>
      </c>
      <c r="AM69" s="50">
        <v>2.0</v>
      </c>
      <c r="AN69" s="50">
        <v>2.0</v>
      </c>
      <c r="AO69" s="50">
        <v>2.0</v>
      </c>
      <c r="AP69" s="50">
        <v>2.0</v>
      </c>
      <c r="AQ69" s="50">
        <v>2.0</v>
      </c>
      <c r="AR69" s="50" t="s">
        <v>64</v>
      </c>
      <c r="AS69" s="50" t="s">
        <v>64</v>
      </c>
      <c r="AT69" s="50" t="s">
        <v>64</v>
      </c>
      <c r="AU69" s="50"/>
      <c r="AY69" s="50"/>
      <c r="AZ69" s="50"/>
      <c r="BA69" s="50"/>
      <c r="BB69" s="50"/>
      <c r="BC69" s="50"/>
      <c r="BD69" s="50"/>
      <c r="BE69" s="50"/>
      <c r="BF69" s="50"/>
      <c r="BG69" s="50"/>
      <c r="BH69" s="50"/>
      <c r="BI69" s="50"/>
      <c r="BK69" s="91" t="s">
        <v>2364</v>
      </c>
      <c r="BM69" s="50">
        <v>2.0</v>
      </c>
      <c r="BN69" s="50">
        <v>2.0</v>
      </c>
      <c r="BO69" s="50">
        <v>2.0</v>
      </c>
      <c r="BP69" s="50">
        <v>2.0</v>
      </c>
      <c r="BQ69" s="50">
        <v>2.0</v>
      </c>
      <c r="BR69" s="50">
        <v>2.0</v>
      </c>
      <c r="BS69" s="50">
        <v>2.0</v>
      </c>
      <c r="BT69" s="50" t="s">
        <v>64</v>
      </c>
      <c r="BU69" s="50" t="s">
        <v>64</v>
      </c>
      <c r="BV69" s="50" t="s">
        <v>64</v>
      </c>
      <c r="BW69" s="50"/>
      <c r="BY69" s="53" t="s">
        <v>2365</v>
      </c>
      <c r="CA69" s="50">
        <v>2.0</v>
      </c>
      <c r="CB69" s="50">
        <v>2.0</v>
      </c>
      <c r="CC69" s="50">
        <v>2.0</v>
      </c>
      <c r="CD69" s="50">
        <v>2.0</v>
      </c>
      <c r="CE69" s="50">
        <v>2.0</v>
      </c>
      <c r="CF69" s="50">
        <v>2.0</v>
      </c>
      <c r="CG69" s="50">
        <v>2.0</v>
      </c>
      <c r="CH69" s="50" t="s">
        <v>64</v>
      </c>
      <c r="CI69" s="50" t="s">
        <v>64</v>
      </c>
      <c r="CJ69" s="50" t="s">
        <v>64</v>
      </c>
      <c r="CK69" s="50"/>
      <c r="CO69" s="50"/>
      <c r="CP69" s="50"/>
      <c r="CQ69" s="50"/>
      <c r="CR69" s="50"/>
      <c r="CS69" s="50"/>
      <c r="CT69" s="50"/>
      <c r="CU69" s="50"/>
      <c r="CV69" s="50"/>
      <c r="CW69" s="50"/>
      <c r="CX69" s="50"/>
      <c r="CY69" s="50"/>
      <c r="DA69" s="92" t="s">
        <v>2366</v>
      </c>
      <c r="DC69" s="50">
        <v>2.0</v>
      </c>
      <c r="DD69" s="50">
        <v>2.0</v>
      </c>
      <c r="DE69" s="50">
        <v>2.0</v>
      </c>
      <c r="DF69" s="50">
        <v>2.0</v>
      </c>
      <c r="DG69" s="50">
        <v>2.0</v>
      </c>
      <c r="DH69" s="50">
        <v>2.0</v>
      </c>
      <c r="DI69" s="50">
        <v>2.0</v>
      </c>
      <c r="DJ69" s="50" t="s">
        <v>64</v>
      </c>
      <c r="DK69" s="50" t="s">
        <v>64</v>
      </c>
      <c r="DL69" s="50" t="s">
        <v>64</v>
      </c>
      <c r="DM69" s="50"/>
      <c r="DO69" s="61" t="s">
        <v>2367</v>
      </c>
      <c r="DQ69" s="50">
        <v>2.0</v>
      </c>
      <c r="DR69" s="50">
        <v>2.0</v>
      </c>
      <c r="DS69" s="50">
        <v>2.0</v>
      </c>
      <c r="DT69" s="50">
        <v>2.0</v>
      </c>
      <c r="DU69" s="50">
        <v>2.0</v>
      </c>
      <c r="DV69" s="50">
        <v>2.0</v>
      </c>
      <c r="DW69" s="50">
        <v>2.0</v>
      </c>
      <c r="DX69" s="50" t="s">
        <v>64</v>
      </c>
      <c r="DY69" s="50" t="s">
        <v>64</v>
      </c>
      <c r="DZ69" s="50" t="s">
        <v>64</v>
      </c>
      <c r="EA69" s="50"/>
    </row>
    <row r="70" ht="15.75" customHeight="1">
      <c r="A70" s="14">
        <v>13.0</v>
      </c>
      <c r="B70" s="14" t="s">
        <v>33</v>
      </c>
      <c r="C70" s="14" t="str">
        <f t="array" ref="C70">IFERROR(INDEX(DOCUMENTOS!$E:$E,MATCH($A70,DOCUMENTOS!$A:$A,0)),"")</f>
        <v/>
      </c>
      <c r="D70" s="14" t="str">
        <f t="array" ref="D70">IFERROR(INDEX('BANCO DE PERGUNTAS'!$D:$D,MATCH($B70,'BANCO DE PERGUNTAS'!$A:$A,0)),"")</f>
        <v>Qual é o objeto principal deste documento?</v>
      </c>
      <c r="E70" s="14" t="str">
        <f t="array" ref="E70">IFERROR(INDEX('BANCO DE PERGUNTAS'!$B:$B,MATCH($B70,'BANCO DE PERGUNTAS'!$A:$A,0)),"")</f>
        <v>Identificação</v>
      </c>
      <c r="F70" s="17">
        <f t="array" ref="F70">IFERROR(INDEX('BANCO DE PERGUNTAS'!$H:$H,MATCH($B70,'BANCO DE PERGUNTAS'!$A:$A,0)),"")</f>
        <v>1</v>
      </c>
      <c r="I70" s="50"/>
      <c r="J70" s="50"/>
      <c r="K70" s="50"/>
      <c r="L70" s="50"/>
      <c r="M70" s="50"/>
      <c r="N70" s="50"/>
      <c r="O70" s="50"/>
      <c r="P70" s="50"/>
      <c r="Q70" s="50"/>
      <c r="R70" s="50"/>
      <c r="S70" s="50"/>
      <c r="U70" s="97" t="s">
        <v>2368</v>
      </c>
      <c r="W70" s="50">
        <v>2.0</v>
      </c>
      <c r="X70" s="50">
        <v>2.0</v>
      </c>
      <c r="Y70" s="50">
        <v>2.0</v>
      </c>
      <c r="Z70" s="50">
        <v>2.0</v>
      </c>
      <c r="AA70" s="50">
        <v>2.0</v>
      </c>
      <c r="AB70" s="50">
        <v>2.0</v>
      </c>
      <c r="AC70" s="50">
        <v>2.0</v>
      </c>
      <c r="AD70" s="50" t="s">
        <v>64</v>
      </c>
      <c r="AE70" s="50" t="s">
        <v>64</v>
      </c>
      <c r="AF70" s="50" t="s">
        <v>64</v>
      </c>
      <c r="AG70" s="50"/>
      <c r="AI70" s="98" t="s">
        <v>2369</v>
      </c>
      <c r="AK70" s="50">
        <v>2.0</v>
      </c>
      <c r="AL70" s="50">
        <v>2.0</v>
      </c>
      <c r="AM70" s="50">
        <v>2.0</v>
      </c>
      <c r="AN70" s="50">
        <v>2.0</v>
      </c>
      <c r="AO70" s="50">
        <v>2.0</v>
      </c>
      <c r="AP70" s="50">
        <v>2.0</v>
      </c>
      <c r="AQ70" s="50">
        <v>2.0</v>
      </c>
      <c r="AR70" s="50" t="s">
        <v>64</v>
      </c>
      <c r="AS70" s="50" t="s">
        <v>64</v>
      </c>
      <c r="AT70" s="50" t="s">
        <v>64</v>
      </c>
      <c r="AU70" s="50"/>
      <c r="AY70" s="50"/>
      <c r="AZ70" s="50"/>
      <c r="BA70" s="50"/>
      <c r="BB70" s="50"/>
      <c r="BC70" s="50"/>
      <c r="BD70" s="50"/>
      <c r="BE70" s="50"/>
      <c r="BF70" s="50"/>
      <c r="BG70" s="50"/>
      <c r="BH70" s="50"/>
      <c r="BI70" s="50"/>
      <c r="BK70" s="99" t="s">
        <v>2370</v>
      </c>
      <c r="BM70" s="50">
        <v>2.0</v>
      </c>
      <c r="BN70" s="50">
        <v>2.0</v>
      </c>
      <c r="BO70" s="50">
        <v>2.0</v>
      </c>
      <c r="BP70" s="50">
        <v>2.0</v>
      </c>
      <c r="BQ70" s="50">
        <v>2.0</v>
      </c>
      <c r="BR70" s="50">
        <v>2.0</v>
      </c>
      <c r="BS70" s="50">
        <v>2.0</v>
      </c>
      <c r="BT70" s="50" t="s">
        <v>64</v>
      </c>
      <c r="BU70" s="50" t="s">
        <v>64</v>
      </c>
      <c r="BV70" s="50" t="s">
        <v>64</v>
      </c>
      <c r="BW70" s="50"/>
      <c r="BY70" s="53" t="s">
        <v>2371</v>
      </c>
      <c r="CA70" s="50">
        <v>2.0</v>
      </c>
      <c r="CB70" s="50">
        <v>2.0</v>
      </c>
      <c r="CC70" s="50">
        <v>2.0</v>
      </c>
      <c r="CD70" s="50">
        <v>2.0</v>
      </c>
      <c r="CE70" s="50">
        <v>2.0</v>
      </c>
      <c r="CF70" s="50">
        <v>2.0</v>
      </c>
      <c r="CG70" s="50">
        <v>2.0</v>
      </c>
      <c r="CH70" s="50" t="s">
        <v>64</v>
      </c>
      <c r="CI70" s="50" t="s">
        <v>64</v>
      </c>
      <c r="CJ70" s="50" t="s">
        <v>64</v>
      </c>
      <c r="CK70" s="50"/>
      <c r="CO70" s="50"/>
      <c r="CP70" s="50"/>
      <c r="CQ70" s="50"/>
      <c r="CR70" s="50"/>
      <c r="CS70" s="50"/>
      <c r="CT70" s="50"/>
      <c r="CU70" s="50"/>
      <c r="CV70" s="50"/>
      <c r="CW70" s="50"/>
      <c r="CX70" s="50"/>
      <c r="CY70" s="50"/>
      <c r="DA70" s="61" t="s">
        <v>2372</v>
      </c>
      <c r="DC70" s="50">
        <v>2.0</v>
      </c>
      <c r="DD70" s="50">
        <v>2.0</v>
      </c>
      <c r="DE70" s="50">
        <v>2.0</v>
      </c>
      <c r="DF70" s="50">
        <v>2.0</v>
      </c>
      <c r="DG70" s="50">
        <v>2.0</v>
      </c>
      <c r="DH70" s="50">
        <v>2.0</v>
      </c>
      <c r="DI70" s="50">
        <v>2.0</v>
      </c>
      <c r="DJ70" s="50" t="s">
        <v>64</v>
      </c>
      <c r="DK70" s="50" t="s">
        <v>64</v>
      </c>
      <c r="DL70" s="50" t="s">
        <v>64</v>
      </c>
      <c r="DM70" s="50"/>
      <c r="DO70" s="100" t="s">
        <v>2373</v>
      </c>
      <c r="DQ70" s="50">
        <v>2.0</v>
      </c>
      <c r="DR70" s="50">
        <v>2.0</v>
      </c>
      <c r="DS70" s="50">
        <v>2.0</v>
      </c>
      <c r="DT70" s="50">
        <v>2.0</v>
      </c>
      <c r="DU70" s="50">
        <v>2.0</v>
      </c>
      <c r="DV70" s="50">
        <v>2.0</v>
      </c>
      <c r="DW70" s="50">
        <v>2.0</v>
      </c>
      <c r="DX70" s="50" t="s">
        <v>64</v>
      </c>
      <c r="DY70" s="50" t="s">
        <v>64</v>
      </c>
      <c r="DZ70" s="50" t="s">
        <v>64</v>
      </c>
      <c r="EA70" s="50"/>
    </row>
    <row r="71" ht="15.75" customHeight="1">
      <c r="A71" s="11">
        <v>13.0</v>
      </c>
      <c r="B71" s="11" t="s">
        <v>68</v>
      </c>
      <c r="C71" s="11" t="str">
        <f t="array" ref="C71">IFERROR(INDEX(DOCUMENTOS!$E:$E,MATCH($A71,DOCUMENTOS!$A:$A,0)),"")</f>
        <v/>
      </c>
      <c r="D71" s="11" t="str">
        <f t="array" ref="D71">IFERROR(INDEX('BANCO DE PERGUNTAS'!$D:$D,MATCH($B71,'BANCO DE PERGUNTAS'!$A:$A,0)),"")</f>
        <v>Qual é o número ou identificação do documento?</v>
      </c>
      <c r="E71" s="11" t="str">
        <f t="array" ref="E71">IFERROR(INDEX('BANCO DE PERGUNTAS'!$B:$B,MATCH($B71,'BANCO DE PERGUNTAS'!$A:$A,0)),"")</f>
        <v>Identificação</v>
      </c>
      <c r="F71" s="12">
        <f t="array" ref="F71">IFERROR(INDEX('BANCO DE PERGUNTAS'!$H:$H,MATCH($B71,'BANCO DE PERGUNTAS'!$A:$A,0)),"")</f>
        <v>1</v>
      </c>
      <c r="I71" s="50"/>
      <c r="J71" s="50"/>
      <c r="K71" s="50"/>
      <c r="L71" s="50"/>
      <c r="M71" s="50"/>
      <c r="N71" s="50"/>
      <c r="O71" s="50"/>
      <c r="P71" s="50"/>
      <c r="Q71" s="50"/>
      <c r="R71" s="50"/>
      <c r="S71" s="50"/>
      <c r="U71" s="101" t="s">
        <v>2374</v>
      </c>
      <c r="W71" s="50">
        <v>2.0</v>
      </c>
      <c r="X71" s="50">
        <v>2.0</v>
      </c>
      <c r="Y71" s="50">
        <v>2.0</v>
      </c>
      <c r="Z71" s="50">
        <v>2.0</v>
      </c>
      <c r="AA71" s="50">
        <v>2.0</v>
      </c>
      <c r="AB71" s="50">
        <v>2.0</v>
      </c>
      <c r="AC71" s="50">
        <v>2.0</v>
      </c>
      <c r="AD71" s="50" t="s">
        <v>64</v>
      </c>
      <c r="AE71" s="50" t="s">
        <v>64</v>
      </c>
      <c r="AF71" s="50" t="s">
        <v>64</v>
      </c>
      <c r="AG71" s="50"/>
      <c r="AI71" s="98" t="s">
        <v>2375</v>
      </c>
      <c r="AK71" s="50">
        <v>2.0</v>
      </c>
      <c r="AL71" s="50">
        <v>2.0</v>
      </c>
      <c r="AM71" s="50">
        <v>2.0</v>
      </c>
      <c r="AN71" s="50">
        <v>2.0</v>
      </c>
      <c r="AO71" s="50">
        <v>2.0</v>
      </c>
      <c r="AP71" s="50">
        <v>2.0</v>
      </c>
      <c r="AQ71" s="50">
        <v>2.0</v>
      </c>
      <c r="AR71" s="50" t="s">
        <v>64</v>
      </c>
      <c r="AS71" s="50" t="s">
        <v>64</v>
      </c>
      <c r="AT71" s="50" t="s">
        <v>64</v>
      </c>
      <c r="AU71" s="50"/>
      <c r="AY71" s="50"/>
      <c r="AZ71" s="50"/>
      <c r="BA71" s="50"/>
      <c r="BB71" s="50"/>
      <c r="BC71" s="50"/>
      <c r="BD71" s="50"/>
      <c r="BE71" s="50"/>
      <c r="BF71" s="50"/>
      <c r="BG71" s="50"/>
      <c r="BH71" s="50"/>
      <c r="BI71" s="50"/>
      <c r="BK71" s="99" t="s">
        <v>2376</v>
      </c>
      <c r="BM71" s="50">
        <v>2.0</v>
      </c>
      <c r="BN71" s="50">
        <v>1.0</v>
      </c>
      <c r="BO71" s="50">
        <v>1.0</v>
      </c>
      <c r="BP71" s="50">
        <v>2.0</v>
      </c>
      <c r="BQ71" s="50">
        <v>2.0</v>
      </c>
      <c r="BR71" s="50">
        <v>1.0</v>
      </c>
      <c r="BS71" s="50">
        <v>2.0</v>
      </c>
      <c r="BT71" s="50" t="s">
        <v>64</v>
      </c>
      <c r="BU71" s="50" t="s">
        <v>101</v>
      </c>
      <c r="BV71" s="50" t="s">
        <v>64</v>
      </c>
      <c r="BW71" s="50"/>
      <c r="BY71" s="53" t="s">
        <v>2377</v>
      </c>
      <c r="CA71" s="50">
        <v>2.0</v>
      </c>
      <c r="CB71" s="50">
        <v>2.0</v>
      </c>
      <c r="CC71" s="50">
        <v>2.0</v>
      </c>
      <c r="CD71" s="50">
        <v>2.0</v>
      </c>
      <c r="CE71" s="50">
        <v>2.0</v>
      </c>
      <c r="CF71" s="50">
        <v>2.0</v>
      </c>
      <c r="CG71" s="50">
        <v>2.0</v>
      </c>
      <c r="CH71" s="50" t="s">
        <v>64</v>
      </c>
      <c r="CI71" s="50" t="s">
        <v>64</v>
      </c>
      <c r="CJ71" s="50" t="s">
        <v>64</v>
      </c>
      <c r="CK71" s="50"/>
      <c r="CO71" s="50"/>
      <c r="CP71" s="50"/>
      <c r="CQ71" s="50"/>
      <c r="CR71" s="50"/>
      <c r="CS71" s="50"/>
      <c r="CT71" s="50"/>
      <c r="CU71" s="50"/>
      <c r="CV71" s="50"/>
      <c r="CW71" s="50"/>
      <c r="CX71" s="50"/>
      <c r="CY71" s="50"/>
      <c r="DA71" s="61" t="s">
        <v>2378</v>
      </c>
      <c r="DC71" s="50">
        <v>2.0</v>
      </c>
      <c r="DD71" s="50">
        <v>1.0</v>
      </c>
      <c r="DE71" s="50">
        <v>1.0</v>
      </c>
      <c r="DF71" s="50">
        <v>2.0</v>
      </c>
      <c r="DG71" s="50">
        <v>2.0</v>
      </c>
      <c r="DH71" s="50">
        <v>1.0</v>
      </c>
      <c r="DI71" s="50">
        <v>2.0</v>
      </c>
      <c r="DJ71" s="50" t="s">
        <v>64</v>
      </c>
      <c r="DK71" s="50" t="s">
        <v>101</v>
      </c>
      <c r="DL71" s="50" t="s">
        <v>64</v>
      </c>
      <c r="DM71" s="50"/>
      <c r="DO71" s="100" t="s">
        <v>2379</v>
      </c>
      <c r="DQ71" s="50">
        <v>2.0</v>
      </c>
      <c r="DR71" s="50">
        <v>1.0</v>
      </c>
      <c r="DS71" s="50">
        <v>1.0</v>
      </c>
      <c r="DT71" s="50">
        <v>2.0</v>
      </c>
      <c r="DU71" s="50">
        <v>2.0</v>
      </c>
      <c r="DV71" s="50">
        <v>1.0</v>
      </c>
      <c r="DW71" s="50">
        <v>2.0</v>
      </c>
      <c r="DX71" s="50" t="s">
        <v>64</v>
      </c>
      <c r="DY71" s="50" t="s">
        <v>101</v>
      </c>
      <c r="DZ71" s="50" t="s">
        <v>64</v>
      </c>
      <c r="EA71" s="50"/>
    </row>
    <row r="72" ht="15.75" customHeight="1">
      <c r="A72" s="14">
        <v>13.0</v>
      </c>
      <c r="B72" s="14" t="s">
        <v>90</v>
      </c>
      <c r="C72" s="14" t="str">
        <f t="array" ref="C72">IFERROR(INDEX(DOCUMENTOS!$E:$E,MATCH($A72,DOCUMENTOS!$A:$A,0)),"")</f>
        <v/>
      </c>
      <c r="D72" s="14" t="str">
        <f t="array" ref="D72">IFERROR(INDEX('BANCO DE PERGUNTAS'!$D:$D,MATCH($B72,'BANCO DE PERGUNTAS'!$A:$A,0)),"")</f>
        <v>Qual é o número do processo relacionado?</v>
      </c>
      <c r="E72" s="14" t="str">
        <f t="array" ref="E72">IFERROR(INDEX('BANCO DE PERGUNTAS'!$B:$B,MATCH($B72,'BANCO DE PERGUNTAS'!$A:$A,0)),"")</f>
        <v>Identificação</v>
      </c>
      <c r="F72" s="17">
        <f t="array" ref="F72">IFERROR(INDEX('BANCO DE PERGUNTAS'!$H:$H,MATCH($B72,'BANCO DE PERGUNTAS'!$A:$A,0)),"")</f>
        <v>1</v>
      </c>
      <c r="I72" s="50"/>
      <c r="J72" s="50"/>
      <c r="K72" s="50"/>
      <c r="L72" s="50"/>
      <c r="M72" s="50"/>
      <c r="N72" s="50"/>
      <c r="O72" s="50"/>
      <c r="P72" s="50"/>
      <c r="Q72" s="50"/>
      <c r="R72" s="50"/>
      <c r="S72" s="50"/>
      <c r="U72" s="97" t="s">
        <v>2380</v>
      </c>
      <c r="W72" s="50">
        <v>2.0</v>
      </c>
      <c r="X72" s="50">
        <v>2.0</v>
      </c>
      <c r="Y72" s="50">
        <v>2.0</v>
      </c>
      <c r="Z72" s="50">
        <v>2.0</v>
      </c>
      <c r="AA72" s="50">
        <v>2.0</v>
      </c>
      <c r="AB72" s="50">
        <v>2.0</v>
      </c>
      <c r="AC72" s="50">
        <v>2.0</v>
      </c>
      <c r="AD72" s="50" t="s">
        <v>64</v>
      </c>
      <c r="AE72" s="50" t="s">
        <v>64</v>
      </c>
      <c r="AF72" s="50" t="s">
        <v>64</v>
      </c>
      <c r="AG72" s="50"/>
      <c r="AI72" s="98" t="s">
        <v>2381</v>
      </c>
      <c r="AK72" s="50">
        <v>2.0</v>
      </c>
      <c r="AL72" s="50">
        <v>2.0</v>
      </c>
      <c r="AM72" s="50">
        <v>2.0</v>
      </c>
      <c r="AN72" s="50">
        <v>2.0</v>
      </c>
      <c r="AO72" s="50">
        <v>2.0</v>
      </c>
      <c r="AP72" s="50">
        <v>2.0</v>
      </c>
      <c r="AQ72" s="50">
        <v>2.0</v>
      </c>
      <c r="AR72" s="50" t="s">
        <v>64</v>
      </c>
      <c r="AS72" s="50" t="s">
        <v>64</v>
      </c>
      <c r="AT72" s="50" t="s">
        <v>64</v>
      </c>
      <c r="AU72" s="50"/>
      <c r="AY72" s="50"/>
      <c r="AZ72" s="50"/>
      <c r="BA72" s="50"/>
      <c r="BB72" s="50"/>
      <c r="BC72" s="50"/>
      <c r="BD72" s="50"/>
      <c r="BE72" s="50"/>
      <c r="BF72" s="50"/>
      <c r="BG72" s="50"/>
      <c r="BH72" s="50"/>
      <c r="BI72" s="50"/>
      <c r="BK72" s="99" t="s">
        <v>2382</v>
      </c>
      <c r="BM72" s="50">
        <v>2.0</v>
      </c>
      <c r="BN72" s="50">
        <v>2.0</v>
      </c>
      <c r="BO72" s="50">
        <v>2.0</v>
      </c>
      <c r="BP72" s="50">
        <v>2.0</v>
      </c>
      <c r="BQ72" s="50">
        <v>2.0</v>
      </c>
      <c r="BR72" s="50">
        <v>2.0</v>
      </c>
      <c r="BS72" s="50">
        <v>2.0</v>
      </c>
      <c r="BT72" s="50" t="s">
        <v>64</v>
      </c>
      <c r="BU72" s="50" t="s">
        <v>64</v>
      </c>
      <c r="BV72" s="50" t="s">
        <v>64</v>
      </c>
      <c r="BW72" s="50"/>
      <c r="BY72" s="53" t="s">
        <v>2383</v>
      </c>
      <c r="CA72" s="50">
        <v>2.0</v>
      </c>
      <c r="CB72" s="50">
        <v>2.0</v>
      </c>
      <c r="CC72" s="50">
        <v>2.0</v>
      </c>
      <c r="CD72" s="50">
        <v>2.0</v>
      </c>
      <c r="CE72" s="50">
        <v>2.0</v>
      </c>
      <c r="CF72" s="50">
        <v>2.0</v>
      </c>
      <c r="CG72" s="50">
        <v>2.0</v>
      </c>
      <c r="CH72" s="50" t="s">
        <v>64</v>
      </c>
      <c r="CI72" s="50" t="s">
        <v>64</v>
      </c>
      <c r="CJ72" s="50" t="s">
        <v>64</v>
      </c>
      <c r="CK72" s="50"/>
      <c r="CO72" s="50"/>
      <c r="CP72" s="50"/>
      <c r="CQ72" s="50"/>
      <c r="CR72" s="50"/>
      <c r="CS72" s="50"/>
      <c r="CT72" s="50"/>
      <c r="CU72" s="50"/>
      <c r="CV72" s="50"/>
      <c r="CW72" s="50"/>
      <c r="CX72" s="50"/>
      <c r="CY72" s="50"/>
      <c r="DA72" s="61" t="s">
        <v>2384</v>
      </c>
      <c r="DC72" s="50">
        <v>2.0</v>
      </c>
      <c r="DD72" s="50">
        <v>2.0</v>
      </c>
      <c r="DE72" s="50">
        <v>2.0</v>
      </c>
      <c r="DF72" s="50">
        <v>2.0</v>
      </c>
      <c r="DG72" s="50">
        <v>2.0</v>
      </c>
      <c r="DH72" s="50">
        <v>2.0</v>
      </c>
      <c r="DI72" s="50">
        <v>2.0</v>
      </c>
      <c r="DJ72" s="50" t="s">
        <v>64</v>
      </c>
      <c r="DK72" s="50" t="s">
        <v>64</v>
      </c>
      <c r="DL72" s="50" t="s">
        <v>64</v>
      </c>
      <c r="DM72" s="50"/>
      <c r="DO72" s="100" t="s">
        <v>2385</v>
      </c>
      <c r="DQ72" s="50">
        <v>2.0</v>
      </c>
      <c r="DR72" s="50">
        <v>2.0</v>
      </c>
      <c r="DS72" s="50">
        <v>2.0</v>
      </c>
      <c r="DT72" s="50">
        <v>2.0</v>
      </c>
      <c r="DU72" s="50">
        <v>2.0</v>
      </c>
      <c r="DV72" s="50">
        <v>2.0</v>
      </c>
      <c r="DW72" s="50">
        <v>2.0</v>
      </c>
      <c r="DX72" s="50" t="s">
        <v>64</v>
      </c>
      <c r="DY72" s="50" t="s">
        <v>64</v>
      </c>
      <c r="DZ72" s="50" t="s">
        <v>64</v>
      </c>
      <c r="EA72" s="50"/>
    </row>
    <row r="73" ht="15.75" customHeight="1">
      <c r="A73" s="11">
        <v>13.0</v>
      </c>
      <c r="B73" s="11" t="s">
        <v>103</v>
      </c>
      <c r="C73" s="11" t="str">
        <f t="array" ref="C73">IFERROR(INDEX(DOCUMENTOS!$E:$E,MATCH($A73,DOCUMENTOS!$A:$A,0)),"")</f>
        <v/>
      </c>
      <c r="D73" s="11" t="str">
        <f t="array" ref="D73">IFERROR(INDEX('BANCO DE PERGUNTAS'!$D:$D,MATCH($B73,'BANCO DE PERGUNTAS'!$A:$A,0)),"")</f>
        <v>Qual é a data do documento?</v>
      </c>
      <c r="E73" s="11" t="str">
        <f t="array" ref="E73">IFERROR(INDEX('BANCO DE PERGUNTAS'!$B:$B,MATCH($B73,'BANCO DE PERGUNTAS'!$A:$A,0)),"")</f>
        <v>Identificação</v>
      </c>
      <c r="F73" s="12">
        <f t="array" ref="F73">IFERROR(INDEX('BANCO DE PERGUNTAS'!$H:$H,MATCH($B73,'BANCO DE PERGUNTAS'!$A:$A,0)),"")</f>
        <v>1</v>
      </c>
      <c r="I73" s="50"/>
      <c r="J73" s="50"/>
      <c r="K73" s="50"/>
      <c r="L73" s="50"/>
      <c r="M73" s="50"/>
      <c r="N73" s="50"/>
      <c r="O73" s="50"/>
      <c r="P73" s="50"/>
      <c r="Q73" s="50"/>
      <c r="R73" s="50"/>
      <c r="S73" s="50"/>
      <c r="U73" s="101" t="s">
        <v>2386</v>
      </c>
      <c r="W73" s="50">
        <v>2.0</v>
      </c>
      <c r="X73" s="50">
        <v>2.0</v>
      </c>
      <c r="Y73" s="50">
        <v>2.0</v>
      </c>
      <c r="Z73" s="50">
        <v>2.0</v>
      </c>
      <c r="AA73" s="50">
        <v>2.0</v>
      </c>
      <c r="AB73" s="50">
        <v>2.0</v>
      </c>
      <c r="AC73" s="50">
        <v>2.0</v>
      </c>
      <c r="AD73" s="50" t="s">
        <v>64</v>
      </c>
      <c r="AE73" s="50" t="s">
        <v>64</v>
      </c>
      <c r="AF73" s="50" t="s">
        <v>64</v>
      </c>
      <c r="AG73" s="50"/>
      <c r="AI73" s="98" t="s">
        <v>2387</v>
      </c>
      <c r="AK73" s="50">
        <v>2.0</v>
      </c>
      <c r="AL73" s="50">
        <v>2.0</v>
      </c>
      <c r="AM73" s="50">
        <v>2.0</v>
      </c>
      <c r="AN73" s="50">
        <v>2.0</v>
      </c>
      <c r="AO73" s="50">
        <v>2.0</v>
      </c>
      <c r="AP73" s="50">
        <v>2.0</v>
      </c>
      <c r="AQ73" s="50">
        <v>2.0</v>
      </c>
      <c r="AR73" s="50" t="s">
        <v>64</v>
      </c>
      <c r="AS73" s="50" t="s">
        <v>64</v>
      </c>
      <c r="AT73" s="50" t="s">
        <v>64</v>
      </c>
      <c r="AU73" s="50"/>
      <c r="AY73" s="50"/>
      <c r="AZ73" s="50"/>
      <c r="BA73" s="50"/>
      <c r="BB73" s="50"/>
      <c r="BC73" s="50"/>
      <c r="BD73" s="50"/>
      <c r="BE73" s="50"/>
      <c r="BF73" s="50"/>
      <c r="BG73" s="50"/>
      <c r="BH73" s="50"/>
      <c r="BI73" s="50"/>
      <c r="BK73" s="99" t="s">
        <v>2388</v>
      </c>
      <c r="BM73" s="50">
        <v>2.0</v>
      </c>
      <c r="BN73" s="50">
        <v>2.0</v>
      </c>
      <c r="BO73" s="50">
        <v>2.0</v>
      </c>
      <c r="BP73" s="50">
        <v>2.0</v>
      </c>
      <c r="BQ73" s="50">
        <v>2.0</v>
      </c>
      <c r="BR73" s="50">
        <v>2.0</v>
      </c>
      <c r="BS73" s="50">
        <v>2.0</v>
      </c>
      <c r="BT73" s="50" t="s">
        <v>64</v>
      </c>
      <c r="BU73" s="50" t="s">
        <v>64</v>
      </c>
      <c r="BV73" s="50" t="s">
        <v>64</v>
      </c>
      <c r="BW73" s="50"/>
      <c r="BY73" s="53" t="s">
        <v>2389</v>
      </c>
      <c r="CA73" s="50">
        <v>2.0</v>
      </c>
      <c r="CB73" s="50">
        <v>2.0</v>
      </c>
      <c r="CC73" s="50">
        <v>2.0</v>
      </c>
      <c r="CD73" s="50">
        <v>2.0</v>
      </c>
      <c r="CE73" s="50">
        <v>2.0</v>
      </c>
      <c r="CF73" s="50">
        <v>2.0</v>
      </c>
      <c r="CG73" s="50">
        <v>2.0</v>
      </c>
      <c r="CH73" s="50" t="s">
        <v>64</v>
      </c>
      <c r="CI73" s="50" t="s">
        <v>64</v>
      </c>
      <c r="CJ73" s="50" t="s">
        <v>64</v>
      </c>
      <c r="CK73" s="50"/>
      <c r="CO73" s="50"/>
      <c r="CP73" s="50"/>
      <c r="CQ73" s="50"/>
      <c r="CR73" s="50"/>
      <c r="CS73" s="50"/>
      <c r="CT73" s="50"/>
      <c r="CU73" s="50"/>
      <c r="CV73" s="50"/>
      <c r="CW73" s="50"/>
      <c r="CX73" s="50"/>
      <c r="CY73" s="50"/>
      <c r="DA73" s="53" t="s">
        <v>2390</v>
      </c>
      <c r="DC73" s="50">
        <v>2.0</v>
      </c>
      <c r="DD73" s="50">
        <v>2.0</v>
      </c>
      <c r="DE73" s="50">
        <v>2.0</v>
      </c>
      <c r="DF73" s="50">
        <v>2.0</v>
      </c>
      <c r="DG73" s="50">
        <v>2.0</v>
      </c>
      <c r="DH73" s="50">
        <v>2.0</v>
      </c>
      <c r="DI73" s="50">
        <v>2.0</v>
      </c>
      <c r="DJ73" s="50" t="s">
        <v>64</v>
      </c>
      <c r="DK73" s="50" t="s">
        <v>64</v>
      </c>
      <c r="DL73" s="50" t="s">
        <v>64</v>
      </c>
      <c r="DM73" s="50"/>
      <c r="DO73" s="100" t="s">
        <v>2391</v>
      </c>
      <c r="DQ73" s="50">
        <v>2.0</v>
      </c>
      <c r="DR73" s="50">
        <v>2.0</v>
      </c>
      <c r="DS73" s="50">
        <v>2.0</v>
      </c>
      <c r="DT73" s="50">
        <v>2.0</v>
      </c>
      <c r="DU73" s="50">
        <v>2.0</v>
      </c>
      <c r="DV73" s="50">
        <v>2.0</v>
      </c>
      <c r="DW73" s="50">
        <v>2.0</v>
      </c>
      <c r="DX73" s="50" t="s">
        <v>64</v>
      </c>
      <c r="DY73" s="50" t="s">
        <v>64</v>
      </c>
      <c r="DZ73" s="50" t="s">
        <v>64</v>
      </c>
      <c r="EA73" s="50"/>
    </row>
    <row r="74" ht="15.75" customHeight="1">
      <c r="A74" s="14">
        <v>13.0</v>
      </c>
      <c r="B74" s="14" t="s">
        <v>117</v>
      </c>
      <c r="C74" s="14" t="str">
        <f t="array" ref="C74">IFERROR(INDEX(DOCUMENTOS!$E:$E,MATCH($A74,DOCUMENTOS!$A:$A,0)),"")</f>
        <v/>
      </c>
      <c r="D74" s="14" t="str">
        <f t="array" ref="D74">IFERROR(INDEX('BANCO DE PERGUNTAS'!$D:$D,MATCH($B74,'BANCO DE PERGUNTAS'!$A:$A,0)),"")</f>
        <v>Qual setor ou unidade está relacionado ao documento?</v>
      </c>
      <c r="E74" s="14" t="str">
        <f t="array" ref="E74">IFERROR(INDEX('BANCO DE PERGUNTAS'!$B:$B,MATCH($B74,'BANCO DE PERGUNTAS'!$A:$A,0)),"")</f>
        <v>Identificação</v>
      </c>
      <c r="F74" s="17">
        <f t="array" ref="F74">IFERROR(INDEX('BANCO DE PERGUNTAS'!$H:$H,MATCH($B74,'BANCO DE PERGUNTAS'!$A:$A,0)),"")</f>
        <v>1</v>
      </c>
      <c r="I74" s="50"/>
      <c r="J74" s="50"/>
      <c r="K74" s="50"/>
      <c r="L74" s="50"/>
      <c r="M74" s="50"/>
      <c r="N74" s="50"/>
      <c r="O74" s="50"/>
      <c r="P74" s="50"/>
      <c r="Q74" s="50"/>
      <c r="R74" s="50"/>
      <c r="S74" s="50"/>
      <c r="U74" s="97" t="s">
        <v>2392</v>
      </c>
      <c r="W74" s="50">
        <v>2.0</v>
      </c>
      <c r="X74" s="50">
        <v>2.0</v>
      </c>
      <c r="Y74" s="50">
        <v>2.0</v>
      </c>
      <c r="Z74" s="50">
        <v>2.0</v>
      </c>
      <c r="AA74" s="50">
        <v>2.0</v>
      </c>
      <c r="AB74" s="50">
        <v>2.0</v>
      </c>
      <c r="AC74" s="50">
        <v>2.0</v>
      </c>
      <c r="AD74" s="50" t="s">
        <v>64</v>
      </c>
      <c r="AE74" s="50" t="s">
        <v>64</v>
      </c>
      <c r="AF74" s="50" t="s">
        <v>64</v>
      </c>
      <c r="AG74" s="50"/>
      <c r="AI74" s="98" t="s">
        <v>2393</v>
      </c>
      <c r="AK74" s="50">
        <v>2.0</v>
      </c>
      <c r="AL74" s="50">
        <v>2.0</v>
      </c>
      <c r="AM74" s="50">
        <v>2.0</v>
      </c>
      <c r="AN74" s="50">
        <v>2.0</v>
      </c>
      <c r="AO74" s="50">
        <v>2.0</v>
      </c>
      <c r="AP74" s="50">
        <v>2.0</v>
      </c>
      <c r="AQ74" s="50">
        <v>2.0</v>
      </c>
      <c r="AR74" s="50" t="s">
        <v>64</v>
      </c>
      <c r="AS74" s="50" t="s">
        <v>64</v>
      </c>
      <c r="AT74" s="50" t="s">
        <v>64</v>
      </c>
      <c r="AU74" s="50"/>
      <c r="AY74" s="50"/>
      <c r="AZ74" s="50"/>
      <c r="BA74" s="50"/>
      <c r="BB74" s="50"/>
      <c r="BC74" s="50"/>
      <c r="BD74" s="50"/>
      <c r="BE74" s="50"/>
      <c r="BF74" s="50"/>
      <c r="BG74" s="50"/>
      <c r="BH74" s="50"/>
      <c r="BI74" s="50"/>
      <c r="BK74" s="99" t="s">
        <v>2394</v>
      </c>
      <c r="BM74" s="50">
        <v>2.0</v>
      </c>
      <c r="BN74" s="50">
        <v>2.0</v>
      </c>
      <c r="BO74" s="50">
        <v>2.0</v>
      </c>
      <c r="BP74" s="50">
        <v>2.0</v>
      </c>
      <c r="BQ74" s="50">
        <v>2.0</v>
      </c>
      <c r="BR74" s="50">
        <v>2.0</v>
      </c>
      <c r="BS74" s="50">
        <v>2.0</v>
      </c>
      <c r="BT74" s="50" t="s">
        <v>64</v>
      </c>
      <c r="BU74" s="50" t="s">
        <v>64</v>
      </c>
      <c r="BV74" s="50" t="s">
        <v>64</v>
      </c>
      <c r="BW74" s="50"/>
      <c r="BY74" s="53" t="s">
        <v>2395</v>
      </c>
      <c r="CA74" s="50">
        <v>2.0</v>
      </c>
      <c r="CB74" s="50">
        <v>2.0</v>
      </c>
      <c r="CC74" s="50">
        <v>2.0</v>
      </c>
      <c r="CD74" s="50">
        <v>2.0</v>
      </c>
      <c r="CE74" s="50">
        <v>2.0</v>
      </c>
      <c r="CF74" s="50">
        <v>2.0</v>
      </c>
      <c r="CG74" s="50">
        <v>2.0</v>
      </c>
      <c r="CH74" s="50" t="s">
        <v>64</v>
      </c>
      <c r="CI74" s="50" t="s">
        <v>64</v>
      </c>
      <c r="CJ74" s="50" t="s">
        <v>64</v>
      </c>
      <c r="CK74" s="50"/>
      <c r="CO74" s="50"/>
      <c r="CP74" s="50"/>
      <c r="CQ74" s="50"/>
      <c r="CR74" s="50"/>
      <c r="CS74" s="50"/>
      <c r="CT74" s="50"/>
      <c r="CU74" s="50"/>
      <c r="CV74" s="50"/>
      <c r="CW74" s="50"/>
      <c r="CX74" s="50"/>
      <c r="CY74" s="50"/>
      <c r="DA74" s="53" t="s">
        <v>2396</v>
      </c>
      <c r="DC74" s="50">
        <v>2.0</v>
      </c>
      <c r="DD74" s="50">
        <v>2.0</v>
      </c>
      <c r="DE74" s="50">
        <v>2.0</v>
      </c>
      <c r="DF74" s="50">
        <v>2.0</v>
      </c>
      <c r="DG74" s="50">
        <v>2.0</v>
      </c>
      <c r="DH74" s="50">
        <v>2.0</v>
      </c>
      <c r="DI74" s="50">
        <v>2.0</v>
      </c>
      <c r="DJ74" s="50" t="s">
        <v>64</v>
      </c>
      <c r="DK74" s="50" t="s">
        <v>64</v>
      </c>
      <c r="DL74" s="50" t="s">
        <v>64</v>
      </c>
      <c r="DM74" s="50"/>
      <c r="DO74" s="100" t="s">
        <v>2397</v>
      </c>
      <c r="DQ74" s="50">
        <v>2.0</v>
      </c>
      <c r="DR74" s="50">
        <v>2.0</v>
      </c>
      <c r="DS74" s="50">
        <v>2.0</v>
      </c>
      <c r="DT74" s="50">
        <v>2.0</v>
      </c>
      <c r="DU74" s="50">
        <v>2.0</v>
      </c>
      <c r="DV74" s="50">
        <v>2.0</v>
      </c>
      <c r="DW74" s="50">
        <v>2.0</v>
      </c>
      <c r="DX74" s="50" t="s">
        <v>64</v>
      </c>
      <c r="DY74" s="50" t="s">
        <v>64</v>
      </c>
      <c r="DZ74" s="50" t="s">
        <v>64</v>
      </c>
      <c r="EA74" s="50"/>
    </row>
    <row r="75" ht="15.75" customHeight="1">
      <c r="A75" s="11">
        <v>13.0</v>
      </c>
      <c r="B75" s="11" t="s">
        <v>131</v>
      </c>
      <c r="C75" s="11" t="str">
        <f t="array" ref="C75">IFERROR(INDEX(DOCUMENTOS!$E:$E,MATCH($A75,DOCUMENTOS!$A:$A,0)),"")</f>
        <v/>
      </c>
      <c r="D75" s="11" t="str">
        <f t="array" ref="D75">IFERROR(INDEX('BANCO DE PERGUNTAS'!$D:$D,MATCH($B75,'BANCO DE PERGUNTAS'!$A:$A,0)),"")</f>
        <v>Quais são as partes ou instituições mencionadas?</v>
      </c>
      <c r="E75" s="11" t="str">
        <f t="array" ref="E75">IFERROR(INDEX('BANCO DE PERGUNTAS'!$B:$B,MATCH($B75,'BANCO DE PERGUNTAS'!$A:$A,0)),"")</f>
        <v>Identificação</v>
      </c>
      <c r="F75" s="12">
        <f t="array" ref="F75">IFERROR(INDEX('BANCO DE PERGUNTAS'!$H:$H,MATCH($B75,'BANCO DE PERGUNTAS'!$A:$A,0)),"")</f>
        <v>2</v>
      </c>
      <c r="I75" s="50"/>
      <c r="J75" s="50"/>
      <c r="K75" s="50"/>
      <c r="L75" s="50"/>
      <c r="M75" s="50"/>
      <c r="N75" s="50"/>
      <c r="O75" s="50"/>
      <c r="P75" s="50"/>
      <c r="Q75" s="50"/>
      <c r="R75" s="50"/>
      <c r="S75" s="50"/>
      <c r="U75" s="101" t="s">
        <v>2398</v>
      </c>
      <c r="W75" s="50">
        <v>2.0</v>
      </c>
      <c r="X75" s="50">
        <v>2.0</v>
      </c>
      <c r="Y75" s="50">
        <v>2.0</v>
      </c>
      <c r="Z75" s="50">
        <v>2.0</v>
      </c>
      <c r="AA75" s="50">
        <v>2.0</v>
      </c>
      <c r="AB75" s="50">
        <v>2.0</v>
      </c>
      <c r="AC75" s="50">
        <v>2.0</v>
      </c>
      <c r="AD75" s="50" t="s">
        <v>64</v>
      </c>
      <c r="AE75" s="50" t="s">
        <v>64</v>
      </c>
      <c r="AF75" s="50" t="s">
        <v>64</v>
      </c>
      <c r="AG75" s="50"/>
      <c r="AI75" s="98" t="s">
        <v>2399</v>
      </c>
      <c r="AK75" s="50">
        <v>1.0</v>
      </c>
      <c r="AL75" s="50">
        <v>2.0</v>
      </c>
      <c r="AM75" s="50">
        <v>1.0</v>
      </c>
      <c r="AN75" s="50">
        <v>2.0</v>
      </c>
      <c r="AO75" s="50">
        <v>2.0</v>
      </c>
      <c r="AP75" s="50">
        <v>1.0</v>
      </c>
      <c r="AQ75" s="50">
        <v>2.0</v>
      </c>
      <c r="AR75" s="50" t="s">
        <v>64</v>
      </c>
      <c r="AS75" s="50" t="s">
        <v>64</v>
      </c>
      <c r="AT75" s="50" t="s">
        <v>101</v>
      </c>
      <c r="AU75" s="50"/>
      <c r="AY75" s="50"/>
      <c r="AZ75" s="50"/>
      <c r="BA75" s="50"/>
      <c r="BB75" s="50"/>
      <c r="BC75" s="50"/>
      <c r="BD75" s="50"/>
      <c r="BE75" s="50"/>
      <c r="BF75" s="50"/>
      <c r="BG75" s="50"/>
      <c r="BH75" s="50"/>
      <c r="BI75" s="50"/>
      <c r="BK75" s="99" t="s">
        <v>2400</v>
      </c>
      <c r="BM75" s="50">
        <v>2.0</v>
      </c>
      <c r="BN75" s="50">
        <v>2.0</v>
      </c>
      <c r="BO75" s="50">
        <v>2.0</v>
      </c>
      <c r="BP75" s="50">
        <v>2.0</v>
      </c>
      <c r="BQ75" s="50">
        <v>2.0</v>
      </c>
      <c r="BR75" s="50">
        <v>2.0</v>
      </c>
      <c r="BS75" s="50">
        <v>2.0</v>
      </c>
      <c r="BT75" s="50" t="s">
        <v>64</v>
      </c>
      <c r="BU75" s="50" t="s">
        <v>64</v>
      </c>
      <c r="BV75" s="50" t="s">
        <v>64</v>
      </c>
      <c r="BW75" s="50"/>
      <c r="BY75" s="53" t="s">
        <v>2401</v>
      </c>
      <c r="CA75" s="50">
        <v>2.0</v>
      </c>
      <c r="CB75" s="50">
        <v>2.0</v>
      </c>
      <c r="CC75" s="50">
        <v>2.0</v>
      </c>
      <c r="CD75" s="50">
        <v>2.0</v>
      </c>
      <c r="CE75" s="50">
        <v>2.0</v>
      </c>
      <c r="CF75" s="50">
        <v>2.0</v>
      </c>
      <c r="CG75" s="50">
        <v>2.0</v>
      </c>
      <c r="CH75" s="50" t="s">
        <v>64</v>
      </c>
      <c r="CI75" s="50" t="s">
        <v>64</v>
      </c>
      <c r="CJ75" s="50" t="s">
        <v>64</v>
      </c>
      <c r="CK75" s="50"/>
      <c r="CO75" s="50"/>
      <c r="CP75" s="50"/>
      <c r="CQ75" s="50"/>
      <c r="CR75" s="50"/>
      <c r="CS75" s="50"/>
      <c r="CT75" s="50"/>
      <c r="CU75" s="50"/>
      <c r="CV75" s="50"/>
      <c r="CW75" s="50"/>
      <c r="CX75" s="50"/>
      <c r="CY75" s="50"/>
      <c r="DA75" s="53" t="s">
        <v>2402</v>
      </c>
      <c r="DC75" s="50">
        <v>2.0</v>
      </c>
      <c r="DD75" s="50">
        <v>2.0</v>
      </c>
      <c r="DE75" s="50">
        <v>2.0</v>
      </c>
      <c r="DF75" s="50">
        <v>2.0</v>
      </c>
      <c r="DG75" s="50">
        <v>2.0</v>
      </c>
      <c r="DH75" s="50">
        <v>2.0</v>
      </c>
      <c r="DI75" s="50">
        <v>2.0</v>
      </c>
      <c r="DJ75" s="50" t="s">
        <v>64</v>
      </c>
      <c r="DK75" s="50" t="s">
        <v>64</v>
      </c>
      <c r="DL75" s="50" t="s">
        <v>64</v>
      </c>
      <c r="DM75" s="50"/>
      <c r="DO75" s="100" t="s">
        <v>2403</v>
      </c>
      <c r="DQ75" s="50">
        <v>2.0</v>
      </c>
      <c r="DR75" s="50">
        <v>2.0</v>
      </c>
      <c r="DS75" s="50">
        <v>2.0</v>
      </c>
      <c r="DT75" s="50">
        <v>2.0</v>
      </c>
      <c r="DU75" s="50">
        <v>2.0</v>
      </c>
      <c r="DV75" s="50">
        <v>2.0</v>
      </c>
      <c r="DW75" s="50">
        <v>2.0</v>
      </c>
      <c r="DX75" s="50" t="s">
        <v>64</v>
      </c>
      <c r="DY75" s="50" t="s">
        <v>64</v>
      </c>
      <c r="DZ75" s="50" t="s">
        <v>64</v>
      </c>
      <c r="EA75" s="50"/>
    </row>
    <row r="76" ht="15.75" customHeight="1">
      <c r="A76" s="14">
        <v>13.0</v>
      </c>
      <c r="B76" s="14" t="s">
        <v>144</v>
      </c>
      <c r="C76" s="14" t="str">
        <f t="array" ref="C76">IFERROR(INDEX(DOCUMENTOS!$E:$E,MATCH($A76,DOCUMENTOS!$A:$A,0)),"")</f>
        <v/>
      </c>
      <c r="D76" s="14" t="str">
        <f t="array" ref="D76">IFERROR(INDEX('BANCO DE PERGUNTAS'!$D:$D,MATCH($B76,'BANCO DE PERGUNTAS'!$A:$A,0)),"")</f>
        <v>Qual informação específica está apresentada na seção 08?</v>
      </c>
      <c r="E76" s="14" t="str">
        <f t="array" ref="E76">IFERROR(INDEX('BANCO DE PERGUNTAS'!$B:$B,MATCH($B76,'BANCO DE PERGUNTAS'!$A:$A,0)),"")</f>
        <v>Localização</v>
      </c>
      <c r="F76" s="17">
        <f t="array" ref="F76">IFERROR(INDEX('BANCO DE PERGUNTAS'!$H:$H,MATCH($B76,'BANCO DE PERGUNTAS'!$A:$A,0)),"")</f>
        <v>2</v>
      </c>
      <c r="I76" s="50"/>
      <c r="J76" s="50"/>
      <c r="K76" s="50"/>
      <c r="L76" s="50"/>
      <c r="M76" s="50"/>
      <c r="N76" s="50"/>
      <c r="O76" s="50"/>
      <c r="P76" s="50"/>
      <c r="Q76" s="50"/>
      <c r="R76" s="50"/>
      <c r="S76" s="50"/>
      <c r="U76" s="97" t="s">
        <v>2380</v>
      </c>
      <c r="W76" s="50">
        <v>2.0</v>
      </c>
      <c r="X76" s="50">
        <v>2.0</v>
      </c>
      <c r="Y76" s="50">
        <v>2.0</v>
      </c>
      <c r="Z76" s="50">
        <v>2.0</v>
      </c>
      <c r="AA76" s="50">
        <v>2.0</v>
      </c>
      <c r="AB76" s="50">
        <v>2.0</v>
      </c>
      <c r="AC76" s="50">
        <v>2.0</v>
      </c>
      <c r="AD76" s="50" t="s">
        <v>64</v>
      </c>
      <c r="AE76" s="50" t="s">
        <v>64</v>
      </c>
      <c r="AF76" s="50" t="s">
        <v>64</v>
      </c>
      <c r="AG76" s="50"/>
      <c r="AI76" s="98" t="s">
        <v>2404</v>
      </c>
      <c r="AK76" s="50">
        <v>2.0</v>
      </c>
      <c r="AL76" s="50">
        <v>2.0</v>
      </c>
      <c r="AM76" s="50">
        <v>2.0</v>
      </c>
      <c r="AN76" s="50">
        <v>2.0</v>
      </c>
      <c r="AO76" s="50">
        <v>2.0</v>
      </c>
      <c r="AP76" s="50">
        <v>2.0</v>
      </c>
      <c r="AQ76" s="50">
        <v>2.0</v>
      </c>
      <c r="AR76" s="50" t="s">
        <v>64</v>
      </c>
      <c r="AS76" s="50" t="s">
        <v>64</v>
      </c>
      <c r="AT76" s="50" t="s">
        <v>64</v>
      </c>
      <c r="AU76" s="50"/>
      <c r="AY76" s="50"/>
      <c r="AZ76" s="50"/>
      <c r="BA76" s="50"/>
      <c r="BB76" s="50"/>
      <c r="BC76" s="50"/>
      <c r="BD76" s="50"/>
      <c r="BE76" s="50"/>
      <c r="BF76" s="50"/>
      <c r="BG76" s="50"/>
      <c r="BH76" s="50"/>
      <c r="BI76" s="50"/>
      <c r="BK76" s="99" t="s">
        <v>2405</v>
      </c>
      <c r="BM76" s="50">
        <v>2.0</v>
      </c>
      <c r="BN76" s="50">
        <v>2.0</v>
      </c>
      <c r="BO76" s="50">
        <v>2.0</v>
      </c>
      <c r="BP76" s="50">
        <v>2.0</v>
      </c>
      <c r="BQ76" s="50">
        <v>2.0</v>
      </c>
      <c r="BR76" s="50">
        <v>2.0</v>
      </c>
      <c r="BS76" s="50">
        <v>2.0</v>
      </c>
      <c r="BT76" s="50" t="s">
        <v>64</v>
      </c>
      <c r="BU76" s="50" t="s">
        <v>64</v>
      </c>
      <c r="BV76" s="50" t="s">
        <v>64</v>
      </c>
      <c r="BW76" s="50"/>
      <c r="BY76" s="53" t="s">
        <v>2406</v>
      </c>
      <c r="CA76" s="50">
        <v>2.0</v>
      </c>
      <c r="CB76" s="50">
        <v>2.0</v>
      </c>
      <c r="CC76" s="50">
        <v>2.0</v>
      </c>
      <c r="CD76" s="50">
        <v>2.0</v>
      </c>
      <c r="CE76" s="50">
        <v>2.0</v>
      </c>
      <c r="CF76" s="50">
        <v>2.0</v>
      </c>
      <c r="CG76" s="50">
        <v>2.0</v>
      </c>
      <c r="CH76" s="50" t="s">
        <v>64</v>
      </c>
      <c r="CI76" s="50" t="s">
        <v>64</v>
      </c>
      <c r="CJ76" s="50" t="s">
        <v>64</v>
      </c>
      <c r="CK76" s="50"/>
      <c r="CO76" s="50"/>
      <c r="CP76" s="50"/>
      <c r="CQ76" s="50"/>
      <c r="CR76" s="50"/>
      <c r="CS76" s="50"/>
      <c r="CT76" s="50"/>
      <c r="CU76" s="50"/>
      <c r="CV76" s="50"/>
      <c r="CW76" s="50"/>
      <c r="CX76" s="50"/>
      <c r="CY76" s="50"/>
      <c r="DA76" s="53" t="s">
        <v>2407</v>
      </c>
      <c r="DC76" s="50">
        <v>2.0</v>
      </c>
      <c r="DD76" s="50">
        <v>2.0</v>
      </c>
      <c r="DE76" s="50">
        <v>2.0</v>
      </c>
      <c r="DF76" s="50">
        <v>2.0</v>
      </c>
      <c r="DG76" s="50">
        <v>2.0</v>
      </c>
      <c r="DH76" s="50">
        <v>2.0</v>
      </c>
      <c r="DI76" s="50">
        <v>2.0</v>
      </c>
      <c r="DJ76" s="50" t="s">
        <v>64</v>
      </c>
      <c r="DK76" s="50" t="s">
        <v>64</v>
      </c>
      <c r="DL76" s="50" t="s">
        <v>64</v>
      </c>
      <c r="DM76" s="50"/>
      <c r="DO76" s="100" t="s">
        <v>2408</v>
      </c>
      <c r="DQ76" s="50">
        <v>2.0</v>
      </c>
      <c r="DR76" s="50">
        <v>2.0</v>
      </c>
      <c r="DS76" s="50">
        <v>2.0</v>
      </c>
      <c r="DT76" s="50">
        <v>2.0</v>
      </c>
      <c r="DU76" s="50">
        <v>2.0</v>
      </c>
      <c r="DV76" s="50">
        <v>2.0</v>
      </c>
      <c r="DW76" s="50">
        <v>2.0</v>
      </c>
      <c r="DX76" s="50" t="s">
        <v>64</v>
      </c>
      <c r="DY76" s="50" t="s">
        <v>64</v>
      </c>
      <c r="DZ76" s="50" t="s">
        <v>64</v>
      </c>
      <c r="EA76" s="50"/>
    </row>
    <row r="77" ht="15.75" customHeight="1">
      <c r="A77" s="11">
        <v>13.0</v>
      </c>
      <c r="B77" s="11" t="s">
        <v>156</v>
      </c>
      <c r="C77" s="11" t="str">
        <f t="array" ref="C77">IFERROR(INDEX(DOCUMENTOS!$E:$E,MATCH($A77,DOCUMENTOS!$A:$A,0)),"")</f>
        <v/>
      </c>
      <c r="D77" s="11" t="str">
        <f t="array" ref="D77">IFERROR(INDEX('BANCO DE PERGUNTAS'!$D:$D,MATCH($B77,'BANCO DE PERGUNTAS'!$A:$A,0)),"")</f>
        <v>Em qual seção do documento está localizada a informação solicitada?</v>
      </c>
      <c r="E77" s="11" t="str">
        <f t="array" ref="E77">IFERROR(INDEX('BANCO DE PERGUNTAS'!$B:$B,MATCH($B77,'BANCO DE PERGUNTAS'!$A:$A,0)),"")</f>
        <v>Localização</v>
      </c>
      <c r="F77" s="12">
        <f t="array" ref="F77">IFERROR(INDEX('BANCO DE PERGUNTAS'!$H:$H,MATCH($B77,'BANCO DE PERGUNTAS'!$A:$A,0)),"")</f>
        <v>2</v>
      </c>
      <c r="I77" s="50"/>
      <c r="J77" s="50"/>
      <c r="K77" s="50"/>
      <c r="L77" s="50"/>
      <c r="M77" s="50"/>
      <c r="N77" s="50"/>
      <c r="O77" s="50"/>
      <c r="P77" s="50"/>
      <c r="Q77" s="50"/>
      <c r="R77" s="50"/>
      <c r="S77" s="50"/>
      <c r="U77" s="101" t="s">
        <v>2409</v>
      </c>
      <c r="W77" s="50">
        <v>2.0</v>
      </c>
      <c r="X77" s="50">
        <v>2.0</v>
      </c>
      <c r="Y77" s="50">
        <v>2.0</v>
      </c>
      <c r="Z77" s="50">
        <v>2.0</v>
      </c>
      <c r="AA77" s="50">
        <v>2.0</v>
      </c>
      <c r="AB77" s="50">
        <v>2.0</v>
      </c>
      <c r="AC77" s="50">
        <v>2.0</v>
      </c>
      <c r="AD77" s="50" t="s">
        <v>64</v>
      </c>
      <c r="AE77" s="50" t="s">
        <v>64</v>
      </c>
      <c r="AF77" s="50" t="s">
        <v>64</v>
      </c>
      <c r="AG77" s="50"/>
      <c r="AI77" s="98" t="s">
        <v>2410</v>
      </c>
      <c r="AK77" s="50">
        <v>2.0</v>
      </c>
      <c r="AL77" s="50">
        <v>2.0</v>
      </c>
      <c r="AM77" s="50">
        <v>2.0</v>
      </c>
      <c r="AN77" s="50">
        <v>2.0</v>
      </c>
      <c r="AO77" s="50">
        <v>2.0</v>
      </c>
      <c r="AP77" s="50">
        <v>2.0</v>
      </c>
      <c r="AQ77" s="50">
        <v>2.0</v>
      </c>
      <c r="AR77" s="50" t="s">
        <v>64</v>
      </c>
      <c r="AS77" s="50" t="s">
        <v>64</v>
      </c>
      <c r="AT77" s="50" t="s">
        <v>64</v>
      </c>
      <c r="AU77" s="50"/>
      <c r="AY77" s="50"/>
      <c r="AZ77" s="50"/>
      <c r="BA77" s="50"/>
      <c r="BB77" s="50"/>
      <c r="BC77" s="50"/>
      <c r="BD77" s="50"/>
      <c r="BE77" s="50"/>
      <c r="BF77" s="50"/>
      <c r="BG77" s="50"/>
      <c r="BH77" s="50"/>
      <c r="BI77" s="50"/>
      <c r="BK77" s="99" t="s">
        <v>2411</v>
      </c>
      <c r="BM77" s="50">
        <v>2.0</v>
      </c>
      <c r="BN77" s="50">
        <v>2.0</v>
      </c>
      <c r="BO77" s="50">
        <v>2.0</v>
      </c>
      <c r="BP77" s="50">
        <v>2.0</v>
      </c>
      <c r="BQ77" s="50">
        <v>2.0</v>
      </c>
      <c r="BR77" s="50">
        <v>2.0</v>
      </c>
      <c r="BS77" s="50">
        <v>2.0</v>
      </c>
      <c r="BT77" s="50" t="s">
        <v>64</v>
      </c>
      <c r="BU77" s="50" t="s">
        <v>64</v>
      </c>
      <c r="BV77" s="50" t="s">
        <v>64</v>
      </c>
      <c r="BW77" s="50"/>
      <c r="BY77" s="53" t="s">
        <v>2412</v>
      </c>
      <c r="CA77" s="50">
        <v>2.0</v>
      </c>
      <c r="CB77" s="50">
        <v>2.0</v>
      </c>
      <c r="CC77" s="50">
        <v>2.0</v>
      </c>
      <c r="CD77" s="50">
        <v>2.0</v>
      </c>
      <c r="CE77" s="50">
        <v>2.0</v>
      </c>
      <c r="CF77" s="50">
        <v>2.0</v>
      </c>
      <c r="CG77" s="50">
        <v>2.0</v>
      </c>
      <c r="CH77" s="50" t="s">
        <v>64</v>
      </c>
      <c r="CI77" s="50" t="s">
        <v>64</v>
      </c>
      <c r="CJ77" s="50" t="s">
        <v>64</v>
      </c>
      <c r="CK77" s="50"/>
      <c r="CO77" s="50"/>
      <c r="CP77" s="50"/>
      <c r="CQ77" s="50"/>
      <c r="CR77" s="50"/>
      <c r="CS77" s="50"/>
      <c r="CT77" s="50"/>
      <c r="CU77" s="50"/>
      <c r="CV77" s="50"/>
      <c r="CW77" s="50"/>
      <c r="CX77" s="50"/>
      <c r="CY77" s="50"/>
      <c r="DA77" s="53" t="s">
        <v>682</v>
      </c>
      <c r="DC77" s="50">
        <v>2.0</v>
      </c>
      <c r="DD77" s="50">
        <v>2.0</v>
      </c>
      <c r="DE77" s="50">
        <v>2.0</v>
      </c>
      <c r="DF77" s="50">
        <v>2.0</v>
      </c>
      <c r="DG77" s="50">
        <v>2.0</v>
      </c>
      <c r="DH77" s="50">
        <v>2.0</v>
      </c>
      <c r="DI77" s="50">
        <v>2.0</v>
      </c>
      <c r="DJ77" s="50" t="s">
        <v>64</v>
      </c>
      <c r="DK77" s="50" t="s">
        <v>64</v>
      </c>
      <c r="DL77" s="50" t="s">
        <v>64</v>
      </c>
      <c r="DM77" s="50"/>
      <c r="DO77" s="100" t="s">
        <v>2413</v>
      </c>
      <c r="DQ77" s="50">
        <v>2.0</v>
      </c>
      <c r="DR77" s="50">
        <v>2.0</v>
      </c>
      <c r="DS77" s="50">
        <v>2.0</v>
      </c>
      <c r="DT77" s="50">
        <v>2.0</v>
      </c>
      <c r="DU77" s="50">
        <v>2.0</v>
      </c>
      <c r="DV77" s="50">
        <v>2.0</v>
      </c>
      <c r="DW77" s="50">
        <v>2.0</v>
      </c>
      <c r="DX77" s="50" t="s">
        <v>64</v>
      </c>
      <c r="DY77" s="50" t="s">
        <v>64</v>
      </c>
      <c r="DZ77" s="50" t="s">
        <v>64</v>
      </c>
      <c r="EA77" s="50"/>
    </row>
    <row r="78" ht="15.75" customHeight="1">
      <c r="A78" s="14">
        <v>13.0</v>
      </c>
      <c r="B78" s="14" t="s">
        <v>162</v>
      </c>
      <c r="C78" s="14" t="str">
        <f t="array" ref="C78">IFERROR(INDEX(DOCUMENTOS!$E:$E,MATCH($A78,DOCUMENTOS!$A:$A,0)),"")</f>
        <v/>
      </c>
      <c r="D78" s="14" t="str">
        <f t="array" ref="D78">IFERROR(INDEX('BANCO DE PERGUNTAS'!$D:$D,MATCH($B78,'BANCO DE PERGUNTAS'!$A:$A,0)),"")</f>
        <v>Qual é o valor indicado para o Valor Total Anual do Objeto licitado?</v>
      </c>
      <c r="E78" s="14" t="str">
        <f t="array" ref="E78">IFERROR(INDEX('BANCO DE PERGUNTAS'!$B:$B,MATCH($B78,'BANCO DE PERGUNTAS'!$A:$A,0)),"")</f>
        <v>Localização</v>
      </c>
      <c r="F78" s="17">
        <f t="array" ref="F78">IFERROR(INDEX('BANCO DE PERGUNTAS'!$H:$H,MATCH($B78,'BANCO DE PERGUNTAS'!$A:$A,0)),"")</f>
        <v>1</v>
      </c>
      <c r="I78" s="50"/>
      <c r="J78" s="50"/>
      <c r="K78" s="50"/>
      <c r="L78" s="50"/>
      <c r="M78" s="50"/>
      <c r="N78" s="50"/>
      <c r="O78" s="50"/>
      <c r="P78" s="50"/>
      <c r="Q78" s="50"/>
      <c r="R78" s="50"/>
      <c r="S78" s="50"/>
      <c r="U78" s="97" t="s">
        <v>2414</v>
      </c>
      <c r="W78" s="50">
        <v>2.0</v>
      </c>
      <c r="X78" s="50">
        <v>2.0</v>
      </c>
      <c r="Y78" s="50">
        <v>2.0</v>
      </c>
      <c r="Z78" s="50">
        <v>2.0</v>
      </c>
      <c r="AA78" s="50">
        <v>2.0</v>
      </c>
      <c r="AB78" s="50">
        <v>2.0</v>
      </c>
      <c r="AC78" s="50">
        <v>2.0</v>
      </c>
      <c r="AD78" s="50" t="s">
        <v>64</v>
      </c>
      <c r="AE78" s="50" t="s">
        <v>64</v>
      </c>
      <c r="AF78" s="50" t="s">
        <v>64</v>
      </c>
      <c r="AG78" s="50"/>
      <c r="AI78" s="98" t="s">
        <v>2415</v>
      </c>
      <c r="AK78" s="50">
        <v>2.0</v>
      </c>
      <c r="AL78" s="50">
        <v>2.0</v>
      </c>
      <c r="AM78" s="50">
        <v>2.0</v>
      </c>
      <c r="AN78" s="50">
        <v>2.0</v>
      </c>
      <c r="AO78" s="50">
        <v>2.0</v>
      </c>
      <c r="AP78" s="50">
        <v>2.0</v>
      </c>
      <c r="AQ78" s="50">
        <v>2.0</v>
      </c>
      <c r="AR78" s="50" t="s">
        <v>64</v>
      </c>
      <c r="AS78" s="50" t="s">
        <v>64</v>
      </c>
      <c r="AT78" s="50" t="s">
        <v>64</v>
      </c>
      <c r="AU78" s="50"/>
      <c r="AY78" s="50"/>
      <c r="AZ78" s="50"/>
      <c r="BA78" s="50"/>
      <c r="BB78" s="50"/>
      <c r="BC78" s="50"/>
      <c r="BD78" s="50"/>
      <c r="BE78" s="50"/>
      <c r="BF78" s="50"/>
      <c r="BG78" s="50"/>
      <c r="BH78" s="50"/>
      <c r="BI78" s="50"/>
      <c r="BK78" s="99" t="s">
        <v>2416</v>
      </c>
      <c r="BM78" s="50">
        <v>2.0</v>
      </c>
      <c r="BN78" s="50">
        <v>2.0</v>
      </c>
      <c r="BO78" s="50">
        <v>2.0</v>
      </c>
      <c r="BP78" s="50">
        <v>2.0</v>
      </c>
      <c r="BQ78" s="50">
        <v>2.0</v>
      </c>
      <c r="BR78" s="50">
        <v>2.0</v>
      </c>
      <c r="BS78" s="50">
        <v>2.0</v>
      </c>
      <c r="BT78" s="50" t="s">
        <v>64</v>
      </c>
      <c r="BU78" s="50" t="s">
        <v>64</v>
      </c>
      <c r="BV78" s="50" t="s">
        <v>64</v>
      </c>
      <c r="BW78" s="50"/>
      <c r="BY78" s="53" t="s">
        <v>2417</v>
      </c>
      <c r="CA78" s="50">
        <v>2.0</v>
      </c>
      <c r="CB78" s="50">
        <v>2.0</v>
      </c>
      <c r="CC78" s="50">
        <v>2.0</v>
      </c>
      <c r="CD78" s="50">
        <v>2.0</v>
      </c>
      <c r="CE78" s="50">
        <v>2.0</v>
      </c>
      <c r="CF78" s="50">
        <v>2.0</v>
      </c>
      <c r="CG78" s="50">
        <v>2.0</v>
      </c>
      <c r="CH78" s="50" t="s">
        <v>64</v>
      </c>
      <c r="CI78" s="50" t="s">
        <v>64</v>
      </c>
      <c r="CJ78" s="50" t="s">
        <v>64</v>
      </c>
      <c r="CK78" s="50"/>
      <c r="CO78" s="50"/>
      <c r="CP78" s="50"/>
      <c r="CQ78" s="50"/>
      <c r="CR78" s="50"/>
      <c r="CS78" s="50"/>
      <c r="CT78" s="50"/>
      <c r="CU78" s="50"/>
      <c r="CV78" s="50"/>
      <c r="CW78" s="50"/>
      <c r="CX78" s="50"/>
      <c r="CY78" s="50"/>
      <c r="DA78" s="53" t="s">
        <v>2418</v>
      </c>
      <c r="DC78" s="50">
        <v>2.0</v>
      </c>
      <c r="DD78" s="50">
        <v>2.0</v>
      </c>
      <c r="DE78" s="50">
        <v>2.0</v>
      </c>
      <c r="DF78" s="50">
        <v>2.0</v>
      </c>
      <c r="DG78" s="50">
        <v>2.0</v>
      </c>
      <c r="DH78" s="50">
        <v>2.0</v>
      </c>
      <c r="DI78" s="50">
        <v>2.0</v>
      </c>
      <c r="DJ78" s="50" t="s">
        <v>64</v>
      </c>
      <c r="DK78" s="50" t="s">
        <v>64</v>
      </c>
      <c r="DL78" s="50" t="s">
        <v>64</v>
      </c>
      <c r="DM78" s="50"/>
      <c r="DO78" s="100" t="s">
        <v>2419</v>
      </c>
      <c r="DQ78" s="50">
        <v>2.0</v>
      </c>
      <c r="DR78" s="50">
        <v>2.0</v>
      </c>
      <c r="DS78" s="50">
        <v>2.0</v>
      </c>
      <c r="DT78" s="50">
        <v>2.0</v>
      </c>
      <c r="DU78" s="50">
        <v>2.0</v>
      </c>
      <c r="DV78" s="50">
        <v>2.0</v>
      </c>
      <c r="DW78" s="50">
        <v>2.0</v>
      </c>
      <c r="DX78" s="50" t="s">
        <v>64</v>
      </c>
      <c r="DY78" s="50" t="s">
        <v>64</v>
      </c>
      <c r="DZ78" s="50" t="s">
        <v>64</v>
      </c>
      <c r="EA78" s="50"/>
    </row>
    <row r="79" ht="15.75" customHeight="1">
      <c r="A79" s="11">
        <v>13.0</v>
      </c>
      <c r="B79" s="11" t="s">
        <v>168</v>
      </c>
      <c r="C79" s="11" t="str">
        <f t="array" ref="C79">IFERROR(INDEX(DOCUMENTOS!$E:$E,MATCH($A79,DOCUMENTOS!$A:$A,0)),"")</f>
        <v/>
      </c>
      <c r="D79" s="11" t="str">
        <f t="array" ref="D79">IFERROR(INDEX('BANCO DE PERGUNTAS'!$D:$D,MATCH($B79,'BANCO DE PERGUNTAS'!$A:$A,0)),"")</f>
        <v>Qual é a data indicada para de assinatura de todos os membros da comissão da contratação?</v>
      </c>
      <c r="E79" s="11" t="str">
        <f t="array" ref="E79">IFERROR(INDEX('BANCO DE PERGUNTAS'!$B:$B,MATCH($B79,'BANCO DE PERGUNTAS'!$A:$A,0)),"")</f>
        <v>Localização</v>
      </c>
      <c r="F79" s="12">
        <f t="array" ref="F79">IFERROR(INDEX('BANCO DE PERGUNTAS'!$H:$H,MATCH($B79,'BANCO DE PERGUNTAS'!$A:$A,0)),"")</f>
        <v>1</v>
      </c>
      <c r="I79" s="50"/>
      <c r="J79" s="50"/>
      <c r="K79" s="50"/>
      <c r="L79" s="50"/>
      <c r="M79" s="50"/>
      <c r="N79" s="50"/>
      <c r="O79" s="50"/>
      <c r="P79" s="50"/>
      <c r="Q79" s="50"/>
      <c r="R79" s="50"/>
      <c r="S79" s="50"/>
      <c r="U79" s="101" t="s">
        <v>2380</v>
      </c>
      <c r="W79" s="50">
        <v>2.0</v>
      </c>
      <c r="X79" s="50">
        <v>2.0</v>
      </c>
      <c r="Y79" s="50">
        <v>2.0</v>
      </c>
      <c r="Z79" s="50">
        <v>2.0</v>
      </c>
      <c r="AA79" s="50">
        <v>2.0</v>
      </c>
      <c r="AB79" s="50">
        <v>2.0</v>
      </c>
      <c r="AC79" s="50">
        <v>2.0</v>
      </c>
      <c r="AD79" s="50" t="s">
        <v>64</v>
      </c>
      <c r="AE79" s="50" t="s">
        <v>64</v>
      </c>
      <c r="AF79" s="50" t="s">
        <v>64</v>
      </c>
      <c r="AG79" s="50"/>
      <c r="AI79" s="98" t="s">
        <v>2420</v>
      </c>
      <c r="AK79" s="50">
        <v>2.0</v>
      </c>
      <c r="AL79" s="50">
        <v>2.0</v>
      </c>
      <c r="AM79" s="50">
        <v>2.0</v>
      </c>
      <c r="AN79" s="50">
        <v>2.0</v>
      </c>
      <c r="AO79" s="50">
        <v>2.0</v>
      </c>
      <c r="AP79" s="50">
        <v>2.0</v>
      </c>
      <c r="AQ79" s="50">
        <v>2.0</v>
      </c>
      <c r="AR79" s="50" t="s">
        <v>64</v>
      </c>
      <c r="AS79" s="50" t="s">
        <v>64</v>
      </c>
      <c r="AT79" s="50" t="s">
        <v>64</v>
      </c>
      <c r="AU79" s="50"/>
      <c r="AY79" s="50"/>
      <c r="AZ79" s="50"/>
      <c r="BA79" s="50"/>
      <c r="BB79" s="50"/>
      <c r="BC79" s="50"/>
      <c r="BD79" s="50"/>
      <c r="BE79" s="50"/>
      <c r="BF79" s="50"/>
      <c r="BG79" s="50"/>
      <c r="BH79" s="50"/>
      <c r="BI79" s="50"/>
      <c r="BK79" s="99" t="s">
        <v>2421</v>
      </c>
      <c r="BM79" s="50">
        <v>2.0</v>
      </c>
      <c r="BN79" s="50">
        <v>2.0</v>
      </c>
      <c r="BO79" s="50">
        <v>2.0</v>
      </c>
      <c r="BP79" s="50">
        <v>2.0</v>
      </c>
      <c r="BQ79" s="50">
        <v>2.0</v>
      </c>
      <c r="BR79" s="50">
        <v>2.0</v>
      </c>
      <c r="BS79" s="50">
        <v>2.0</v>
      </c>
      <c r="BT79" s="50" t="s">
        <v>64</v>
      </c>
      <c r="BU79" s="50" t="s">
        <v>64</v>
      </c>
      <c r="BV79" s="50" t="s">
        <v>64</v>
      </c>
      <c r="BW79" s="50"/>
      <c r="BY79" s="53" t="s">
        <v>2422</v>
      </c>
      <c r="CA79" s="50">
        <v>2.0</v>
      </c>
      <c r="CB79" s="50">
        <v>2.0</v>
      </c>
      <c r="CC79" s="50">
        <v>2.0</v>
      </c>
      <c r="CD79" s="50">
        <v>2.0</v>
      </c>
      <c r="CE79" s="50">
        <v>2.0</v>
      </c>
      <c r="CF79" s="50">
        <v>2.0</v>
      </c>
      <c r="CG79" s="50">
        <v>2.0</v>
      </c>
      <c r="CH79" s="50" t="s">
        <v>64</v>
      </c>
      <c r="CI79" s="50" t="s">
        <v>64</v>
      </c>
      <c r="CJ79" s="50" t="s">
        <v>64</v>
      </c>
      <c r="CK79" s="50"/>
      <c r="CO79" s="50"/>
      <c r="CP79" s="50"/>
      <c r="CQ79" s="50"/>
      <c r="CR79" s="50"/>
      <c r="CS79" s="50"/>
      <c r="CT79" s="50"/>
      <c r="CU79" s="50"/>
      <c r="CV79" s="50"/>
      <c r="CW79" s="50"/>
      <c r="CX79" s="50"/>
      <c r="CY79" s="50"/>
      <c r="DA79" s="53" t="s">
        <v>2384</v>
      </c>
      <c r="DC79" s="50">
        <v>2.0</v>
      </c>
      <c r="DD79" s="50">
        <v>2.0</v>
      </c>
      <c r="DE79" s="50">
        <v>2.0</v>
      </c>
      <c r="DF79" s="50">
        <v>2.0</v>
      </c>
      <c r="DG79" s="50">
        <v>2.0</v>
      </c>
      <c r="DH79" s="50">
        <v>2.0</v>
      </c>
      <c r="DI79" s="50">
        <v>2.0</v>
      </c>
      <c r="DJ79" s="50" t="s">
        <v>64</v>
      </c>
      <c r="DK79" s="50" t="s">
        <v>64</v>
      </c>
      <c r="DL79" s="50" t="s">
        <v>64</v>
      </c>
      <c r="DM79" s="50"/>
      <c r="DO79" s="100" t="s">
        <v>2423</v>
      </c>
      <c r="DQ79" s="50">
        <v>2.0</v>
      </c>
      <c r="DR79" s="50">
        <v>2.0</v>
      </c>
      <c r="DS79" s="50">
        <v>2.0</v>
      </c>
      <c r="DT79" s="50">
        <v>2.0</v>
      </c>
      <c r="DU79" s="50">
        <v>2.0</v>
      </c>
      <c r="DV79" s="50">
        <v>2.0</v>
      </c>
      <c r="DW79" s="50">
        <v>2.0</v>
      </c>
      <c r="DX79" s="50" t="s">
        <v>64</v>
      </c>
      <c r="DY79" s="50" t="s">
        <v>64</v>
      </c>
      <c r="DZ79" s="50" t="s">
        <v>64</v>
      </c>
      <c r="EA79" s="50"/>
    </row>
    <row r="80" ht="15.75" customHeight="1">
      <c r="A80" s="14">
        <v>13.0</v>
      </c>
      <c r="B80" s="14" t="s">
        <v>172</v>
      </c>
      <c r="C80" s="14" t="str">
        <f t="array" ref="C80">IFERROR(INDEX(DOCUMENTOS!$E:$E,MATCH($A80,DOCUMENTOS!$A:$A,0)),"")</f>
        <v/>
      </c>
      <c r="D80" s="14" t="str">
        <f t="array" ref="D80">IFERROR(INDEX('BANCO DE PERGUNTAS'!$D:$D,MATCH($B80,'BANCO DE PERGUNTAS'!$A:$A,0)),"")</f>
        <v>Extraia os principais dados do documento em formato estruturado.</v>
      </c>
      <c r="E80" s="14" t="str">
        <f t="array" ref="E80">IFERROR(INDEX('BANCO DE PERGUNTAS'!$B:$B,MATCH($B80,'BANCO DE PERGUNTAS'!$A:$A,0)),"")</f>
        <v>Extração</v>
      </c>
      <c r="F80" s="17">
        <f t="array" ref="F80">IFERROR(INDEX('BANCO DE PERGUNTAS'!$H:$H,MATCH($B80,'BANCO DE PERGUNTAS'!$A:$A,0)),"")</f>
        <v>2</v>
      </c>
      <c r="I80" s="50"/>
      <c r="J80" s="50"/>
      <c r="K80" s="50"/>
      <c r="L80" s="50"/>
      <c r="M80" s="50"/>
      <c r="N80" s="50"/>
      <c r="O80" s="50"/>
      <c r="P80" s="50"/>
      <c r="Q80" s="50"/>
      <c r="R80" s="50"/>
      <c r="S80" s="50"/>
      <c r="U80" s="97" t="s">
        <v>2424</v>
      </c>
      <c r="W80" s="50">
        <v>2.0</v>
      </c>
      <c r="X80" s="50">
        <v>2.0</v>
      </c>
      <c r="Y80" s="50">
        <v>2.0</v>
      </c>
      <c r="Z80" s="50">
        <v>2.0</v>
      </c>
      <c r="AA80" s="50">
        <v>2.0</v>
      </c>
      <c r="AB80" s="50">
        <v>2.0</v>
      </c>
      <c r="AC80" s="50">
        <v>2.0</v>
      </c>
      <c r="AD80" s="50" t="s">
        <v>64</v>
      </c>
      <c r="AE80" s="50" t="s">
        <v>64</v>
      </c>
      <c r="AF80" s="50" t="s">
        <v>64</v>
      </c>
      <c r="AG80" s="50"/>
      <c r="AI80" s="98" t="s">
        <v>2425</v>
      </c>
      <c r="AK80" s="50">
        <v>2.0</v>
      </c>
      <c r="AL80" s="50">
        <v>2.0</v>
      </c>
      <c r="AM80" s="50">
        <v>2.0</v>
      </c>
      <c r="AN80" s="50">
        <v>2.0</v>
      </c>
      <c r="AO80" s="50">
        <v>2.0</v>
      </c>
      <c r="AP80" s="50">
        <v>2.0</v>
      </c>
      <c r="AQ80" s="50">
        <v>2.0</v>
      </c>
      <c r="AR80" s="50" t="s">
        <v>64</v>
      </c>
      <c r="AS80" s="50" t="s">
        <v>64</v>
      </c>
      <c r="AT80" s="50" t="s">
        <v>64</v>
      </c>
      <c r="AU80" s="50"/>
      <c r="AY80" s="50"/>
      <c r="AZ80" s="50"/>
      <c r="BA80" s="50"/>
      <c r="BB80" s="50"/>
      <c r="BC80" s="50"/>
      <c r="BD80" s="50"/>
      <c r="BE80" s="50"/>
      <c r="BF80" s="50"/>
      <c r="BG80" s="50"/>
      <c r="BH80" s="50"/>
      <c r="BI80" s="50"/>
      <c r="BK80" s="99" t="s">
        <v>2426</v>
      </c>
      <c r="BM80" s="50">
        <v>2.0</v>
      </c>
      <c r="BN80" s="50">
        <v>2.0</v>
      </c>
      <c r="BO80" s="50">
        <v>2.0</v>
      </c>
      <c r="BP80" s="50">
        <v>2.0</v>
      </c>
      <c r="BQ80" s="50">
        <v>2.0</v>
      </c>
      <c r="BR80" s="50">
        <v>2.0</v>
      </c>
      <c r="BS80" s="50">
        <v>2.0</v>
      </c>
      <c r="BT80" s="50" t="s">
        <v>64</v>
      </c>
      <c r="BU80" s="50" t="s">
        <v>64</v>
      </c>
      <c r="BV80" s="50" t="s">
        <v>64</v>
      </c>
      <c r="BW80" s="50"/>
      <c r="BY80" s="53" t="s">
        <v>2427</v>
      </c>
      <c r="CA80" s="50">
        <v>2.0</v>
      </c>
      <c r="CB80" s="50">
        <v>2.0</v>
      </c>
      <c r="CC80" s="50">
        <v>2.0</v>
      </c>
      <c r="CD80" s="50">
        <v>2.0</v>
      </c>
      <c r="CE80" s="50">
        <v>2.0</v>
      </c>
      <c r="CF80" s="50">
        <v>2.0</v>
      </c>
      <c r="CG80" s="50">
        <v>2.0</v>
      </c>
      <c r="CH80" s="50" t="s">
        <v>64</v>
      </c>
      <c r="CI80" s="50" t="s">
        <v>64</v>
      </c>
      <c r="CJ80" s="50" t="s">
        <v>64</v>
      </c>
      <c r="CK80" s="50"/>
      <c r="CO80" s="50"/>
      <c r="CP80" s="50"/>
      <c r="CQ80" s="50"/>
      <c r="CR80" s="50"/>
      <c r="CS80" s="50"/>
      <c r="CT80" s="50"/>
      <c r="CU80" s="50"/>
      <c r="CV80" s="50"/>
      <c r="CW80" s="50"/>
      <c r="CX80" s="50"/>
      <c r="CY80" s="50"/>
      <c r="DA80" s="53" t="s">
        <v>2428</v>
      </c>
      <c r="DC80" s="50">
        <v>2.0</v>
      </c>
      <c r="DD80" s="50">
        <v>2.0</v>
      </c>
      <c r="DE80" s="50">
        <v>2.0</v>
      </c>
      <c r="DF80" s="50">
        <v>2.0</v>
      </c>
      <c r="DG80" s="50">
        <v>2.0</v>
      </c>
      <c r="DH80" s="50">
        <v>2.0</v>
      </c>
      <c r="DI80" s="50">
        <v>2.0</v>
      </c>
      <c r="DJ80" s="50" t="s">
        <v>64</v>
      </c>
      <c r="DK80" s="50" t="s">
        <v>64</v>
      </c>
      <c r="DL80" s="50" t="s">
        <v>64</v>
      </c>
      <c r="DM80" s="50"/>
      <c r="DO80" s="100" t="s">
        <v>2429</v>
      </c>
      <c r="DQ80" s="50">
        <v>2.0</v>
      </c>
      <c r="DR80" s="50">
        <v>2.0</v>
      </c>
      <c r="DS80" s="50">
        <v>2.0</v>
      </c>
      <c r="DT80" s="50">
        <v>2.0</v>
      </c>
      <c r="DU80" s="50">
        <v>2.0</v>
      </c>
      <c r="DV80" s="50">
        <v>2.0</v>
      </c>
      <c r="DW80" s="50">
        <v>2.0</v>
      </c>
      <c r="DX80" s="50" t="s">
        <v>64</v>
      </c>
      <c r="DY80" s="50" t="s">
        <v>64</v>
      </c>
      <c r="DZ80" s="50" t="s">
        <v>64</v>
      </c>
      <c r="EA80" s="50"/>
    </row>
    <row r="81" ht="15.75" customHeight="1">
      <c r="A81" s="11">
        <v>13.0</v>
      </c>
      <c r="B81" s="11" t="s">
        <v>179</v>
      </c>
      <c r="C81" s="11" t="str">
        <f t="array" ref="C81">IFERROR(INDEX(DOCUMENTOS!$E:$E,MATCH($A81,DOCUMENTOS!$A:$A,0)),"")</f>
        <v/>
      </c>
      <c r="D81" s="11" t="str">
        <f t="array" ref="D81">IFERROR(INDEX('BANCO DE PERGUNTAS'!$D:$D,MATCH($B81,'BANCO DE PERGUNTAS'!$A:$A,0)),"")</f>
        <v>Liste os valores financeiros presentes no documento.</v>
      </c>
      <c r="E81" s="11" t="str">
        <f t="array" ref="E81">IFERROR(INDEX('BANCO DE PERGUNTAS'!$B:$B,MATCH($B81,'BANCO DE PERGUNTAS'!$A:$A,0)),"")</f>
        <v>Extração</v>
      </c>
      <c r="F81" s="12">
        <f t="array" ref="F81">IFERROR(INDEX('BANCO DE PERGUNTAS'!$H:$H,MATCH($B81,'BANCO DE PERGUNTAS'!$A:$A,0)),"")</f>
        <v>2</v>
      </c>
      <c r="I81" s="50"/>
      <c r="J81" s="50"/>
      <c r="K81" s="50"/>
      <c r="L81" s="50"/>
      <c r="M81" s="50"/>
      <c r="N81" s="50"/>
      <c r="O81" s="50"/>
      <c r="P81" s="50"/>
      <c r="Q81" s="50"/>
      <c r="R81" s="50"/>
      <c r="S81" s="50"/>
      <c r="U81" s="101" t="s">
        <v>2430</v>
      </c>
      <c r="W81" s="50">
        <v>2.0</v>
      </c>
      <c r="X81" s="50">
        <v>2.0</v>
      </c>
      <c r="Y81" s="50">
        <v>2.0</v>
      </c>
      <c r="Z81" s="50">
        <v>2.0</v>
      </c>
      <c r="AA81" s="50">
        <v>2.0</v>
      </c>
      <c r="AB81" s="50">
        <v>2.0</v>
      </c>
      <c r="AC81" s="50">
        <v>2.0</v>
      </c>
      <c r="AD81" s="50" t="s">
        <v>64</v>
      </c>
      <c r="AE81" s="50" t="s">
        <v>64</v>
      </c>
      <c r="AF81" s="50" t="s">
        <v>64</v>
      </c>
      <c r="AG81" s="50"/>
      <c r="AI81" s="98" t="s">
        <v>2431</v>
      </c>
      <c r="AK81" s="50">
        <v>2.0</v>
      </c>
      <c r="AL81" s="50">
        <v>2.0</v>
      </c>
      <c r="AM81" s="50">
        <v>2.0</v>
      </c>
      <c r="AN81" s="50">
        <v>2.0</v>
      </c>
      <c r="AO81" s="50">
        <v>2.0</v>
      </c>
      <c r="AP81" s="50">
        <v>2.0</v>
      </c>
      <c r="AQ81" s="50">
        <v>2.0</v>
      </c>
      <c r="AR81" s="50" t="s">
        <v>64</v>
      </c>
      <c r="AS81" s="50" t="s">
        <v>64</v>
      </c>
      <c r="AT81" s="50" t="s">
        <v>64</v>
      </c>
      <c r="AU81" s="50"/>
      <c r="AY81" s="50"/>
      <c r="AZ81" s="50"/>
      <c r="BA81" s="50"/>
      <c r="BB81" s="50"/>
      <c r="BC81" s="50"/>
      <c r="BD81" s="50"/>
      <c r="BE81" s="50"/>
      <c r="BF81" s="50"/>
      <c r="BG81" s="50"/>
      <c r="BH81" s="50"/>
      <c r="BI81" s="50"/>
      <c r="BK81" s="99" t="s">
        <v>2432</v>
      </c>
      <c r="BM81" s="50">
        <v>2.0</v>
      </c>
      <c r="BN81" s="50">
        <v>2.0</v>
      </c>
      <c r="BO81" s="50">
        <v>2.0</v>
      </c>
      <c r="BP81" s="50">
        <v>2.0</v>
      </c>
      <c r="BQ81" s="50">
        <v>2.0</v>
      </c>
      <c r="BR81" s="50">
        <v>2.0</v>
      </c>
      <c r="BS81" s="50">
        <v>2.0</v>
      </c>
      <c r="BT81" s="50" t="s">
        <v>64</v>
      </c>
      <c r="BU81" s="50" t="s">
        <v>64</v>
      </c>
      <c r="BV81" s="50" t="s">
        <v>64</v>
      </c>
      <c r="BW81" s="50"/>
      <c r="BY81" s="53" t="s">
        <v>2433</v>
      </c>
      <c r="CA81" s="50">
        <v>2.0</v>
      </c>
      <c r="CB81" s="50">
        <v>2.0</v>
      </c>
      <c r="CC81" s="50">
        <v>2.0</v>
      </c>
      <c r="CD81" s="50">
        <v>2.0</v>
      </c>
      <c r="CE81" s="50">
        <v>2.0</v>
      </c>
      <c r="CF81" s="50">
        <v>2.0</v>
      </c>
      <c r="CG81" s="50">
        <v>2.0</v>
      </c>
      <c r="CH81" s="50" t="s">
        <v>64</v>
      </c>
      <c r="CI81" s="50" t="s">
        <v>64</v>
      </c>
      <c r="CJ81" s="50" t="s">
        <v>64</v>
      </c>
      <c r="CK81" s="50"/>
      <c r="CO81" s="50"/>
      <c r="CP81" s="50"/>
      <c r="CQ81" s="50"/>
      <c r="CR81" s="50"/>
      <c r="CS81" s="50"/>
      <c r="CT81" s="50"/>
      <c r="CU81" s="50"/>
      <c r="CV81" s="50"/>
      <c r="CW81" s="50"/>
      <c r="CX81" s="50"/>
      <c r="CY81" s="50"/>
      <c r="DA81" s="53" t="s">
        <v>2434</v>
      </c>
      <c r="DC81" s="50">
        <v>2.0</v>
      </c>
      <c r="DD81" s="50">
        <v>2.0</v>
      </c>
      <c r="DE81" s="50">
        <v>2.0</v>
      </c>
      <c r="DF81" s="50">
        <v>2.0</v>
      </c>
      <c r="DG81" s="50">
        <v>2.0</v>
      </c>
      <c r="DH81" s="50">
        <v>2.0</v>
      </c>
      <c r="DI81" s="50">
        <v>2.0</v>
      </c>
      <c r="DJ81" s="50" t="s">
        <v>64</v>
      </c>
      <c r="DK81" s="50" t="s">
        <v>64</v>
      </c>
      <c r="DL81" s="50" t="s">
        <v>64</v>
      </c>
      <c r="DM81" s="50"/>
      <c r="DO81" s="100" t="s">
        <v>2435</v>
      </c>
      <c r="DQ81" s="50">
        <v>2.0</v>
      </c>
      <c r="DR81" s="50">
        <v>2.0</v>
      </c>
      <c r="DS81" s="50">
        <v>2.0</v>
      </c>
      <c r="DT81" s="50">
        <v>2.0</v>
      </c>
      <c r="DU81" s="50">
        <v>2.0</v>
      </c>
      <c r="DV81" s="50">
        <v>2.0</v>
      </c>
      <c r="DW81" s="50">
        <v>2.0</v>
      </c>
      <c r="DX81" s="50" t="s">
        <v>64</v>
      </c>
      <c r="DY81" s="50" t="s">
        <v>64</v>
      </c>
      <c r="DZ81" s="50" t="s">
        <v>64</v>
      </c>
      <c r="EA81" s="50"/>
    </row>
    <row r="82" ht="15.75" customHeight="1">
      <c r="A82" s="14">
        <v>13.0</v>
      </c>
      <c r="B82" s="14" t="s">
        <v>186</v>
      </c>
      <c r="C82" s="14" t="str">
        <f t="array" ref="C82">IFERROR(INDEX(DOCUMENTOS!$E:$E,MATCH($A82,DOCUMENTOS!$A:$A,0)),"")</f>
        <v/>
      </c>
      <c r="D82" s="14" t="str">
        <f t="array" ref="D82">IFERROR(INDEX('BANCO DE PERGUNTAS'!$D:$D,MATCH($B82,'BANCO DE PERGUNTAS'!$A:$A,0)),"")</f>
        <v>Liste as obrigações ou responsabilidades estabelecidas.</v>
      </c>
      <c r="E82" s="14" t="str">
        <f t="array" ref="E82">IFERROR(INDEX('BANCO DE PERGUNTAS'!$B:$B,MATCH($B82,'BANCO DE PERGUNTAS'!$A:$A,0)),"")</f>
        <v>Extração</v>
      </c>
      <c r="F82" s="17">
        <f t="array" ref="F82">IFERROR(INDEX('BANCO DE PERGUNTAS'!$H:$H,MATCH($B82,'BANCO DE PERGUNTAS'!$A:$A,0)),"")</f>
        <v>2</v>
      </c>
      <c r="I82" s="50"/>
      <c r="J82" s="50"/>
      <c r="K82" s="50"/>
      <c r="L82" s="50"/>
      <c r="M82" s="50"/>
      <c r="N82" s="50"/>
      <c r="O82" s="50"/>
      <c r="P82" s="50"/>
      <c r="Q82" s="50"/>
      <c r="R82" s="50"/>
      <c r="S82" s="50"/>
      <c r="U82" s="97" t="s">
        <v>2436</v>
      </c>
      <c r="W82" s="50">
        <v>2.0</v>
      </c>
      <c r="X82" s="50">
        <v>2.0</v>
      </c>
      <c r="Y82" s="50">
        <v>2.0</v>
      </c>
      <c r="Z82" s="50">
        <v>2.0</v>
      </c>
      <c r="AA82" s="50">
        <v>2.0</v>
      </c>
      <c r="AB82" s="50">
        <v>2.0</v>
      </c>
      <c r="AC82" s="50">
        <v>2.0</v>
      </c>
      <c r="AD82" s="50" t="s">
        <v>64</v>
      </c>
      <c r="AE82" s="50" t="s">
        <v>64</v>
      </c>
      <c r="AF82" s="50" t="s">
        <v>64</v>
      </c>
      <c r="AG82" s="50"/>
      <c r="AI82" s="98" t="s">
        <v>2437</v>
      </c>
      <c r="AK82" s="50">
        <v>2.0</v>
      </c>
      <c r="AL82" s="50">
        <v>2.0</v>
      </c>
      <c r="AM82" s="50">
        <v>2.0</v>
      </c>
      <c r="AN82" s="50">
        <v>2.0</v>
      </c>
      <c r="AO82" s="50">
        <v>2.0</v>
      </c>
      <c r="AP82" s="50">
        <v>2.0</v>
      </c>
      <c r="AQ82" s="50">
        <v>2.0</v>
      </c>
      <c r="AR82" s="50" t="s">
        <v>64</v>
      </c>
      <c r="AS82" s="50" t="s">
        <v>64</v>
      </c>
      <c r="AT82" s="50" t="s">
        <v>64</v>
      </c>
      <c r="AU82" s="50"/>
      <c r="AY82" s="50"/>
      <c r="AZ82" s="50"/>
      <c r="BA82" s="50"/>
      <c r="BB82" s="50"/>
      <c r="BC82" s="50"/>
      <c r="BD82" s="50"/>
      <c r="BE82" s="50"/>
      <c r="BF82" s="50"/>
      <c r="BG82" s="50"/>
      <c r="BH82" s="50"/>
      <c r="BI82" s="50"/>
      <c r="BK82" s="99" t="s">
        <v>2438</v>
      </c>
      <c r="BM82" s="50">
        <v>2.0</v>
      </c>
      <c r="BN82" s="50">
        <v>2.0</v>
      </c>
      <c r="BO82" s="50">
        <v>2.0</v>
      </c>
      <c r="BP82" s="50">
        <v>2.0</v>
      </c>
      <c r="BQ82" s="50">
        <v>2.0</v>
      </c>
      <c r="BR82" s="50">
        <v>2.0</v>
      </c>
      <c r="BS82" s="50">
        <v>2.0</v>
      </c>
      <c r="BT82" s="50" t="s">
        <v>64</v>
      </c>
      <c r="BU82" s="50" t="s">
        <v>64</v>
      </c>
      <c r="BV82" s="50" t="s">
        <v>64</v>
      </c>
      <c r="BW82" s="50"/>
      <c r="BY82" s="53" t="s">
        <v>2439</v>
      </c>
      <c r="CA82" s="50">
        <v>2.0</v>
      </c>
      <c r="CB82" s="50">
        <v>2.0</v>
      </c>
      <c r="CC82" s="50">
        <v>2.0</v>
      </c>
      <c r="CD82" s="50">
        <v>2.0</v>
      </c>
      <c r="CE82" s="50">
        <v>2.0</v>
      </c>
      <c r="CF82" s="50">
        <v>2.0</v>
      </c>
      <c r="CG82" s="50">
        <v>2.0</v>
      </c>
      <c r="CH82" s="50" t="s">
        <v>64</v>
      </c>
      <c r="CI82" s="50" t="s">
        <v>64</v>
      </c>
      <c r="CJ82" s="50" t="s">
        <v>64</v>
      </c>
      <c r="CK82" s="50"/>
      <c r="CO82" s="50"/>
      <c r="CP82" s="50"/>
      <c r="CQ82" s="50"/>
      <c r="CR82" s="50"/>
      <c r="CS82" s="50"/>
      <c r="CT82" s="50"/>
      <c r="CU82" s="50"/>
      <c r="CV82" s="50"/>
      <c r="CW82" s="50"/>
      <c r="CX82" s="50"/>
      <c r="CY82" s="50"/>
      <c r="DA82" s="53" t="s">
        <v>2440</v>
      </c>
      <c r="DC82" s="50">
        <v>2.0</v>
      </c>
      <c r="DD82" s="50">
        <v>2.0</v>
      </c>
      <c r="DE82" s="50">
        <v>2.0</v>
      </c>
      <c r="DF82" s="50">
        <v>2.0</v>
      </c>
      <c r="DG82" s="50">
        <v>2.0</v>
      </c>
      <c r="DH82" s="50">
        <v>2.0</v>
      </c>
      <c r="DI82" s="50">
        <v>2.0</v>
      </c>
      <c r="DJ82" s="50" t="s">
        <v>64</v>
      </c>
      <c r="DK82" s="50" t="s">
        <v>64</v>
      </c>
      <c r="DL82" s="50" t="s">
        <v>64</v>
      </c>
      <c r="DM82" s="50"/>
      <c r="DO82" s="100" t="s">
        <v>2441</v>
      </c>
      <c r="DQ82" s="50">
        <v>0.0</v>
      </c>
      <c r="DR82" s="50">
        <v>1.0</v>
      </c>
      <c r="DS82" s="50">
        <v>1.0</v>
      </c>
      <c r="DT82" s="50">
        <v>2.0</v>
      </c>
      <c r="DU82" s="50">
        <v>2.0</v>
      </c>
      <c r="DV82" s="50">
        <v>1.0</v>
      </c>
      <c r="DW82" s="50">
        <v>0.0</v>
      </c>
      <c r="DX82" s="50" t="s">
        <v>101</v>
      </c>
      <c r="DY82" s="50" t="s">
        <v>101</v>
      </c>
      <c r="DZ82" s="50" t="s">
        <v>101</v>
      </c>
      <c r="EA82" s="50" t="s">
        <v>326</v>
      </c>
    </row>
    <row r="83" ht="15.75" customHeight="1">
      <c r="A83" s="11">
        <v>13.0</v>
      </c>
      <c r="B83" s="11" t="s">
        <v>190</v>
      </c>
      <c r="C83" s="11" t="str">
        <f t="array" ref="C83">IFERROR(INDEX(DOCUMENTOS!$E:$E,MATCH($A83,DOCUMENTOS!$A:$A,0)),"")</f>
        <v/>
      </c>
      <c r="D83" s="11" t="str">
        <f t="array" ref="D83">IFERROR(INDEX('BANCO DE PERGUNTAS'!$D:$D,MATCH($B83,'BANCO DE PERGUNTAS'!$A:$A,0)),"")</f>
        <v>Explique o significado da cláusula/seção 4.1.4..</v>
      </c>
      <c r="E83" s="11" t="str">
        <f t="array" ref="E83">IFERROR(INDEX('BANCO DE PERGUNTAS'!$B:$B,MATCH($B83,'BANCO DE PERGUNTAS'!$A:$A,0)),"")</f>
        <v>Interpretação</v>
      </c>
      <c r="F83" s="12">
        <f t="array" ref="F83">IFERROR(INDEX('BANCO DE PERGUNTAS'!$H:$H,MATCH($B83,'BANCO DE PERGUNTAS'!$A:$A,0)),"")</f>
        <v>3</v>
      </c>
      <c r="I83" s="50"/>
      <c r="J83" s="50"/>
      <c r="K83" s="50"/>
      <c r="L83" s="50"/>
      <c r="M83" s="50"/>
      <c r="N83" s="50"/>
      <c r="O83" s="50"/>
      <c r="P83" s="50"/>
      <c r="Q83" s="50"/>
      <c r="R83" s="50"/>
      <c r="S83" s="50"/>
      <c r="U83" s="101" t="s">
        <v>2380</v>
      </c>
      <c r="W83" s="50">
        <v>2.0</v>
      </c>
      <c r="X83" s="50">
        <v>2.0</v>
      </c>
      <c r="Y83" s="50">
        <v>2.0</v>
      </c>
      <c r="Z83" s="50">
        <v>2.0</v>
      </c>
      <c r="AA83" s="50">
        <v>2.0</v>
      </c>
      <c r="AB83" s="50">
        <v>2.0</v>
      </c>
      <c r="AC83" s="50">
        <v>2.0</v>
      </c>
      <c r="AD83" s="50" t="s">
        <v>64</v>
      </c>
      <c r="AE83" s="50" t="s">
        <v>64</v>
      </c>
      <c r="AF83" s="50" t="s">
        <v>64</v>
      </c>
      <c r="AG83" s="50"/>
      <c r="AI83" s="98" t="s">
        <v>2442</v>
      </c>
      <c r="AK83" s="50">
        <v>2.0</v>
      </c>
      <c r="AL83" s="50">
        <v>2.0</v>
      </c>
      <c r="AM83" s="50">
        <v>2.0</v>
      </c>
      <c r="AN83" s="50">
        <v>2.0</v>
      </c>
      <c r="AO83" s="50">
        <v>2.0</v>
      </c>
      <c r="AP83" s="50">
        <v>2.0</v>
      </c>
      <c r="AQ83" s="50">
        <v>2.0</v>
      </c>
      <c r="AR83" s="50" t="s">
        <v>64</v>
      </c>
      <c r="AS83" s="50" t="s">
        <v>64</v>
      </c>
      <c r="AT83" s="50" t="s">
        <v>64</v>
      </c>
      <c r="AU83" s="50"/>
      <c r="AY83" s="50"/>
      <c r="AZ83" s="50"/>
      <c r="BA83" s="50"/>
      <c r="BB83" s="50"/>
      <c r="BC83" s="50"/>
      <c r="BD83" s="50"/>
      <c r="BE83" s="50"/>
      <c r="BF83" s="50"/>
      <c r="BG83" s="50"/>
      <c r="BH83" s="50"/>
      <c r="BI83" s="50"/>
      <c r="BK83" s="99" t="s">
        <v>2443</v>
      </c>
      <c r="BM83" s="50">
        <v>2.0</v>
      </c>
      <c r="BN83" s="50">
        <v>2.0</v>
      </c>
      <c r="BO83" s="50">
        <v>2.0</v>
      </c>
      <c r="BP83" s="50">
        <v>2.0</v>
      </c>
      <c r="BQ83" s="50">
        <v>2.0</v>
      </c>
      <c r="BR83" s="50">
        <v>2.0</v>
      </c>
      <c r="BS83" s="50">
        <v>2.0</v>
      </c>
      <c r="BT83" s="50" t="s">
        <v>64</v>
      </c>
      <c r="BU83" s="50" t="s">
        <v>64</v>
      </c>
      <c r="BV83" s="50" t="s">
        <v>64</v>
      </c>
      <c r="BW83" s="50"/>
      <c r="BY83" s="53" t="s">
        <v>2444</v>
      </c>
      <c r="CA83" s="50">
        <v>2.0</v>
      </c>
      <c r="CB83" s="50">
        <v>2.0</v>
      </c>
      <c r="CC83" s="50">
        <v>2.0</v>
      </c>
      <c r="CD83" s="50">
        <v>2.0</v>
      </c>
      <c r="CE83" s="50">
        <v>2.0</v>
      </c>
      <c r="CF83" s="50">
        <v>2.0</v>
      </c>
      <c r="CG83" s="50">
        <v>2.0</v>
      </c>
      <c r="CH83" s="50" t="s">
        <v>64</v>
      </c>
      <c r="CI83" s="50" t="s">
        <v>64</v>
      </c>
      <c r="CJ83" s="50" t="s">
        <v>64</v>
      </c>
      <c r="CK83" s="50"/>
      <c r="CO83" s="50"/>
      <c r="CP83" s="50"/>
      <c r="CQ83" s="50"/>
      <c r="CR83" s="50"/>
      <c r="CS83" s="50"/>
      <c r="CT83" s="50"/>
      <c r="CU83" s="50"/>
      <c r="CV83" s="50"/>
      <c r="CW83" s="50"/>
      <c r="CX83" s="50"/>
      <c r="CY83" s="50"/>
      <c r="DA83" s="53" t="s">
        <v>2445</v>
      </c>
      <c r="DC83" s="50">
        <v>2.0</v>
      </c>
      <c r="DD83" s="50">
        <v>2.0</v>
      </c>
      <c r="DE83" s="50">
        <v>2.0</v>
      </c>
      <c r="DF83" s="50">
        <v>2.0</v>
      </c>
      <c r="DG83" s="50">
        <v>2.0</v>
      </c>
      <c r="DH83" s="50">
        <v>2.0</v>
      </c>
      <c r="DI83" s="50">
        <v>2.0</v>
      </c>
      <c r="DJ83" s="50" t="s">
        <v>64</v>
      </c>
      <c r="DK83" s="50" t="s">
        <v>64</v>
      </c>
      <c r="DL83" s="50" t="s">
        <v>64</v>
      </c>
      <c r="DM83" s="50"/>
      <c r="DO83" s="100" t="s">
        <v>2446</v>
      </c>
      <c r="DQ83" s="50">
        <v>2.0</v>
      </c>
      <c r="DR83" s="50">
        <v>2.0</v>
      </c>
      <c r="DS83" s="50">
        <v>2.0</v>
      </c>
      <c r="DT83" s="50">
        <v>2.0</v>
      </c>
      <c r="DU83" s="50">
        <v>2.0</v>
      </c>
      <c r="DV83" s="50">
        <v>2.0</v>
      </c>
      <c r="DW83" s="50">
        <v>2.0</v>
      </c>
      <c r="DX83" s="50" t="s">
        <v>64</v>
      </c>
      <c r="DY83" s="50" t="s">
        <v>64</v>
      </c>
      <c r="DZ83" s="50" t="s">
        <v>64</v>
      </c>
      <c r="EA83" s="50"/>
    </row>
    <row r="84" ht="15.75" customHeight="1">
      <c r="A84" s="14">
        <v>13.0</v>
      </c>
      <c r="B84" s="14" t="s">
        <v>199</v>
      </c>
      <c r="C84" s="14" t="str">
        <f t="array" ref="C84">IFERROR(INDEX(DOCUMENTOS!$E:$E,MATCH($A84,DOCUMENTOS!$A:$A,0)),"")</f>
        <v/>
      </c>
      <c r="D84" s="14" t="str">
        <f t="array" ref="D84">IFERROR(INDEX('BANCO DE PERGUNTAS'!$D:$D,MATCH($B84,'BANCO DE PERGUNTAS'!$A:$A,0)),"")</f>
        <v>Qual é a finalidade administrativa deste documento?</v>
      </c>
      <c r="E84" s="14" t="str">
        <f t="array" ref="E84">IFERROR(INDEX('BANCO DE PERGUNTAS'!$B:$B,MATCH($B84,'BANCO DE PERGUNTAS'!$A:$A,0)),"")</f>
        <v>Interpretação</v>
      </c>
      <c r="F84" s="17">
        <f t="array" ref="F84">IFERROR(INDEX('BANCO DE PERGUNTAS'!$H:$H,MATCH($B84,'BANCO DE PERGUNTAS'!$A:$A,0)),"")</f>
        <v>3</v>
      </c>
      <c r="I84" s="50"/>
      <c r="J84" s="50"/>
      <c r="K84" s="50"/>
      <c r="L84" s="50"/>
      <c r="M84" s="50"/>
      <c r="N84" s="50"/>
      <c r="O84" s="50"/>
      <c r="P84" s="50"/>
      <c r="Q84" s="50"/>
      <c r="R84" s="50"/>
      <c r="S84" s="50"/>
      <c r="U84" s="97" t="s">
        <v>2447</v>
      </c>
      <c r="W84" s="86">
        <v>2.0</v>
      </c>
      <c r="X84" s="86">
        <v>2.0</v>
      </c>
      <c r="Y84" s="86">
        <v>2.0</v>
      </c>
      <c r="Z84" s="86">
        <v>2.0</v>
      </c>
      <c r="AA84" s="86">
        <v>2.0</v>
      </c>
      <c r="AB84" s="86">
        <v>2.0</v>
      </c>
      <c r="AC84" s="86">
        <v>2.0</v>
      </c>
      <c r="AD84" s="87" t="s">
        <v>64</v>
      </c>
      <c r="AE84" s="87" t="s">
        <v>64</v>
      </c>
      <c r="AF84" s="87" t="s">
        <v>64</v>
      </c>
      <c r="AG84" s="50"/>
      <c r="AI84" s="98" t="s">
        <v>2448</v>
      </c>
      <c r="AK84" s="50">
        <v>2.0</v>
      </c>
      <c r="AL84" s="50">
        <v>2.0</v>
      </c>
      <c r="AM84" s="50">
        <v>2.0</v>
      </c>
      <c r="AN84" s="50">
        <v>2.0</v>
      </c>
      <c r="AO84" s="50">
        <v>2.0</v>
      </c>
      <c r="AP84" s="50">
        <v>2.0</v>
      </c>
      <c r="AQ84" s="50">
        <v>2.0</v>
      </c>
      <c r="AR84" s="50" t="s">
        <v>64</v>
      </c>
      <c r="AS84" s="50" t="s">
        <v>64</v>
      </c>
      <c r="AT84" s="50" t="s">
        <v>64</v>
      </c>
      <c r="AU84" s="50"/>
      <c r="AY84" s="50"/>
      <c r="AZ84" s="50"/>
      <c r="BA84" s="50"/>
      <c r="BB84" s="50"/>
      <c r="BC84" s="50"/>
      <c r="BD84" s="50"/>
      <c r="BE84" s="50"/>
      <c r="BF84" s="50"/>
      <c r="BG84" s="50"/>
      <c r="BH84" s="50"/>
      <c r="BI84" s="50"/>
      <c r="BK84" s="99" t="s">
        <v>2449</v>
      </c>
      <c r="BM84" s="50">
        <v>2.0</v>
      </c>
      <c r="BN84" s="50">
        <v>2.0</v>
      </c>
      <c r="BO84" s="50">
        <v>2.0</v>
      </c>
      <c r="BP84" s="50">
        <v>2.0</v>
      </c>
      <c r="BQ84" s="50">
        <v>2.0</v>
      </c>
      <c r="BR84" s="50">
        <v>2.0</v>
      </c>
      <c r="BS84" s="50">
        <v>2.0</v>
      </c>
      <c r="BT84" s="50" t="s">
        <v>64</v>
      </c>
      <c r="BU84" s="50" t="s">
        <v>64</v>
      </c>
      <c r="BV84" s="50" t="s">
        <v>64</v>
      </c>
      <c r="BW84" s="50"/>
      <c r="BY84" s="53" t="s">
        <v>2450</v>
      </c>
      <c r="CA84" s="50">
        <v>2.0</v>
      </c>
      <c r="CB84" s="50">
        <v>2.0</v>
      </c>
      <c r="CC84" s="50">
        <v>2.0</v>
      </c>
      <c r="CD84" s="50">
        <v>2.0</v>
      </c>
      <c r="CE84" s="50">
        <v>2.0</v>
      </c>
      <c r="CF84" s="50">
        <v>2.0</v>
      </c>
      <c r="CG84" s="50">
        <v>2.0</v>
      </c>
      <c r="CH84" s="50" t="s">
        <v>64</v>
      </c>
      <c r="CI84" s="50" t="s">
        <v>64</v>
      </c>
      <c r="CJ84" s="50" t="s">
        <v>64</v>
      </c>
      <c r="CK84" s="50"/>
      <c r="CO84" s="50"/>
      <c r="CP84" s="50"/>
      <c r="CQ84" s="50"/>
      <c r="CR84" s="50"/>
      <c r="CS84" s="50"/>
      <c r="CT84" s="50"/>
      <c r="CU84" s="50"/>
      <c r="CV84" s="50"/>
      <c r="CW84" s="50"/>
      <c r="CX84" s="50"/>
      <c r="CY84" s="50"/>
      <c r="DA84" s="53" t="s">
        <v>2451</v>
      </c>
      <c r="DC84" s="50">
        <v>2.0</v>
      </c>
      <c r="DD84" s="50">
        <v>2.0</v>
      </c>
      <c r="DE84" s="50">
        <v>2.0</v>
      </c>
      <c r="DF84" s="50">
        <v>2.0</v>
      </c>
      <c r="DG84" s="50">
        <v>2.0</v>
      </c>
      <c r="DH84" s="50">
        <v>2.0</v>
      </c>
      <c r="DI84" s="50">
        <v>2.0</v>
      </c>
      <c r="DJ84" s="50" t="s">
        <v>64</v>
      </c>
      <c r="DK84" s="50" t="s">
        <v>64</v>
      </c>
      <c r="DL84" s="50" t="s">
        <v>64</v>
      </c>
      <c r="DM84" s="50"/>
      <c r="DO84" s="100" t="s">
        <v>2452</v>
      </c>
      <c r="DQ84" s="50">
        <v>2.0</v>
      </c>
      <c r="DR84" s="50">
        <v>2.0</v>
      </c>
      <c r="DS84" s="50">
        <v>2.0</v>
      </c>
      <c r="DT84" s="50">
        <v>2.0</v>
      </c>
      <c r="DU84" s="50">
        <v>2.0</v>
      </c>
      <c r="DV84" s="50">
        <v>2.0</v>
      </c>
      <c r="DW84" s="50">
        <v>2.0</v>
      </c>
      <c r="DX84" s="50" t="s">
        <v>64</v>
      </c>
      <c r="DY84" s="50" t="s">
        <v>64</v>
      </c>
      <c r="DZ84" s="50" t="s">
        <v>64</v>
      </c>
      <c r="EA84" s="50"/>
    </row>
    <row r="85" ht="15.75" customHeight="1">
      <c r="A85" s="11">
        <v>13.0</v>
      </c>
      <c r="B85" s="11" t="s">
        <v>203</v>
      </c>
      <c r="C85" s="11" t="str">
        <f t="array" ref="C85">IFERROR(INDEX(DOCUMENTOS!$E:$E,MATCH($A85,DOCUMENTOS!$A:$A,0)),"")</f>
        <v/>
      </c>
      <c r="D85" s="11" t="str">
        <f t="array" ref="D85">IFERROR(INDEX('BANCO DE PERGUNTAS'!$D:$D,MATCH($B85,'BANCO DE PERGUNTAS'!$A:$A,0)),"")</f>
        <v>Qual consequência decorre da informação estabelecida em 4.11?</v>
      </c>
      <c r="E85" s="11" t="str">
        <f t="array" ref="E85">IFERROR(INDEX('BANCO DE PERGUNTAS'!$B:$B,MATCH($B85,'BANCO DE PERGUNTAS'!$A:$A,0)),"")</f>
        <v>Interpretação</v>
      </c>
      <c r="F85" s="12">
        <f t="array" ref="F85">IFERROR(INDEX('BANCO DE PERGUNTAS'!$H:$H,MATCH($B85,'BANCO DE PERGUNTAS'!$A:$A,0)),"")</f>
        <v>3</v>
      </c>
      <c r="I85" s="50"/>
      <c r="J85" s="50"/>
      <c r="K85" s="50"/>
      <c r="L85" s="50"/>
      <c r="M85" s="50"/>
      <c r="N85" s="50"/>
      <c r="O85" s="50"/>
      <c r="P85" s="50"/>
      <c r="Q85" s="50"/>
      <c r="R85" s="50"/>
      <c r="S85" s="50"/>
      <c r="U85" s="101" t="s">
        <v>2380</v>
      </c>
      <c r="W85" s="86">
        <v>2.0</v>
      </c>
      <c r="X85" s="86">
        <v>2.0</v>
      </c>
      <c r="Y85" s="86">
        <v>2.0</v>
      </c>
      <c r="Z85" s="86">
        <v>2.0</v>
      </c>
      <c r="AA85" s="86">
        <v>2.0</v>
      </c>
      <c r="AB85" s="86">
        <v>2.0</v>
      </c>
      <c r="AC85" s="86">
        <v>2.0</v>
      </c>
      <c r="AD85" s="87" t="s">
        <v>64</v>
      </c>
      <c r="AE85" s="87" t="s">
        <v>64</v>
      </c>
      <c r="AF85" s="87" t="s">
        <v>64</v>
      </c>
      <c r="AG85" s="50"/>
      <c r="AI85" s="98" t="s">
        <v>2453</v>
      </c>
      <c r="AK85" s="86">
        <v>2.0</v>
      </c>
      <c r="AL85" s="86">
        <v>2.0</v>
      </c>
      <c r="AM85" s="86">
        <v>2.0</v>
      </c>
      <c r="AN85" s="86">
        <v>2.0</v>
      </c>
      <c r="AO85" s="86">
        <v>2.0</v>
      </c>
      <c r="AP85" s="86">
        <v>2.0</v>
      </c>
      <c r="AQ85" s="86">
        <v>2.0</v>
      </c>
      <c r="AR85" s="87" t="s">
        <v>64</v>
      </c>
      <c r="AS85" s="87" t="s">
        <v>64</v>
      </c>
      <c r="AT85" s="87" t="s">
        <v>64</v>
      </c>
      <c r="AU85" s="50"/>
      <c r="AY85" s="50"/>
      <c r="AZ85" s="50"/>
      <c r="BA85" s="50"/>
      <c r="BB85" s="50"/>
      <c r="BC85" s="50"/>
      <c r="BD85" s="50"/>
      <c r="BE85" s="50"/>
      <c r="BF85" s="50"/>
      <c r="BG85" s="50"/>
      <c r="BH85" s="50"/>
      <c r="BI85" s="50"/>
      <c r="BK85" s="99" t="s">
        <v>2454</v>
      </c>
      <c r="BM85" s="86">
        <v>2.0</v>
      </c>
      <c r="BN85" s="86">
        <v>2.0</v>
      </c>
      <c r="BO85" s="86">
        <v>2.0</v>
      </c>
      <c r="BP85" s="86">
        <v>2.0</v>
      </c>
      <c r="BQ85" s="86">
        <v>2.0</v>
      </c>
      <c r="BR85" s="86">
        <v>2.0</v>
      </c>
      <c r="BS85" s="86">
        <v>2.0</v>
      </c>
      <c r="BT85" s="87" t="s">
        <v>64</v>
      </c>
      <c r="BU85" s="87" t="s">
        <v>64</v>
      </c>
      <c r="BV85" s="87" t="s">
        <v>64</v>
      </c>
      <c r="BW85" s="50"/>
      <c r="BY85" s="53" t="s">
        <v>2455</v>
      </c>
      <c r="CA85" s="86">
        <v>2.0</v>
      </c>
      <c r="CB85" s="86">
        <v>2.0</v>
      </c>
      <c r="CC85" s="86">
        <v>2.0</v>
      </c>
      <c r="CD85" s="86">
        <v>2.0</v>
      </c>
      <c r="CE85" s="86">
        <v>2.0</v>
      </c>
      <c r="CF85" s="86">
        <v>2.0</v>
      </c>
      <c r="CG85" s="86">
        <v>2.0</v>
      </c>
      <c r="CH85" s="87" t="s">
        <v>64</v>
      </c>
      <c r="CI85" s="87" t="s">
        <v>64</v>
      </c>
      <c r="CJ85" s="87" t="s">
        <v>64</v>
      </c>
      <c r="CK85" s="50"/>
      <c r="CO85" s="50"/>
      <c r="CP85" s="50"/>
      <c r="CQ85" s="50"/>
      <c r="CR85" s="50"/>
      <c r="CS85" s="50"/>
      <c r="CT85" s="50"/>
      <c r="CU85" s="50"/>
      <c r="CV85" s="50"/>
      <c r="CW85" s="50"/>
      <c r="CX85" s="50"/>
      <c r="CY85" s="50"/>
      <c r="DA85" s="53" t="s">
        <v>2456</v>
      </c>
      <c r="DC85" s="86">
        <v>2.0</v>
      </c>
      <c r="DD85" s="86">
        <v>2.0</v>
      </c>
      <c r="DE85" s="86">
        <v>2.0</v>
      </c>
      <c r="DF85" s="86">
        <v>2.0</v>
      </c>
      <c r="DG85" s="86">
        <v>2.0</v>
      </c>
      <c r="DH85" s="86">
        <v>2.0</v>
      </c>
      <c r="DI85" s="86">
        <v>2.0</v>
      </c>
      <c r="DJ85" s="87" t="s">
        <v>64</v>
      </c>
      <c r="DK85" s="87" t="s">
        <v>64</v>
      </c>
      <c r="DL85" s="87" t="s">
        <v>64</v>
      </c>
      <c r="DM85" s="50"/>
      <c r="DO85" s="100" t="s">
        <v>2457</v>
      </c>
      <c r="DQ85" s="86">
        <v>2.0</v>
      </c>
      <c r="DR85" s="86">
        <v>2.0</v>
      </c>
      <c r="DS85" s="86">
        <v>2.0</v>
      </c>
      <c r="DT85" s="86">
        <v>2.0</v>
      </c>
      <c r="DU85" s="86">
        <v>2.0</v>
      </c>
      <c r="DV85" s="86">
        <v>2.0</v>
      </c>
      <c r="DW85" s="86">
        <v>2.0</v>
      </c>
      <c r="DX85" s="87" t="s">
        <v>64</v>
      </c>
      <c r="DY85" s="87" t="s">
        <v>64</v>
      </c>
      <c r="DZ85" s="87" t="s">
        <v>64</v>
      </c>
      <c r="EA85" s="50"/>
    </row>
    <row r="86" ht="15.75" customHeight="1">
      <c r="A86" s="14">
        <v>13.0</v>
      </c>
      <c r="B86" s="14" t="s">
        <v>208</v>
      </c>
      <c r="C86" s="14" t="str">
        <f t="array" ref="C86">IFERROR(INDEX(DOCUMENTOS!$E:$E,MATCH($A86,DOCUMENTOS!$A:$A,0)),"")</f>
        <v/>
      </c>
      <c r="D86" s="14" t="str">
        <f t="array" ref="D86">IFERROR(INDEX('BANCO DE PERGUNTAS'!$D:$D,MATCH($B86,'BANCO DE PERGUNTAS'!$A:$A,0)),"")</f>
        <v>Existem informações aparentemente inconsistentes dentro do documento?</v>
      </c>
      <c r="E86" s="14" t="str">
        <f t="array" ref="E86">IFERROR(INDEX('BANCO DE PERGUNTAS'!$B:$B,MATCH($B86,'BANCO DE PERGUNTAS'!$A:$A,0)),"")</f>
        <v>Identificação de Inconsistências</v>
      </c>
      <c r="F86" s="17">
        <f t="array" ref="F86">IFERROR(INDEX('BANCO DE PERGUNTAS'!$H:$H,MATCH($B86,'BANCO DE PERGUNTAS'!$A:$A,0)),"")</f>
        <v>4</v>
      </c>
      <c r="I86" s="50"/>
      <c r="J86" s="50"/>
      <c r="K86" s="50"/>
      <c r="L86" s="50"/>
      <c r="M86" s="50"/>
      <c r="N86" s="50"/>
      <c r="O86" s="50"/>
      <c r="P86" s="50"/>
      <c r="Q86" s="50"/>
      <c r="R86" s="50"/>
      <c r="S86" s="50"/>
      <c r="U86" s="97" t="s">
        <v>2458</v>
      </c>
      <c r="W86" s="86">
        <v>2.0</v>
      </c>
      <c r="X86" s="86">
        <v>2.0</v>
      </c>
      <c r="Y86" s="86">
        <v>2.0</v>
      </c>
      <c r="Z86" s="86">
        <v>2.0</v>
      </c>
      <c r="AA86" s="86">
        <v>2.0</v>
      </c>
      <c r="AB86" s="86">
        <v>2.0</v>
      </c>
      <c r="AC86" s="86">
        <v>2.0</v>
      </c>
      <c r="AD86" s="87" t="s">
        <v>64</v>
      </c>
      <c r="AE86" s="87" t="s">
        <v>64</v>
      </c>
      <c r="AF86" s="87" t="s">
        <v>64</v>
      </c>
      <c r="AG86" s="50"/>
      <c r="AI86" s="98" t="s">
        <v>2459</v>
      </c>
      <c r="AK86" s="86">
        <v>2.0</v>
      </c>
      <c r="AL86" s="86">
        <v>2.0</v>
      </c>
      <c r="AM86" s="86">
        <v>2.0</v>
      </c>
      <c r="AN86" s="86">
        <v>2.0</v>
      </c>
      <c r="AO86" s="86">
        <v>2.0</v>
      </c>
      <c r="AP86" s="86">
        <v>2.0</v>
      </c>
      <c r="AQ86" s="86">
        <v>2.0</v>
      </c>
      <c r="AR86" s="87" t="s">
        <v>64</v>
      </c>
      <c r="AS86" s="87" t="s">
        <v>64</v>
      </c>
      <c r="AT86" s="87" t="s">
        <v>64</v>
      </c>
      <c r="AU86" s="50"/>
      <c r="AY86" s="50"/>
      <c r="AZ86" s="50"/>
      <c r="BA86" s="50"/>
      <c r="BB86" s="50"/>
      <c r="BC86" s="50"/>
      <c r="BD86" s="50"/>
      <c r="BE86" s="50"/>
      <c r="BF86" s="50"/>
      <c r="BG86" s="50"/>
      <c r="BH86" s="50"/>
      <c r="BI86" s="50"/>
      <c r="BK86" s="99" t="s">
        <v>2460</v>
      </c>
      <c r="BM86" s="86">
        <v>2.0</v>
      </c>
      <c r="BN86" s="86">
        <v>2.0</v>
      </c>
      <c r="BO86" s="86">
        <v>2.0</v>
      </c>
      <c r="BP86" s="86">
        <v>2.0</v>
      </c>
      <c r="BQ86" s="86">
        <v>2.0</v>
      </c>
      <c r="BR86" s="86">
        <v>2.0</v>
      </c>
      <c r="BS86" s="86">
        <v>2.0</v>
      </c>
      <c r="BT86" s="87" t="s">
        <v>64</v>
      </c>
      <c r="BU86" s="87" t="s">
        <v>64</v>
      </c>
      <c r="BV86" s="87" t="s">
        <v>64</v>
      </c>
      <c r="BW86" s="50"/>
      <c r="BY86" s="53" t="s">
        <v>2461</v>
      </c>
      <c r="CA86" s="86">
        <v>2.0</v>
      </c>
      <c r="CB86" s="86">
        <v>2.0</v>
      </c>
      <c r="CC86" s="86">
        <v>2.0</v>
      </c>
      <c r="CD86" s="86">
        <v>2.0</v>
      </c>
      <c r="CE86" s="86">
        <v>2.0</v>
      </c>
      <c r="CF86" s="86">
        <v>2.0</v>
      </c>
      <c r="CG86" s="86">
        <v>2.0</v>
      </c>
      <c r="CH86" s="87" t="s">
        <v>64</v>
      </c>
      <c r="CI86" s="87" t="s">
        <v>64</v>
      </c>
      <c r="CJ86" s="87" t="s">
        <v>64</v>
      </c>
      <c r="CK86" s="50"/>
      <c r="CO86" s="50"/>
      <c r="CP86" s="50"/>
      <c r="CQ86" s="50"/>
      <c r="CR86" s="50"/>
      <c r="CS86" s="50"/>
      <c r="CT86" s="50"/>
      <c r="CU86" s="50"/>
      <c r="CV86" s="50"/>
      <c r="CW86" s="50"/>
      <c r="CX86" s="50"/>
      <c r="CY86" s="50"/>
      <c r="DA86" s="53" t="s">
        <v>2462</v>
      </c>
      <c r="DC86" s="86">
        <v>1.0</v>
      </c>
      <c r="DD86" s="86">
        <v>1.0</v>
      </c>
      <c r="DE86" s="86">
        <v>1.0</v>
      </c>
      <c r="DF86" s="86">
        <v>2.0</v>
      </c>
      <c r="DG86" s="86">
        <v>2.0</v>
      </c>
      <c r="DH86" s="86">
        <v>1.0</v>
      </c>
      <c r="DI86" s="86">
        <v>2.0</v>
      </c>
      <c r="DJ86" s="87" t="s">
        <v>64</v>
      </c>
      <c r="DK86" s="87" t="s">
        <v>101</v>
      </c>
      <c r="DL86" s="87" t="s">
        <v>64</v>
      </c>
      <c r="DM86" s="50"/>
      <c r="DO86" s="100" t="s">
        <v>2463</v>
      </c>
      <c r="DQ86" s="86">
        <v>1.0</v>
      </c>
      <c r="DR86" s="86">
        <v>1.0</v>
      </c>
      <c r="DS86" s="86">
        <v>1.0</v>
      </c>
      <c r="DT86" s="86">
        <v>2.0</v>
      </c>
      <c r="DU86" s="86">
        <v>2.0</v>
      </c>
      <c r="DV86" s="86">
        <v>1.0</v>
      </c>
      <c r="DW86" s="86">
        <v>2.0</v>
      </c>
      <c r="DX86" s="87" t="s">
        <v>64</v>
      </c>
      <c r="DY86" s="87" t="s">
        <v>101</v>
      </c>
      <c r="DZ86" s="87" t="s">
        <v>64</v>
      </c>
      <c r="EA86" s="50"/>
    </row>
    <row r="87" ht="15.75" customHeight="1">
      <c r="A87" s="11">
        <v>13.0</v>
      </c>
      <c r="B87" s="11" t="s">
        <v>215</v>
      </c>
      <c r="C87" s="11" t="str">
        <f t="array" ref="C87">IFERROR(INDEX(DOCUMENTOS!$E:$E,MATCH($A87,DOCUMENTOS!$A:$A,0)),"")</f>
        <v/>
      </c>
      <c r="D87" s="11" t="str">
        <f t="array" ref="D87">IFERROR(INDEX('BANCO DE PERGUNTAS'!$D:$D,MATCH($B87,'BANCO DE PERGUNTAS'!$A:$A,0)),"")</f>
        <v>Existem valores, datas, números ou informações aparentemente incompatíveis?</v>
      </c>
      <c r="E87" s="11" t="str">
        <f t="array" ref="E87">IFERROR(INDEX('BANCO DE PERGUNTAS'!$B:$B,MATCH($B87,'BANCO DE PERGUNTAS'!$A:$A,0)),"")</f>
        <v>Identificação de Inconsistências</v>
      </c>
      <c r="F87" s="12">
        <f t="array" ref="F87">IFERROR(INDEX('BANCO DE PERGUNTAS'!$H:$H,MATCH($B87,'BANCO DE PERGUNTAS'!$A:$A,0)),"")</f>
        <v>4</v>
      </c>
      <c r="I87" s="50"/>
      <c r="J87" s="50"/>
      <c r="K87" s="50"/>
      <c r="L87" s="50"/>
      <c r="M87" s="50"/>
      <c r="N87" s="50"/>
      <c r="O87" s="50"/>
      <c r="P87" s="50"/>
      <c r="Q87" s="50"/>
      <c r="R87" s="50"/>
      <c r="S87" s="50"/>
      <c r="U87" s="101" t="s">
        <v>2464</v>
      </c>
      <c r="W87" s="86">
        <v>2.0</v>
      </c>
      <c r="X87" s="86">
        <v>2.0</v>
      </c>
      <c r="Y87" s="86">
        <v>2.0</v>
      </c>
      <c r="Z87" s="86">
        <v>2.0</v>
      </c>
      <c r="AA87" s="86">
        <v>2.0</v>
      </c>
      <c r="AB87" s="86">
        <v>2.0</v>
      </c>
      <c r="AC87" s="86">
        <v>2.0</v>
      </c>
      <c r="AD87" s="87" t="s">
        <v>64</v>
      </c>
      <c r="AE87" s="87" t="s">
        <v>64</v>
      </c>
      <c r="AF87" s="87" t="s">
        <v>64</v>
      </c>
      <c r="AG87" s="87"/>
      <c r="AI87" s="98" t="s">
        <v>2465</v>
      </c>
      <c r="AK87" s="86">
        <v>2.0</v>
      </c>
      <c r="AL87" s="86">
        <v>2.0</v>
      </c>
      <c r="AM87" s="86">
        <v>2.0</v>
      </c>
      <c r="AN87" s="86">
        <v>2.0</v>
      </c>
      <c r="AO87" s="86">
        <v>2.0</v>
      </c>
      <c r="AP87" s="86">
        <v>2.0</v>
      </c>
      <c r="AQ87" s="86">
        <v>2.0</v>
      </c>
      <c r="AR87" s="87" t="s">
        <v>64</v>
      </c>
      <c r="AS87" s="87" t="s">
        <v>64</v>
      </c>
      <c r="AT87" s="87" t="s">
        <v>64</v>
      </c>
      <c r="AU87" s="50"/>
      <c r="AY87" s="50"/>
      <c r="AZ87" s="50"/>
      <c r="BA87" s="50"/>
      <c r="BB87" s="50"/>
      <c r="BC87" s="50"/>
      <c r="BD87" s="50"/>
      <c r="BE87" s="50"/>
      <c r="BF87" s="50"/>
      <c r="BG87" s="50"/>
      <c r="BH87" s="50"/>
      <c r="BI87" s="50"/>
      <c r="BK87" s="99" t="s">
        <v>2466</v>
      </c>
      <c r="BM87" s="86">
        <v>2.0</v>
      </c>
      <c r="BN87" s="86">
        <v>2.0</v>
      </c>
      <c r="BO87" s="86">
        <v>2.0</v>
      </c>
      <c r="BP87" s="86">
        <v>2.0</v>
      </c>
      <c r="BQ87" s="86">
        <v>2.0</v>
      </c>
      <c r="BR87" s="86">
        <v>2.0</v>
      </c>
      <c r="BS87" s="86">
        <v>2.0</v>
      </c>
      <c r="BT87" s="87" t="s">
        <v>64</v>
      </c>
      <c r="BU87" s="87" t="s">
        <v>64</v>
      </c>
      <c r="BV87" s="87" t="s">
        <v>64</v>
      </c>
      <c r="BW87" s="50"/>
      <c r="BY87" s="53" t="s">
        <v>2467</v>
      </c>
      <c r="CA87" s="86">
        <v>2.0</v>
      </c>
      <c r="CB87" s="86">
        <v>2.0</v>
      </c>
      <c r="CC87" s="86">
        <v>2.0</v>
      </c>
      <c r="CD87" s="86">
        <v>2.0</v>
      </c>
      <c r="CE87" s="86">
        <v>2.0</v>
      </c>
      <c r="CF87" s="86">
        <v>2.0</v>
      </c>
      <c r="CG87" s="86">
        <v>2.0</v>
      </c>
      <c r="CH87" s="87" t="s">
        <v>64</v>
      </c>
      <c r="CI87" s="87" t="s">
        <v>64</v>
      </c>
      <c r="CJ87" s="87" t="s">
        <v>64</v>
      </c>
      <c r="CK87" s="50"/>
      <c r="CO87" s="50"/>
      <c r="CP87" s="50"/>
      <c r="CQ87" s="50"/>
      <c r="CR87" s="50"/>
      <c r="CS87" s="50"/>
      <c r="CT87" s="50"/>
      <c r="CU87" s="50"/>
      <c r="CV87" s="50"/>
      <c r="CW87" s="50"/>
      <c r="CX87" s="50"/>
      <c r="CY87" s="50"/>
      <c r="DA87" s="53" t="s">
        <v>2468</v>
      </c>
      <c r="DC87" s="86">
        <v>2.0</v>
      </c>
      <c r="DD87" s="86">
        <v>2.0</v>
      </c>
      <c r="DE87" s="86">
        <v>2.0</v>
      </c>
      <c r="DF87" s="86">
        <v>2.0</v>
      </c>
      <c r="DG87" s="86">
        <v>2.0</v>
      </c>
      <c r="DH87" s="86">
        <v>2.0</v>
      </c>
      <c r="DI87" s="86">
        <v>2.0</v>
      </c>
      <c r="DJ87" s="87" t="s">
        <v>64</v>
      </c>
      <c r="DK87" s="87" t="s">
        <v>64</v>
      </c>
      <c r="DL87" s="87" t="s">
        <v>64</v>
      </c>
      <c r="DM87" s="50"/>
      <c r="DO87" s="100" t="s">
        <v>2469</v>
      </c>
      <c r="DQ87" s="86">
        <v>2.0</v>
      </c>
      <c r="DR87" s="86">
        <v>2.0</v>
      </c>
      <c r="DS87" s="86">
        <v>2.0</v>
      </c>
      <c r="DT87" s="86">
        <v>2.0</v>
      </c>
      <c r="DU87" s="86">
        <v>2.0</v>
      </c>
      <c r="DV87" s="86">
        <v>2.0</v>
      </c>
      <c r="DW87" s="86">
        <v>2.0</v>
      </c>
      <c r="DX87" s="87" t="s">
        <v>64</v>
      </c>
      <c r="DY87" s="87" t="s">
        <v>64</v>
      </c>
      <c r="DZ87" s="87" t="s">
        <v>64</v>
      </c>
      <c r="EA87" s="50"/>
    </row>
    <row r="88" ht="15.75" customHeight="1">
      <c r="A88" s="14">
        <v>13.0</v>
      </c>
      <c r="B88" s="14" t="s">
        <v>219</v>
      </c>
      <c r="C88" s="14" t="str">
        <f t="array" ref="C88">IFERROR(INDEX(DOCUMENTOS!$E:$E,MATCH($A88,DOCUMENTOS!$A:$A,0)),"")</f>
        <v/>
      </c>
      <c r="D88" s="14" t="str">
        <f t="array" ref="D88">IFERROR(INDEX('BANCO DE PERGUNTAS'!$D:$D,MATCH($B88,'BANCO DE PERGUNTAS'!$A:$A,0)),"")</f>
        <v>Existem informações relevantes ausentes?</v>
      </c>
      <c r="E88" s="14" t="str">
        <f t="array" ref="E88">IFERROR(INDEX('BANCO DE PERGUNTAS'!$B:$B,MATCH($B88,'BANCO DE PERGUNTAS'!$A:$A,0)),"")</f>
        <v>Identificação de Omissões</v>
      </c>
      <c r="F88" s="17">
        <f t="array" ref="F88">IFERROR(INDEX('BANCO DE PERGUNTAS'!$H:$H,MATCH($B88,'BANCO DE PERGUNTAS'!$A:$A,0)),"")</f>
        <v>4</v>
      </c>
      <c r="I88" s="50"/>
      <c r="J88" s="50"/>
      <c r="K88" s="50"/>
      <c r="L88" s="50"/>
      <c r="M88" s="50"/>
      <c r="N88" s="50"/>
      <c r="O88" s="50"/>
      <c r="P88" s="50"/>
      <c r="Q88" s="50"/>
      <c r="R88" s="50"/>
      <c r="S88" s="50"/>
      <c r="U88" s="97" t="s">
        <v>2470</v>
      </c>
      <c r="W88" s="86">
        <v>2.0</v>
      </c>
      <c r="X88" s="86">
        <v>2.0</v>
      </c>
      <c r="Y88" s="86">
        <v>2.0</v>
      </c>
      <c r="Z88" s="86">
        <v>2.0</v>
      </c>
      <c r="AA88" s="86">
        <v>2.0</v>
      </c>
      <c r="AB88" s="86">
        <v>2.0</v>
      </c>
      <c r="AC88" s="86">
        <v>2.0</v>
      </c>
      <c r="AD88" s="87" t="s">
        <v>64</v>
      </c>
      <c r="AE88" s="87" t="s">
        <v>64</v>
      </c>
      <c r="AF88" s="87" t="s">
        <v>64</v>
      </c>
      <c r="AG88" s="50"/>
      <c r="AI88" s="98" t="s">
        <v>2471</v>
      </c>
      <c r="AK88" s="86">
        <v>2.0</v>
      </c>
      <c r="AL88" s="86">
        <v>2.0</v>
      </c>
      <c r="AM88" s="86">
        <v>2.0</v>
      </c>
      <c r="AN88" s="86">
        <v>2.0</v>
      </c>
      <c r="AO88" s="86">
        <v>2.0</v>
      </c>
      <c r="AP88" s="86">
        <v>2.0</v>
      </c>
      <c r="AQ88" s="86">
        <v>2.0</v>
      </c>
      <c r="AR88" s="87" t="s">
        <v>64</v>
      </c>
      <c r="AS88" s="87" t="s">
        <v>64</v>
      </c>
      <c r="AT88" s="87" t="s">
        <v>64</v>
      </c>
      <c r="AU88" s="50"/>
      <c r="AY88" s="50"/>
      <c r="AZ88" s="50"/>
      <c r="BA88" s="50"/>
      <c r="BB88" s="50"/>
      <c r="BC88" s="50"/>
      <c r="BD88" s="50"/>
      <c r="BE88" s="50"/>
      <c r="BF88" s="50"/>
      <c r="BG88" s="50"/>
      <c r="BH88" s="50"/>
      <c r="BI88" s="50"/>
      <c r="BK88" s="99" t="s">
        <v>2472</v>
      </c>
      <c r="BM88" s="86">
        <v>2.0</v>
      </c>
      <c r="BN88" s="86">
        <v>2.0</v>
      </c>
      <c r="BO88" s="86">
        <v>2.0</v>
      </c>
      <c r="BP88" s="86">
        <v>2.0</v>
      </c>
      <c r="BQ88" s="86">
        <v>2.0</v>
      </c>
      <c r="BR88" s="86">
        <v>2.0</v>
      </c>
      <c r="BS88" s="86">
        <v>2.0</v>
      </c>
      <c r="BT88" s="87" t="s">
        <v>64</v>
      </c>
      <c r="BU88" s="87" t="s">
        <v>64</v>
      </c>
      <c r="BV88" s="87" t="s">
        <v>64</v>
      </c>
      <c r="BW88" s="50"/>
      <c r="BY88" s="53" t="s">
        <v>2473</v>
      </c>
      <c r="CA88" s="86">
        <v>2.0</v>
      </c>
      <c r="CB88" s="86">
        <v>2.0</v>
      </c>
      <c r="CC88" s="86">
        <v>2.0</v>
      </c>
      <c r="CD88" s="86">
        <v>2.0</v>
      </c>
      <c r="CE88" s="86">
        <v>2.0</v>
      </c>
      <c r="CF88" s="86">
        <v>2.0</v>
      </c>
      <c r="CG88" s="86">
        <v>2.0</v>
      </c>
      <c r="CH88" s="87" t="s">
        <v>64</v>
      </c>
      <c r="CI88" s="87" t="s">
        <v>64</v>
      </c>
      <c r="CJ88" s="87" t="s">
        <v>64</v>
      </c>
      <c r="CK88" s="50"/>
      <c r="CO88" s="50"/>
      <c r="CP88" s="50"/>
      <c r="CQ88" s="50"/>
      <c r="CR88" s="50"/>
      <c r="CS88" s="50"/>
      <c r="CT88" s="50"/>
      <c r="CU88" s="50"/>
      <c r="CV88" s="50"/>
      <c r="CW88" s="50"/>
      <c r="CX88" s="50"/>
      <c r="CY88" s="50"/>
      <c r="DA88" s="53" t="s">
        <v>2474</v>
      </c>
      <c r="DC88" s="86">
        <v>2.0</v>
      </c>
      <c r="DD88" s="86">
        <v>2.0</v>
      </c>
      <c r="DE88" s="86">
        <v>2.0</v>
      </c>
      <c r="DF88" s="86">
        <v>2.0</v>
      </c>
      <c r="DG88" s="86">
        <v>2.0</v>
      </c>
      <c r="DH88" s="86">
        <v>2.0</v>
      </c>
      <c r="DI88" s="86">
        <v>2.0</v>
      </c>
      <c r="DJ88" s="87" t="s">
        <v>64</v>
      </c>
      <c r="DK88" s="87" t="s">
        <v>64</v>
      </c>
      <c r="DL88" s="87" t="s">
        <v>64</v>
      </c>
      <c r="DM88" s="50"/>
      <c r="DO88" s="100" t="s">
        <v>2475</v>
      </c>
      <c r="DQ88" s="86">
        <v>2.0</v>
      </c>
      <c r="DR88" s="86">
        <v>2.0</v>
      </c>
      <c r="DS88" s="86">
        <v>2.0</v>
      </c>
      <c r="DT88" s="86">
        <v>2.0</v>
      </c>
      <c r="DU88" s="86">
        <v>2.0</v>
      </c>
      <c r="DV88" s="86">
        <v>2.0</v>
      </c>
      <c r="DW88" s="86">
        <v>2.0</v>
      </c>
      <c r="DX88" s="87" t="s">
        <v>64</v>
      </c>
      <c r="DY88" s="87" t="s">
        <v>64</v>
      </c>
      <c r="DZ88" s="87" t="s">
        <v>64</v>
      </c>
      <c r="EA88" s="50"/>
    </row>
    <row r="89" ht="15.75" customHeight="1">
      <c r="A89" s="11">
        <v>13.0</v>
      </c>
      <c r="B89" s="11" t="s">
        <v>226</v>
      </c>
      <c r="C89" s="11" t="str">
        <f t="array" ref="C89">IFERROR(INDEX(DOCUMENTOS!$E:$E,MATCH($A89,DOCUMENTOS!$A:$A,0)),"")</f>
        <v/>
      </c>
      <c r="D89" s="11" t="str">
        <f t="array" ref="D89">IFERROR(INDEX('BANCO DE PERGUNTAS'!$D:$D,MATCH($B89,'BANCO DE PERGUNTAS'!$A:$A,0)),"")</f>
        <v>Identifique possíveis erros materiais no documento.</v>
      </c>
      <c r="E89" s="11" t="str">
        <f t="array" ref="E89">IFERROR(INDEX('BANCO DE PERGUNTAS'!$B:$B,MATCH($B89,'BANCO DE PERGUNTAS'!$A:$A,0)),"")</f>
        <v>Detecção de Erros</v>
      </c>
      <c r="F89" s="12">
        <f t="array" ref="F89">IFERROR(INDEX('BANCO DE PERGUNTAS'!$H:$H,MATCH($B89,'BANCO DE PERGUNTAS'!$A:$A,0)),"")</f>
        <v>4</v>
      </c>
      <c r="I89" s="50"/>
      <c r="J89" s="50"/>
      <c r="K89" s="50"/>
      <c r="L89" s="50"/>
      <c r="M89" s="50"/>
      <c r="N89" s="50"/>
      <c r="O89" s="50"/>
      <c r="P89" s="50"/>
      <c r="Q89" s="50"/>
      <c r="R89" s="50"/>
      <c r="S89" s="50"/>
      <c r="U89" s="101" t="s">
        <v>2476</v>
      </c>
      <c r="W89" s="86">
        <v>2.0</v>
      </c>
      <c r="X89" s="86">
        <v>2.0</v>
      </c>
      <c r="Y89" s="86">
        <v>2.0</v>
      </c>
      <c r="Z89" s="86">
        <v>2.0</v>
      </c>
      <c r="AA89" s="86">
        <v>2.0</v>
      </c>
      <c r="AB89" s="86">
        <v>2.0</v>
      </c>
      <c r="AC89" s="86">
        <v>2.0</v>
      </c>
      <c r="AD89" s="87" t="s">
        <v>64</v>
      </c>
      <c r="AE89" s="87" t="s">
        <v>64</v>
      </c>
      <c r="AF89" s="87" t="s">
        <v>64</v>
      </c>
      <c r="AG89" s="50"/>
      <c r="AI89" s="98" t="s">
        <v>2477</v>
      </c>
      <c r="AK89" s="86">
        <v>2.0</v>
      </c>
      <c r="AL89" s="86">
        <v>2.0</v>
      </c>
      <c r="AM89" s="86">
        <v>2.0</v>
      </c>
      <c r="AN89" s="86">
        <v>2.0</v>
      </c>
      <c r="AO89" s="86">
        <v>2.0</v>
      </c>
      <c r="AP89" s="86">
        <v>2.0</v>
      </c>
      <c r="AQ89" s="86">
        <v>2.0</v>
      </c>
      <c r="AR89" s="87" t="s">
        <v>64</v>
      </c>
      <c r="AS89" s="87" t="s">
        <v>64</v>
      </c>
      <c r="AT89" s="87" t="s">
        <v>64</v>
      </c>
      <c r="AU89" s="50"/>
      <c r="AY89" s="50"/>
      <c r="AZ89" s="50"/>
      <c r="BA89" s="50"/>
      <c r="BB89" s="50"/>
      <c r="BC89" s="50"/>
      <c r="BD89" s="50"/>
      <c r="BE89" s="50"/>
      <c r="BF89" s="50"/>
      <c r="BG89" s="50"/>
      <c r="BH89" s="50"/>
      <c r="BI89" s="50"/>
      <c r="BK89" s="99" t="s">
        <v>2478</v>
      </c>
      <c r="BM89" s="50">
        <v>2.0</v>
      </c>
      <c r="BN89" s="50">
        <v>1.0</v>
      </c>
      <c r="BO89" s="50">
        <v>1.0</v>
      </c>
      <c r="BP89" s="50">
        <v>2.0</v>
      </c>
      <c r="BQ89" s="50">
        <v>2.0</v>
      </c>
      <c r="BR89" s="50">
        <v>1.0</v>
      </c>
      <c r="BS89" s="50">
        <v>2.0</v>
      </c>
      <c r="BT89" s="50" t="s">
        <v>64</v>
      </c>
      <c r="BU89" s="50" t="s">
        <v>101</v>
      </c>
      <c r="BV89" s="50" t="s">
        <v>64</v>
      </c>
      <c r="BW89" s="50"/>
      <c r="BY89" s="53" t="s">
        <v>2479</v>
      </c>
      <c r="CA89" s="86">
        <v>2.0</v>
      </c>
      <c r="CB89" s="86">
        <v>2.0</v>
      </c>
      <c r="CC89" s="86">
        <v>2.0</v>
      </c>
      <c r="CD89" s="86">
        <v>2.0</v>
      </c>
      <c r="CE89" s="86">
        <v>2.0</v>
      </c>
      <c r="CF89" s="86">
        <v>2.0</v>
      </c>
      <c r="CG89" s="86">
        <v>2.0</v>
      </c>
      <c r="CH89" s="87" t="s">
        <v>64</v>
      </c>
      <c r="CI89" s="87" t="s">
        <v>64</v>
      </c>
      <c r="CJ89" s="87" t="s">
        <v>64</v>
      </c>
      <c r="CK89" s="50"/>
      <c r="CO89" s="50"/>
      <c r="CP89" s="50"/>
      <c r="CQ89" s="50"/>
      <c r="CR89" s="50"/>
      <c r="CS89" s="50"/>
      <c r="CT89" s="50"/>
      <c r="CU89" s="50"/>
      <c r="CV89" s="50"/>
      <c r="CW89" s="50"/>
      <c r="CX89" s="50"/>
      <c r="CY89" s="50"/>
      <c r="DA89" s="53" t="s">
        <v>2480</v>
      </c>
      <c r="DC89" s="50">
        <v>2.0</v>
      </c>
      <c r="DD89" s="50">
        <v>1.0</v>
      </c>
      <c r="DE89" s="50">
        <v>1.0</v>
      </c>
      <c r="DF89" s="50">
        <v>2.0</v>
      </c>
      <c r="DG89" s="50">
        <v>2.0</v>
      </c>
      <c r="DH89" s="50">
        <v>1.0</v>
      </c>
      <c r="DI89" s="50">
        <v>2.0</v>
      </c>
      <c r="DJ89" s="50" t="s">
        <v>64</v>
      </c>
      <c r="DK89" s="50" t="s">
        <v>101</v>
      </c>
      <c r="DL89" s="50" t="s">
        <v>64</v>
      </c>
      <c r="DM89" s="50"/>
      <c r="DO89" s="100" t="s">
        <v>2481</v>
      </c>
      <c r="DQ89" s="50">
        <v>2.0</v>
      </c>
      <c r="DR89" s="50">
        <v>1.0</v>
      </c>
      <c r="DS89" s="50">
        <v>1.0</v>
      </c>
      <c r="DT89" s="50">
        <v>2.0</v>
      </c>
      <c r="DU89" s="50">
        <v>2.0</v>
      </c>
      <c r="DV89" s="50">
        <v>1.0</v>
      </c>
      <c r="DW89" s="50">
        <v>2.0</v>
      </c>
      <c r="DX89" s="50" t="s">
        <v>64</v>
      </c>
      <c r="DY89" s="50" t="s">
        <v>101</v>
      </c>
      <c r="DZ89" s="50" t="s">
        <v>64</v>
      </c>
      <c r="EA89" s="50"/>
    </row>
    <row r="90" ht="15.75" customHeight="1">
      <c r="A90" s="14">
        <v>13.0</v>
      </c>
      <c r="B90" s="14" t="s">
        <v>232</v>
      </c>
      <c r="C90" s="14" t="str">
        <f t="array" ref="C90">IFERROR(INDEX(DOCUMENTOS!$E:$E,MATCH($A90,DOCUMENTOS!$A:$A,0)),"")</f>
        <v/>
      </c>
      <c r="D90" s="14" t="str">
        <f t="array" ref="D90">IFERROR(INDEX('BANCO DE PERGUNTAS'!$D:$D,MATCH($B90,'BANCO DE PERGUNTAS'!$A:$A,0)),"")</f>
        <v>Existem informações que deveriam ser verificadas por um servidor antes da utilização do documento?</v>
      </c>
      <c r="E90" s="14" t="str">
        <f t="array" ref="E90">IFERROR(INDEX('BANCO DE PERGUNTAS'!$B:$B,MATCH($B90,'BANCO DE PERGUNTAS'!$A:$A,0)),"")</f>
        <v>Análise de Risco</v>
      </c>
      <c r="F90" s="17">
        <f t="array" ref="F90">IFERROR(INDEX('BANCO DE PERGUNTAS'!$H:$H,MATCH($B90,'BANCO DE PERGUNTAS'!$A:$A,0)),"")</f>
        <v>4</v>
      </c>
      <c r="I90" s="50"/>
      <c r="J90" s="50"/>
      <c r="K90" s="50"/>
      <c r="L90" s="50"/>
      <c r="M90" s="50"/>
      <c r="N90" s="50"/>
      <c r="O90" s="50"/>
      <c r="P90" s="50"/>
      <c r="Q90" s="50"/>
      <c r="R90" s="50"/>
      <c r="S90" s="50"/>
      <c r="U90" s="97" t="s">
        <v>2482</v>
      </c>
      <c r="W90" s="50">
        <v>2.0</v>
      </c>
      <c r="X90" s="50">
        <v>1.0</v>
      </c>
      <c r="Y90" s="50">
        <v>1.0</v>
      </c>
      <c r="Z90" s="50">
        <v>2.0</v>
      </c>
      <c r="AA90" s="50">
        <v>2.0</v>
      </c>
      <c r="AB90" s="50">
        <v>1.0</v>
      </c>
      <c r="AC90" s="50">
        <v>2.0</v>
      </c>
      <c r="AD90" s="50" t="s">
        <v>64</v>
      </c>
      <c r="AE90" s="50" t="s">
        <v>101</v>
      </c>
      <c r="AF90" s="50" t="s">
        <v>64</v>
      </c>
      <c r="AG90" s="50"/>
      <c r="AI90" s="98" t="s">
        <v>2483</v>
      </c>
      <c r="AK90" s="50">
        <v>2.0</v>
      </c>
      <c r="AL90" s="50">
        <v>1.0</v>
      </c>
      <c r="AM90" s="50">
        <v>1.0</v>
      </c>
      <c r="AN90" s="50">
        <v>2.0</v>
      </c>
      <c r="AO90" s="50">
        <v>2.0</v>
      </c>
      <c r="AP90" s="50">
        <v>1.0</v>
      </c>
      <c r="AQ90" s="50">
        <v>2.0</v>
      </c>
      <c r="AR90" s="50" t="s">
        <v>64</v>
      </c>
      <c r="AS90" s="50" t="s">
        <v>101</v>
      </c>
      <c r="AT90" s="50" t="s">
        <v>64</v>
      </c>
      <c r="AU90" s="50"/>
      <c r="AY90" s="50"/>
      <c r="AZ90" s="50"/>
      <c r="BA90" s="50"/>
      <c r="BB90" s="50"/>
      <c r="BC90" s="50"/>
      <c r="BD90" s="50"/>
      <c r="BE90" s="50"/>
      <c r="BF90" s="50"/>
      <c r="BG90" s="50"/>
      <c r="BH90" s="50"/>
      <c r="BI90" s="50"/>
      <c r="BK90" s="99" t="s">
        <v>2484</v>
      </c>
      <c r="BM90" s="50">
        <v>2.0</v>
      </c>
      <c r="BN90" s="50">
        <v>1.0</v>
      </c>
      <c r="BO90" s="50">
        <v>1.0</v>
      </c>
      <c r="BP90" s="50">
        <v>2.0</v>
      </c>
      <c r="BQ90" s="50">
        <v>2.0</v>
      </c>
      <c r="BR90" s="50">
        <v>1.0</v>
      </c>
      <c r="BS90" s="50">
        <v>2.0</v>
      </c>
      <c r="BT90" s="50" t="s">
        <v>64</v>
      </c>
      <c r="BU90" s="50" t="s">
        <v>101</v>
      </c>
      <c r="BV90" s="50" t="s">
        <v>64</v>
      </c>
      <c r="BW90" s="50"/>
      <c r="BY90" s="53" t="s">
        <v>2485</v>
      </c>
      <c r="CA90" s="50">
        <v>2.0</v>
      </c>
      <c r="CB90" s="50">
        <v>1.0</v>
      </c>
      <c r="CC90" s="50">
        <v>1.0</v>
      </c>
      <c r="CD90" s="50">
        <v>2.0</v>
      </c>
      <c r="CE90" s="50">
        <v>2.0</v>
      </c>
      <c r="CF90" s="50">
        <v>1.0</v>
      </c>
      <c r="CG90" s="50">
        <v>2.0</v>
      </c>
      <c r="CH90" s="50" t="s">
        <v>64</v>
      </c>
      <c r="CI90" s="50" t="s">
        <v>101</v>
      </c>
      <c r="CJ90" s="50" t="s">
        <v>64</v>
      </c>
      <c r="CK90" s="50"/>
      <c r="CO90" s="50"/>
      <c r="CP90" s="50"/>
      <c r="CQ90" s="50"/>
      <c r="CR90" s="50"/>
      <c r="CS90" s="50"/>
      <c r="CT90" s="50"/>
      <c r="CU90" s="50"/>
      <c r="CV90" s="50"/>
      <c r="CW90" s="50"/>
      <c r="CX90" s="50"/>
      <c r="CY90" s="50"/>
      <c r="DA90" s="53" t="s">
        <v>2486</v>
      </c>
      <c r="DC90" s="50">
        <v>2.0</v>
      </c>
      <c r="DD90" s="50">
        <v>1.0</v>
      </c>
      <c r="DE90" s="50">
        <v>1.0</v>
      </c>
      <c r="DF90" s="50">
        <v>2.0</v>
      </c>
      <c r="DG90" s="50">
        <v>2.0</v>
      </c>
      <c r="DH90" s="50">
        <v>1.0</v>
      </c>
      <c r="DI90" s="50">
        <v>2.0</v>
      </c>
      <c r="DJ90" s="50" t="s">
        <v>64</v>
      </c>
      <c r="DK90" s="50" t="s">
        <v>101</v>
      </c>
      <c r="DL90" s="50" t="s">
        <v>64</v>
      </c>
      <c r="DM90" s="50"/>
      <c r="DO90" s="100" t="s">
        <v>2487</v>
      </c>
      <c r="DQ90" s="50">
        <v>2.0</v>
      </c>
      <c r="DR90" s="50">
        <v>1.0</v>
      </c>
      <c r="DS90" s="50">
        <v>1.0</v>
      </c>
      <c r="DT90" s="50">
        <v>2.0</v>
      </c>
      <c r="DU90" s="50">
        <v>2.0</v>
      </c>
      <c r="DV90" s="50">
        <v>1.0</v>
      </c>
      <c r="DW90" s="50">
        <v>2.0</v>
      </c>
      <c r="DX90" s="50" t="s">
        <v>64</v>
      </c>
      <c r="DY90" s="50" t="s">
        <v>101</v>
      </c>
      <c r="DZ90" s="50" t="s">
        <v>64</v>
      </c>
      <c r="EA90" s="50"/>
    </row>
    <row r="91" ht="15.75" customHeight="1">
      <c r="A91" s="11">
        <v>13.0</v>
      </c>
      <c r="B91" s="11" t="s">
        <v>240</v>
      </c>
      <c r="C91" s="11" t="str">
        <f t="array" ref="C91">IFERROR(INDEX(DOCUMENTOS!$E:$E,MATCH($A91,DOCUMENTOS!$A:$A,0)),"")</f>
        <v/>
      </c>
      <c r="D91" s="11" t="str">
        <f t="array" ref="D91">IFERROR(INDEX('BANCO DE PERGUNTAS'!$D:$D,MATCH($B91,'BANCO DE PERGUNTAS'!$A:$A,0)),"")</f>
        <v>Existem elementos que indiquem possível desconformidade com os próprios requisitos apresentados no documento?</v>
      </c>
      <c r="E91" s="11" t="str">
        <f t="array" ref="E91">IFERROR(INDEX('BANCO DE PERGUNTAS'!$B:$B,MATCH($B91,'BANCO DE PERGUNTAS'!$A:$A,0)),"")</f>
        <v>Conformidade Documental</v>
      </c>
      <c r="F91" s="12">
        <f t="array" ref="F91">IFERROR(INDEX('BANCO DE PERGUNTAS'!$H:$H,MATCH($B91,'BANCO DE PERGUNTAS'!$A:$A,0)),"")</f>
        <v>4</v>
      </c>
      <c r="I91" s="50"/>
      <c r="J91" s="50"/>
      <c r="K91" s="50"/>
      <c r="L91" s="50"/>
      <c r="M91" s="50"/>
      <c r="N91" s="50"/>
      <c r="O91" s="50"/>
      <c r="P91" s="50"/>
      <c r="Q91" s="50"/>
      <c r="R91" s="50"/>
      <c r="S91" s="50"/>
      <c r="U91" s="101" t="s">
        <v>2488</v>
      </c>
      <c r="W91" s="50">
        <v>2.0</v>
      </c>
      <c r="X91" s="50">
        <v>1.0</v>
      </c>
      <c r="Y91" s="50">
        <v>1.0</v>
      </c>
      <c r="Z91" s="50">
        <v>2.0</v>
      </c>
      <c r="AA91" s="50">
        <v>2.0</v>
      </c>
      <c r="AB91" s="50">
        <v>1.0</v>
      </c>
      <c r="AC91" s="50">
        <v>2.0</v>
      </c>
      <c r="AD91" s="50" t="s">
        <v>64</v>
      </c>
      <c r="AE91" s="50" t="s">
        <v>101</v>
      </c>
      <c r="AF91" s="50" t="s">
        <v>64</v>
      </c>
      <c r="AG91" s="50"/>
      <c r="AI91" s="98" t="s">
        <v>2489</v>
      </c>
      <c r="AK91" s="50">
        <v>2.0</v>
      </c>
      <c r="AL91" s="50">
        <v>1.0</v>
      </c>
      <c r="AM91" s="50">
        <v>1.0</v>
      </c>
      <c r="AN91" s="50">
        <v>2.0</v>
      </c>
      <c r="AO91" s="50">
        <v>2.0</v>
      </c>
      <c r="AP91" s="50">
        <v>1.0</v>
      </c>
      <c r="AQ91" s="50">
        <v>2.0</v>
      </c>
      <c r="AR91" s="50" t="s">
        <v>64</v>
      </c>
      <c r="AS91" s="50" t="s">
        <v>101</v>
      </c>
      <c r="AT91" s="50" t="s">
        <v>64</v>
      </c>
      <c r="AU91" s="50"/>
      <c r="AY91" s="50"/>
      <c r="AZ91" s="50"/>
      <c r="BA91" s="50"/>
      <c r="BB91" s="50"/>
      <c r="BC91" s="50"/>
      <c r="BD91" s="50"/>
      <c r="BE91" s="50"/>
      <c r="BF91" s="50"/>
      <c r="BG91" s="50"/>
      <c r="BH91" s="50"/>
      <c r="BI91" s="50"/>
      <c r="BK91" s="99" t="s">
        <v>2490</v>
      </c>
      <c r="BM91" s="86">
        <v>2.0</v>
      </c>
      <c r="BN91" s="86">
        <v>2.0</v>
      </c>
      <c r="BO91" s="86">
        <v>2.0</v>
      </c>
      <c r="BP91" s="86">
        <v>2.0</v>
      </c>
      <c r="BQ91" s="86">
        <v>2.0</v>
      </c>
      <c r="BR91" s="86">
        <v>2.0</v>
      </c>
      <c r="BS91" s="86">
        <v>2.0</v>
      </c>
      <c r="BT91" s="87" t="s">
        <v>64</v>
      </c>
      <c r="BU91" s="87" t="s">
        <v>64</v>
      </c>
      <c r="BV91" s="87" t="s">
        <v>64</v>
      </c>
      <c r="BW91" s="50"/>
      <c r="BY91" s="53" t="s">
        <v>2491</v>
      </c>
      <c r="CA91" s="86">
        <v>2.0</v>
      </c>
      <c r="CB91" s="86">
        <v>2.0</v>
      </c>
      <c r="CC91" s="86">
        <v>2.0</v>
      </c>
      <c r="CD91" s="86">
        <v>2.0</v>
      </c>
      <c r="CE91" s="86">
        <v>2.0</v>
      </c>
      <c r="CF91" s="86">
        <v>2.0</v>
      </c>
      <c r="CG91" s="86">
        <v>2.0</v>
      </c>
      <c r="CH91" s="87" t="s">
        <v>64</v>
      </c>
      <c r="CI91" s="87" t="s">
        <v>64</v>
      </c>
      <c r="CJ91" s="87" t="s">
        <v>64</v>
      </c>
      <c r="CK91" s="50"/>
      <c r="CO91" s="50"/>
      <c r="CP91" s="50"/>
      <c r="CQ91" s="50"/>
      <c r="CR91" s="50"/>
      <c r="CS91" s="50"/>
      <c r="CT91" s="50"/>
      <c r="CU91" s="50"/>
      <c r="CV91" s="50"/>
      <c r="CW91" s="50"/>
      <c r="CX91" s="50"/>
      <c r="CY91" s="50"/>
      <c r="DA91" s="53" t="s">
        <v>2492</v>
      </c>
      <c r="DC91" s="86">
        <v>2.0</v>
      </c>
      <c r="DD91" s="86">
        <v>2.0</v>
      </c>
      <c r="DE91" s="86">
        <v>2.0</v>
      </c>
      <c r="DF91" s="86">
        <v>2.0</v>
      </c>
      <c r="DG91" s="86">
        <v>2.0</v>
      </c>
      <c r="DH91" s="86">
        <v>2.0</v>
      </c>
      <c r="DI91" s="86">
        <v>2.0</v>
      </c>
      <c r="DJ91" s="87" t="s">
        <v>64</v>
      </c>
      <c r="DK91" s="87" t="s">
        <v>64</v>
      </c>
      <c r="DL91" s="87" t="s">
        <v>64</v>
      </c>
      <c r="DM91" s="50"/>
      <c r="DO91" s="100" t="s">
        <v>2493</v>
      </c>
      <c r="DQ91" s="50">
        <v>2.0</v>
      </c>
      <c r="DR91" s="50">
        <v>1.0</v>
      </c>
      <c r="DS91" s="50">
        <v>1.0</v>
      </c>
      <c r="DT91" s="50">
        <v>2.0</v>
      </c>
      <c r="DU91" s="50">
        <v>2.0</v>
      </c>
      <c r="DV91" s="50">
        <v>1.0</v>
      </c>
      <c r="DW91" s="50">
        <v>2.0</v>
      </c>
      <c r="DX91" s="50" t="s">
        <v>64</v>
      </c>
      <c r="DY91" s="50" t="s">
        <v>101</v>
      </c>
      <c r="DZ91" s="50" t="s">
        <v>64</v>
      </c>
      <c r="EA91" s="50"/>
    </row>
    <row r="92" ht="15.75" customHeight="1">
      <c r="A92" s="14">
        <v>13.0</v>
      </c>
      <c r="B92" s="14" t="s">
        <v>247</v>
      </c>
      <c r="C92" s="14" t="str">
        <f t="array" ref="C92">IFERROR(INDEX(DOCUMENTOS!$E:$E,MATCH($A92,DOCUMENTOS!$A:$A,0)),"")</f>
        <v/>
      </c>
      <c r="D92" s="14" t="str">
        <f t="array" ref="D92">IFERROR(INDEX('BANCO DE PERGUNTAS'!$D:$D,MATCH($B92,'BANCO DE PERGUNTAS'!$A:$A,0)),"")</f>
        <v>Quais requisitos estão explicitamente presentes?</v>
      </c>
      <c r="E92" s="14" t="str">
        <f t="array" ref="E92">IFERROR(INDEX('BANCO DE PERGUNTAS'!$B:$B,MATCH($B92,'BANCO DE PERGUNTAS'!$A:$A,0)),"")</f>
        <v>Conformidade Documental</v>
      </c>
      <c r="F92" s="17">
        <f t="array" ref="F92">IFERROR(INDEX('BANCO DE PERGUNTAS'!$H:$H,MATCH($B92,'BANCO DE PERGUNTAS'!$A:$A,0)),"")</f>
        <v>2</v>
      </c>
      <c r="I92" s="50"/>
      <c r="J92" s="50"/>
      <c r="K92" s="50"/>
      <c r="L92" s="50"/>
      <c r="M92" s="50"/>
      <c r="N92" s="50"/>
      <c r="O92" s="50"/>
      <c r="P92" s="50"/>
      <c r="Q92" s="50"/>
      <c r="R92" s="50"/>
      <c r="S92" s="50"/>
      <c r="U92" s="97" t="s">
        <v>2494</v>
      </c>
      <c r="W92" s="86">
        <v>2.0</v>
      </c>
      <c r="X92" s="86">
        <v>2.0</v>
      </c>
      <c r="Y92" s="86">
        <v>2.0</v>
      </c>
      <c r="Z92" s="86">
        <v>2.0</v>
      </c>
      <c r="AA92" s="86">
        <v>2.0</v>
      </c>
      <c r="AB92" s="86">
        <v>2.0</v>
      </c>
      <c r="AC92" s="86">
        <v>2.0</v>
      </c>
      <c r="AD92" s="87" t="s">
        <v>64</v>
      </c>
      <c r="AE92" s="87" t="s">
        <v>64</v>
      </c>
      <c r="AF92" s="87" t="s">
        <v>64</v>
      </c>
      <c r="AG92" s="50"/>
      <c r="AI92" s="98" t="s">
        <v>2495</v>
      </c>
      <c r="AK92" s="86">
        <v>2.0</v>
      </c>
      <c r="AL92" s="86">
        <v>2.0</v>
      </c>
      <c r="AM92" s="86">
        <v>2.0</v>
      </c>
      <c r="AN92" s="86">
        <v>2.0</v>
      </c>
      <c r="AO92" s="86">
        <v>2.0</v>
      </c>
      <c r="AP92" s="86">
        <v>2.0</v>
      </c>
      <c r="AQ92" s="86">
        <v>2.0</v>
      </c>
      <c r="AR92" s="87" t="s">
        <v>64</v>
      </c>
      <c r="AS92" s="87" t="s">
        <v>64</v>
      </c>
      <c r="AT92" s="87" t="s">
        <v>64</v>
      </c>
      <c r="AU92" s="50"/>
      <c r="AY92" s="50"/>
      <c r="AZ92" s="50"/>
      <c r="BA92" s="50"/>
      <c r="BB92" s="50"/>
      <c r="BC92" s="50"/>
      <c r="BD92" s="50"/>
      <c r="BE92" s="50"/>
      <c r="BF92" s="50"/>
      <c r="BG92" s="50"/>
      <c r="BH92" s="50"/>
      <c r="BI92" s="50"/>
      <c r="BK92" s="99" t="s">
        <v>2496</v>
      </c>
      <c r="BM92" s="86">
        <v>2.0</v>
      </c>
      <c r="BN92" s="86">
        <v>2.0</v>
      </c>
      <c r="BO92" s="86">
        <v>2.0</v>
      </c>
      <c r="BP92" s="86">
        <v>2.0</v>
      </c>
      <c r="BQ92" s="86">
        <v>2.0</v>
      </c>
      <c r="BR92" s="86">
        <v>2.0</v>
      </c>
      <c r="BS92" s="86">
        <v>2.0</v>
      </c>
      <c r="BT92" s="87" t="s">
        <v>64</v>
      </c>
      <c r="BU92" s="87" t="s">
        <v>64</v>
      </c>
      <c r="BV92" s="87" t="s">
        <v>64</v>
      </c>
      <c r="BW92" s="50"/>
      <c r="BY92" s="53" t="s">
        <v>2497</v>
      </c>
      <c r="CA92" s="86">
        <v>2.0</v>
      </c>
      <c r="CB92" s="86">
        <v>2.0</v>
      </c>
      <c r="CC92" s="86">
        <v>2.0</v>
      </c>
      <c r="CD92" s="86">
        <v>2.0</v>
      </c>
      <c r="CE92" s="86">
        <v>2.0</v>
      </c>
      <c r="CF92" s="86">
        <v>2.0</v>
      </c>
      <c r="CG92" s="86">
        <v>2.0</v>
      </c>
      <c r="CH92" s="87" t="s">
        <v>64</v>
      </c>
      <c r="CI92" s="87" t="s">
        <v>64</v>
      </c>
      <c r="CJ92" s="87" t="s">
        <v>64</v>
      </c>
      <c r="CK92" s="50"/>
      <c r="CO92" s="50"/>
      <c r="CP92" s="50"/>
      <c r="CQ92" s="50"/>
      <c r="CR92" s="50"/>
      <c r="CS92" s="50"/>
      <c r="CT92" s="50"/>
      <c r="CU92" s="50"/>
      <c r="CV92" s="50"/>
      <c r="CW92" s="50"/>
      <c r="CX92" s="50"/>
      <c r="CY92" s="50"/>
      <c r="DA92" s="53" t="s">
        <v>2498</v>
      </c>
      <c r="DC92" s="86">
        <v>2.0</v>
      </c>
      <c r="DD92" s="86">
        <v>2.0</v>
      </c>
      <c r="DE92" s="86">
        <v>2.0</v>
      </c>
      <c r="DF92" s="86">
        <v>2.0</v>
      </c>
      <c r="DG92" s="86">
        <v>2.0</v>
      </c>
      <c r="DH92" s="86">
        <v>2.0</v>
      </c>
      <c r="DI92" s="86">
        <v>2.0</v>
      </c>
      <c r="DJ92" s="87" t="s">
        <v>64</v>
      </c>
      <c r="DK92" s="87" t="s">
        <v>64</v>
      </c>
      <c r="DL92" s="87" t="s">
        <v>64</v>
      </c>
      <c r="DM92" s="50"/>
      <c r="DO92" s="100" t="s">
        <v>2499</v>
      </c>
      <c r="DQ92" s="86">
        <v>2.0</v>
      </c>
      <c r="DR92" s="86">
        <v>2.0</v>
      </c>
      <c r="DS92" s="86">
        <v>2.0</v>
      </c>
      <c r="DT92" s="86">
        <v>2.0</v>
      </c>
      <c r="DU92" s="86">
        <v>2.0</v>
      </c>
      <c r="DV92" s="86">
        <v>2.0</v>
      </c>
      <c r="DW92" s="86">
        <v>2.0</v>
      </c>
      <c r="DX92" s="87" t="s">
        <v>64</v>
      </c>
      <c r="DY92" s="87" t="s">
        <v>64</v>
      </c>
      <c r="DZ92" s="87" t="s">
        <v>64</v>
      </c>
      <c r="EA92" s="50"/>
    </row>
    <row r="93" ht="15.75" customHeight="1">
      <c r="A93" s="11">
        <v>13.0</v>
      </c>
      <c r="B93" s="11" t="s">
        <v>252</v>
      </c>
      <c r="C93" s="11" t="str">
        <f t="array" ref="C93">IFERROR(INDEX(DOCUMENTOS!$E:$E,MATCH($A93,DOCUMENTOS!$A:$A,0)),"")</f>
        <v/>
      </c>
      <c r="D93" s="11" t="str">
        <f t="array" ref="D93">IFERROR(INDEX('BANCO DE PERGUNTAS'!$D:$D,MATCH($B93,'BANCO DE PERGUNTAS'!$A:$A,0)),"")</f>
        <v>Quais informações necessárias parecem estar ausentes?</v>
      </c>
      <c r="E93" s="11" t="str">
        <f t="array" ref="E93">IFERROR(INDEX('BANCO DE PERGUNTAS'!$B:$B,MATCH($B93,'BANCO DE PERGUNTAS'!$A:$A,0)),"")</f>
        <v>Identificação de Omissões</v>
      </c>
      <c r="F93" s="12">
        <f t="array" ref="F93">IFERROR(INDEX('BANCO DE PERGUNTAS'!$H:$H,MATCH($B93,'BANCO DE PERGUNTAS'!$A:$A,0)),"")</f>
        <v>4</v>
      </c>
      <c r="I93" s="50"/>
      <c r="J93" s="50"/>
      <c r="K93" s="50"/>
      <c r="L93" s="50"/>
      <c r="M93" s="50"/>
      <c r="N93" s="50"/>
      <c r="O93" s="50"/>
      <c r="P93" s="50"/>
      <c r="Q93" s="50"/>
      <c r="R93" s="50"/>
      <c r="S93" s="50"/>
      <c r="U93" s="101" t="s">
        <v>2500</v>
      </c>
      <c r="W93" s="86">
        <v>2.0</v>
      </c>
      <c r="X93" s="86">
        <v>2.0</v>
      </c>
      <c r="Y93" s="86">
        <v>2.0</v>
      </c>
      <c r="Z93" s="86">
        <v>2.0</v>
      </c>
      <c r="AA93" s="86">
        <v>2.0</v>
      </c>
      <c r="AB93" s="86">
        <v>2.0</v>
      </c>
      <c r="AC93" s="86">
        <v>2.0</v>
      </c>
      <c r="AD93" s="87" t="s">
        <v>64</v>
      </c>
      <c r="AE93" s="87" t="s">
        <v>64</v>
      </c>
      <c r="AF93" s="87" t="s">
        <v>64</v>
      </c>
      <c r="AG93" s="50"/>
      <c r="AI93" s="98" t="s">
        <v>2501</v>
      </c>
      <c r="AK93" s="86">
        <v>2.0</v>
      </c>
      <c r="AL93" s="86">
        <v>2.0</v>
      </c>
      <c r="AM93" s="86">
        <v>2.0</v>
      </c>
      <c r="AN93" s="86">
        <v>2.0</v>
      </c>
      <c r="AO93" s="86">
        <v>2.0</v>
      </c>
      <c r="AP93" s="86">
        <v>2.0</v>
      </c>
      <c r="AQ93" s="86">
        <v>2.0</v>
      </c>
      <c r="AR93" s="87" t="s">
        <v>64</v>
      </c>
      <c r="AS93" s="87" t="s">
        <v>64</v>
      </c>
      <c r="AT93" s="87" t="s">
        <v>64</v>
      </c>
      <c r="AU93" s="50"/>
      <c r="AY93" s="50"/>
      <c r="AZ93" s="50"/>
      <c r="BA93" s="50"/>
      <c r="BB93" s="50"/>
      <c r="BC93" s="50"/>
      <c r="BD93" s="50"/>
      <c r="BE93" s="50"/>
      <c r="BF93" s="50"/>
      <c r="BG93" s="50"/>
      <c r="BH93" s="50"/>
      <c r="BI93" s="50"/>
      <c r="BK93" s="99" t="s">
        <v>2502</v>
      </c>
      <c r="BM93" s="86">
        <v>2.0</v>
      </c>
      <c r="BN93" s="86">
        <v>2.0</v>
      </c>
      <c r="BO93" s="86">
        <v>2.0</v>
      </c>
      <c r="BP93" s="86">
        <v>2.0</v>
      </c>
      <c r="BQ93" s="86">
        <v>2.0</v>
      </c>
      <c r="BR93" s="86">
        <v>2.0</v>
      </c>
      <c r="BS93" s="86">
        <v>2.0</v>
      </c>
      <c r="BT93" s="87" t="s">
        <v>64</v>
      </c>
      <c r="BU93" s="87" t="s">
        <v>64</v>
      </c>
      <c r="BV93" s="87" t="s">
        <v>64</v>
      </c>
      <c r="BW93" s="50"/>
      <c r="BY93" s="53" t="s">
        <v>2503</v>
      </c>
      <c r="CA93" s="86">
        <v>2.0</v>
      </c>
      <c r="CB93" s="86">
        <v>2.0</v>
      </c>
      <c r="CC93" s="86">
        <v>2.0</v>
      </c>
      <c r="CD93" s="86">
        <v>2.0</v>
      </c>
      <c r="CE93" s="86">
        <v>2.0</v>
      </c>
      <c r="CF93" s="86">
        <v>2.0</v>
      </c>
      <c r="CG93" s="86">
        <v>2.0</v>
      </c>
      <c r="CH93" s="87" t="s">
        <v>64</v>
      </c>
      <c r="CI93" s="87" t="s">
        <v>64</v>
      </c>
      <c r="CJ93" s="87" t="s">
        <v>64</v>
      </c>
      <c r="CK93" s="50"/>
      <c r="CO93" s="50"/>
      <c r="CP93" s="50"/>
      <c r="CQ93" s="50"/>
      <c r="CR93" s="50"/>
      <c r="CS93" s="50"/>
      <c r="CT93" s="50"/>
      <c r="CU93" s="50"/>
      <c r="CV93" s="50"/>
      <c r="CW93" s="50"/>
      <c r="CX93" s="50"/>
      <c r="CY93" s="50"/>
      <c r="DA93" s="53" t="s">
        <v>2504</v>
      </c>
      <c r="DC93" s="86">
        <v>2.0</v>
      </c>
      <c r="DD93" s="86">
        <v>2.0</v>
      </c>
      <c r="DE93" s="86">
        <v>2.0</v>
      </c>
      <c r="DF93" s="86">
        <v>2.0</v>
      </c>
      <c r="DG93" s="86">
        <v>2.0</v>
      </c>
      <c r="DH93" s="86">
        <v>2.0</v>
      </c>
      <c r="DI93" s="86">
        <v>2.0</v>
      </c>
      <c r="DJ93" s="87" t="s">
        <v>64</v>
      </c>
      <c r="DK93" s="87" t="s">
        <v>64</v>
      </c>
      <c r="DL93" s="87" t="s">
        <v>64</v>
      </c>
      <c r="DM93" s="50"/>
      <c r="DO93" s="100" t="s">
        <v>2505</v>
      </c>
      <c r="DQ93" s="86">
        <v>2.0</v>
      </c>
      <c r="DR93" s="86">
        <v>2.0</v>
      </c>
      <c r="DS93" s="86">
        <v>2.0</v>
      </c>
      <c r="DT93" s="86">
        <v>2.0</v>
      </c>
      <c r="DU93" s="86">
        <v>2.0</v>
      </c>
      <c r="DV93" s="86">
        <v>2.0</v>
      </c>
      <c r="DW93" s="86">
        <v>2.0</v>
      </c>
      <c r="DX93" s="87" t="s">
        <v>64</v>
      </c>
      <c r="DY93" s="87" t="s">
        <v>64</v>
      </c>
      <c r="DZ93" s="87" t="s">
        <v>64</v>
      </c>
      <c r="EA93" s="50"/>
    </row>
    <row r="94" ht="15.75" customHeight="1">
      <c r="A94" s="14">
        <v>13.0</v>
      </c>
      <c r="B94" s="14" t="s">
        <v>257</v>
      </c>
      <c r="C94" s="14" t="str">
        <f t="array" ref="C94">IFERROR(INDEX(DOCUMENTOS!$E:$E,MATCH($A94,DOCUMENTOS!$A:$A,0)),"")</f>
        <v/>
      </c>
      <c r="D94" s="14" t="str">
        <f t="array" ref="D94">IFERROR(INDEX('BANCO DE PERGUNTAS'!$D:$D,MATCH($B94,'BANCO DE PERGUNTAS'!$A:$A,0)),"")</f>
        <v>Existem informações conflitantes com outro documento relacionado?</v>
      </c>
      <c r="E94" s="14" t="str">
        <f t="array" ref="E94">IFERROR(INDEX('BANCO DE PERGUNTAS'!$B:$B,MATCH($B94,'BANCO DE PERGUNTAS'!$A:$A,0)),"")</f>
        <v>Comparação</v>
      </c>
      <c r="F94" s="17">
        <f t="array" ref="F94">IFERROR(INDEX('BANCO DE PERGUNTAS'!$H:$H,MATCH($B94,'BANCO DE PERGUNTAS'!$A:$A,0)),"")</f>
        <v>5</v>
      </c>
      <c r="I94" s="50"/>
      <c r="J94" s="50"/>
      <c r="K94" s="50"/>
      <c r="L94" s="50"/>
      <c r="M94" s="50"/>
      <c r="N94" s="50"/>
      <c r="O94" s="50"/>
      <c r="P94" s="50"/>
      <c r="Q94" s="50"/>
      <c r="R94" s="50"/>
      <c r="S94" s="50"/>
      <c r="U94" s="97" t="s">
        <v>2506</v>
      </c>
      <c r="W94" s="86">
        <v>2.0</v>
      </c>
      <c r="X94" s="86">
        <v>2.0</v>
      </c>
      <c r="Y94" s="86">
        <v>2.0</v>
      </c>
      <c r="Z94" s="86">
        <v>2.0</v>
      </c>
      <c r="AA94" s="86">
        <v>2.0</v>
      </c>
      <c r="AB94" s="86">
        <v>2.0</v>
      </c>
      <c r="AC94" s="86">
        <v>2.0</v>
      </c>
      <c r="AD94" s="87" t="s">
        <v>64</v>
      </c>
      <c r="AE94" s="87" t="s">
        <v>64</v>
      </c>
      <c r="AF94" s="87" t="s">
        <v>64</v>
      </c>
      <c r="AG94" s="50"/>
      <c r="AI94" s="98" t="s">
        <v>2507</v>
      </c>
      <c r="AK94" s="86">
        <v>2.0</v>
      </c>
      <c r="AL94" s="86">
        <v>2.0</v>
      </c>
      <c r="AM94" s="86">
        <v>2.0</v>
      </c>
      <c r="AN94" s="86">
        <v>2.0</v>
      </c>
      <c r="AO94" s="86">
        <v>2.0</v>
      </c>
      <c r="AP94" s="86">
        <v>2.0</v>
      </c>
      <c r="AQ94" s="86">
        <v>2.0</v>
      </c>
      <c r="AR94" s="87" t="s">
        <v>64</v>
      </c>
      <c r="AS94" s="87" t="s">
        <v>64</v>
      </c>
      <c r="AT94" s="87" t="s">
        <v>64</v>
      </c>
      <c r="AU94" s="50"/>
      <c r="AY94" s="50"/>
      <c r="AZ94" s="50"/>
      <c r="BA94" s="50"/>
      <c r="BB94" s="50"/>
      <c r="BC94" s="50"/>
      <c r="BD94" s="50"/>
      <c r="BE94" s="50"/>
      <c r="BF94" s="50"/>
      <c r="BG94" s="50"/>
      <c r="BH94" s="50"/>
      <c r="BI94" s="50"/>
      <c r="BK94" s="99" t="s">
        <v>2508</v>
      </c>
      <c r="BM94" s="86">
        <v>2.0</v>
      </c>
      <c r="BN94" s="86">
        <v>2.0</v>
      </c>
      <c r="BO94" s="86">
        <v>2.0</v>
      </c>
      <c r="BP94" s="86">
        <v>2.0</v>
      </c>
      <c r="BQ94" s="86">
        <v>2.0</v>
      </c>
      <c r="BR94" s="86">
        <v>2.0</v>
      </c>
      <c r="BS94" s="86">
        <v>2.0</v>
      </c>
      <c r="BT94" s="87" t="s">
        <v>64</v>
      </c>
      <c r="BU94" s="87" t="s">
        <v>64</v>
      </c>
      <c r="BV94" s="87" t="s">
        <v>64</v>
      </c>
      <c r="BW94" s="50"/>
      <c r="BY94" s="53" t="s">
        <v>2509</v>
      </c>
      <c r="CA94" s="86">
        <v>2.0</v>
      </c>
      <c r="CB94" s="86">
        <v>2.0</v>
      </c>
      <c r="CC94" s="86">
        <v>2.0</v>
      </c>
      <c r="CD94" s="86">
        <v>2.0</v>
      </c>
      <c r="CE94" s="86">
        <v>2.0</v>
      </c>
      <c r="CF94" s="86">
        <v>2.0</v>
      </c>
      <c r="CG94" s="86">
        <v>2.0</v>
      </c>
      <c r="CH94" s="87" t="s">
        <v>64</v>
      </c>
      <c r="CI94" s="87" t="s">
        <v>64</v>
      </c>
      <c r="CJ94" s="87" t="s">
        <v>64</v>
      </c>
      <c r="CK94" s="50"/>
      <c r="CO94" s="50"/>
      <c r="CP94" s="50"/>
      <c r="CQ94" s="50"/>
      <c r="CR94" s="50"/>
      <c r="CS94" s="50"/>
      <c r="CT94" s="50"/>
      <c r="CU94" s="50"/>
      <c r="CV94" s="50"/>
      <c r="CW94" s="50"/>
      <c r="CX94" s="50"/>
      <c r="CY94" s="50"/>
      <c r="DA94" s="53" t="s">
        <v>2510</v>
      </c>
      <c r="DC94" s="86">
        <v>2.0</v>
      </c>
      <c r="DD94" s="86">
        <v>2.0</v>
      </c>
      <c r="DE94" s="86">
        <v>2.0</v>
      </c>
      <c r="DF94" s="86">
        <v>2.0</v>
      </c>
      <c r="DG94" s="86">
        <v>2.0</v>
      </c>
      <c r="DH94" s="86">
        <v>2.0</v>
      </c>
      <c r="DI94" s="86">
        <v>2.0</v>
      </c>
      <c r="DJ94" s="87" t="s">
        <v>64</v>
      </c>
      <c r="DK94" s="87" t="s">
        <v>64</v>
      </c>
      <c r="DL94" s="87" t="s">
        <v>64</v>
      </c>
      <c r="DM94" s="50"/>
      <c r="DO94" s="100" t="s">
        <v>2511</v>
      </c>
      <c r="DQ94" s="86">
        <v>2.0</v>
      </c>
      <c r="DR94" s="86">
        <v>2.0</v>
      </c>
      <c r="DS94" s="86">
        <v>2.0</v>
      </c>
      <c r="DT94" s="86">
        <v>2.0</v>
      </c>
      <c r="DU94" s="86">
        <v>2.0</v>
      </c>
      <c r="DV94" s="86">
        <v>2.0</v>
      </c>
      <c r="DW94" s="86">
        <v>2.0</v>
      </c>
      <c r="DX94" s="87" t="s">
        <v>64</v>
      </c>
      <c r="DY94" s="87" t="s">
        <v>64</v>
      </c>
      <c r="DZ94" s="87" t="s">
        <v>64</v>
      </c>
      <c r="EA94" s="50"/>
    </row>
    <row r="95" ht="15.75" customHeight="1">
      <c r="A95" s="11">
        <v>13.0</v>
      </c>
      <c r="B95" s="11" t="s">
        <v>264</v>
      </c>
      <c r="C95" s="11" t="str">
        <f t="array" ref="C95">IFERROR(INDEX(DOCUMENTOS!$E:$E,MATCH($A95,DOCUMENTOS!$A:$A,0)),"")</f>
        <v/>
      </c>
      <c r="D95" s="11" t="str">
        <f t="array" ref="D95">IFERROR(INDEX('BANCO DE PERGUNTAS'!$D:$D,MATCH($B95,'BANCO DE PERGUNTAS'!$A:$A,0)),"")</f>
        <v>Quais diferenças existem entre os documentos?</v>
      </c>
      <c r="E95" s="11" t="str">
        <f t="array" ref="E95">IFERROR(INDEX('BANCO DE PERGUNTAS'!$B:$B,MATCH($B95,'BANCO DE PERGUNTAS'!$A:$A,0)),"")</f>
        <v>Comparação</v>
      </c>
      <c r="F95" s="12">
        <f t="array" ref="F95">IFERROR(INDEX('BANCO DE PERGUNTAS'!$H:$H,MATCH($B95,'BANCO DE PERGUNTAS'!$A:$A,0)),"")</f>
        <v>5</v>
      </c>
      <c r="I95" s="50"/>
      <c r="J95" s="50"/>
      <c r="K95" s="50"/>
      <c r="L95" s="50"/>
      <c r="M95" s="50"/>
      <c r="N95" s="50"/>
      <c r="O95" s="50"/>
      <c r="P95" s="50"/>
      <c r="Q95" s="50"/>
      <c r="R95" s="50"/>
      <c r="S95" s="50"/>
      <c r="U95" s="101" t="s">
        <v>2512</v>
      </c>
      <c r="W95" s="86">
        <v>2.0</v>
      </c>
      <c r="X95" s="86">
        <v>2.0</v>
      </c>
      <c r="Y95" s="86">
        <v>2.0</v>
      </c>
      <c r="Z95" s="86">
        <v>2.0</v>
      </c>
      <c r="AA95" s="86">
        <v>2.0</v>
      </c>
      <c r="AB95" s="86">
        <v>2.0</v>
      </c>
      <c r="AC95" s="86">
        <v>2.0</v>
      </c>
      <c r="AD95" s="87" t="s">
        <v>64</v>
      </c>
      <c r="AE95" s="87" t="s">
        <v>64</v>
      </c>
      <c r="AF95" s="87" t="s">
        <v>64</v>
      </c>
      <c r="AG95" s="50"/>
      <c r="AI95" s="98" t="s">
        <v>2513</v>
      </c>
      <c r="AK95" s="86">
        <v>2.0</v>
      </c>
      <c r="AL95" s="86">
        <v>2.0</v>
      </c>
      <c r="AM95" s="86">
        <v>2.0</v>
      </c>
      <c r="AN95" s="86">
        <v>2.0</v>
      </c>
      <c r="AO95" s="86">
        <v>2.0</v>
      </c>
      <c r="AP95" s="86">
        <v>2.0</v>
      </c>
      <c r="AQ95" s="86">
        <v>2.0</v>
      </c>
      <c r="AR95" s="87" t="s">
        <v>64</v>
      </c>
      <c r="AS95" s="87" t="s">
        <v>64</v>
      </c>
      <c r="AT95" s="87" t="s">
        <v>64</v>
      </c>
      <c r="AU95" s="50"/>
      <c r="AY95" s="50"/>
      <c r="AZ95" s="50"/>
      <c r="BA95" s="50"/>
      <c r="BB95" s="50"/>
      <c r="BC95" s="50"/>
      <c r="BD95" s="50"/>
      <c r="BE95" s="50"/>
      <c r="BF95" s="50"/>
      <c r="BG95" s="50"/>
      <c r="BH95" s="50"/>
      <c r="BI95" s="50"/>
      <c r="BK95" s="99" t="s">
        <v>2514</v>
      </c>
      <c r="BM95" s="86">
        <v>2.0</v>
      </c>
      <c r="BN95" s="86">
        <v>2.0</v>
      </c>
      <c r="BO95" s="86">
        <v>2.0</v>
      </c>
      <c r="BP95" s="86">
        <v>2.0</v>
      </c>
      <c r="BQ95" s="86">
        <v>2.0</v>
      </c>
      <c r="BR95" s="86">
        <v>2.0</v>
      </c>
      <c r="BS95" s="86">
        <v>2.0</v>
      </c>
      <c r="BT95" s="87" t="s">
        <v>64</v>
      </c>
      <c r="BU95" s="87" t="s">
        <v>64</v>
      </c>
      <c r="BV95" s="87" t="s">
        <v>64</v>
      </c>
      <c r="BW95" s="50"/>
      <c r="BY95" s="53" t="s">
        <v>2515</v>
      </c>
      <c r="CA95" s="86">
        <v>2.0</v>
      </c>
      <c r="CB95" s="86">
        <v>2.0</v>
      </c>
      <c r="CC95" s="86">
        <v>2.0</v>
      </c>
      <c r="CD95" s="86">
        <v>2.0</v>
      </c>
      <c r="CE95" s="86">
        <v>2.0</v>
      </c>
      <c r="CF95" s="86">
        <v>2.0</v>
      </c>
      <c r="CG95" s="86">
        <v>2.0</v>
      </c>
      <c r="CH95" s="87" t="s">
        <v>64</v>
      </c>
      <c r="CI95" s="87" t="s">
        <v>64</v>
      </c>
      <c r="CJ95" s="87" t="s">
        <v>64</v>
      </c>
      <c r="CK95" s="50"/>
      <c r="CO95" s="50"/>
      <c r="CP95" s="50"/>
      <c r="CQ95" s="50"/>
      <c r="CR95" s="50"/>
      <c r="CS95" s="50"/>
      <c r="CT95" s="50"/>
      <c r="CU95" s="50"/>
      <c r="CV95" s="50"/>
      <c r="CW95" s="50"/>
      <c r="CX95" s="50"/>
      <c r="CY95" s="50"/>
      <c r="DA95" s="53" t="s">
        <v>682</v>
      </c>
      <c r="DC95" s="86">
        <v>2.0</v>
      </c>
      <c r="DD95" s="86">
        <v>2.0</v>
      </c>
      <c r="DE95" s="86">
        <v>2.0</v>
      </c>
      <c r="DF95" s="86">
        <v>2.0</v>
      </c>
      <c r="DG95" s="86">
        <v>2.0</v>
      </c>
      <c r="DH95" s="86">
        <v>2.0</v>
      </c>
      <c r="DI95" s="86">
        <v>2.0</v>
      </c>
      <c r="DJ95" s="87" t="s">
        <v>64</v>
      </c>
      <c r="DK95" s="87" t="s">
        <v>64</v>
      </c>
      <c r="DL95" s="87" t="s">
        <v>64</v>
      </c>
      <c r="DM95" s="50"/>
      <c r="DO95" s="100" t="s">
        <v>682</v>
      </c>
      <c r="DQ95" s="86">
        <v>2.0</v>
      </c>
      <c r="DR95" s="86">
        <v>2.0</v>
      </c>
      <c r="DS95" s="86">
        <v>2.0</v>
      </c>
      <c r="DT95" s="86">
        <v>2.0</v>
      </c>
      <c r="DU95" s="86">
        <v>2.0</v>
      </c>
      <c r="DV95" s="86">
        <v>2.0</v>
      </c>
      <c r="DW95" s="86">
        <v>2.0</v>
      </c>
      <c r="DX95" s="87" t="s">
        <v>64</v>
      </c>
      <c r="DY95" s="87" t="s">
        <v>64</v>
      </c>
      <c r="DZ95" s="87" t="s">
        <v>64</v>
      </c>
      <c r="EA95" s="50"/>
    </row>
    <row r="96" ht="15.75" customHeight="1">
      <c r="A96" s="14">
        <v>13.0</v>
      </c>
      <c r="B96" s="14" t="s">
        <v>269</v>
      </c>
      <c r="C96" s="14" t="str">
        <f t="array" ref="C96">IFERROR(INDEX(DOCUMENTOS!$E:$E,MATCH($A96,DOCUMENTOS!$A:$A,0)),"")</f>
        <v/>
      </c>
      <c r="D96" s="14" t="str">
        <f t="array" ref="D96">IFERROR(INDEX('BANCO DE PERGUNTAS'!$D:$D,MATCH($B96,'BANCO DE PERGUNTAS'!$A:$A,0)),"")</f>
        <v>Quais informações foram alteradas?</v>
      </c>
      <c r="E96" s="14" t="str">
        <f t="array" ref="E96">IFERROR(INDEX('BANCO DE PERGUNTAS'!$B:$B,MATCH($B96,'BANCO DE PERGUNTAS'!$A:$A,0)),"")</f>
        <v>Análise de Relações entre Informações</v>
      </c>
      <c r="F96" s="17">
        <f t="array" ref="F96">IFERROR(INDEX('BANCO DE PERGUNTAS'!$H:$H,MATCH($B96,'BANCO DE PERGUNTAS'!$A:$A,0)),"")</f>
        <v>5</v>
      </c>
      <c r="I96" s="50"/>
      <c r="J96" s="50"/>
      <c r="K96" s="50"/>
      <c r="L96" s="50"/>
      <c r="M96" s="50"/>
      <c r="N96" s="50"/>
      <c r="O96" s="50"/>
      <c r="P96" s="50"/>
      <c r="Q96" s="50"/>
      <c r="R96" s="50"/>
      <c r="S96" s="50"/>
      <c r="U96" s="97" t="s">
        <v>2516</v>
      </c>
      <c r="W96" s="86">
        <v>2.0</v>
      </c>
      <c r="X96" s="86">
        <v>2.0</v>
      </c>
      <c r="Y96" s="86">
        <v>2.0</v>
      </c>
      <c r="Z96" s="86">
        <v>2.0</v>
      </c>
      <c r="AA96" s="86">
        <v>2.0</v>
      </c>
      <c r="AB96" s="86">
        <v>2.0</v>
      </c>
      <c r="AC96" s="86">
        <v>2.0</v>
      </c>
      <c r="AD96" s="87" t="s">
        <v>64</v>
      </c>
      <c r="AE96" s="87" t="s">
        <v>64</v>
      </c>
      <c r="AF96" s="87" t="s">
        <v>64</v>
      </c>
      <c r="AG96" s="50"/>
      <c r="AI96" s="98" t="s">
        <v>2517</v>
      </c>
      <c r="AK96" s="86">
        <v>2.0</v>
      </c>
      <c r="AL96" s="86">
        <v>2.0</v>
      </c>
      <c r="AM96" s="86">
        <v>2.0</v>
      </c>
      <c r="AN96" s="86">
        <v>2.0</v>
      </c>
      <c r="AO96" s="86">
        <v>2.0</v>
      </c>
      <c r="AP96" s="86">
        <v>2.0</v>
      </c>
      <c r="AQ96" s="86">
        <v>2.0</v>
      </c>
      <c r="AR96" s="87" t="s">
        <v>64</v>
      </c>
      <c r="AS96" s="87" t="s">
        <v>64</v>
      </c>
      <c r="AT96" s="87" t="s">
        <v>64</v>
      </c>
      <c r="AU96" s="50"/>
      <c r="AY96" s="50"/>
      <c r="AZ96" s="50"/>
      <c r="BA96" s="50"/>
      <c r="BB96" s="50"/>
      <c r="BC96" s="50"/>
      <c r="BD96" s="50"/>
      <c r="BE96" s="50"/>
      <c r="BF96" s="50"/>
      <c r="BG96" s="50"/>
      <c r="BH96" s="50"/>
      <c r="BI96" s="50"/>
      <c r="BK96" s="99" t="s">
        <v>2518</v>
      </c>
      <c r="BM96" s="86">
        <v>2.0</v>
      </c>
      <c r="BN96" s="86">
        <v>2.0</v>
      </c>
      <c r="BO96" s="86">
        <v>2.0</v>
      </c>
      <c r="BP96" s="86">
        <v>2.0</v>
      </c>
      <c r="BQ96" s="86">
        <v>2.0</v>
      </c>
      <c r="BR96" s="86">
        <v>2.0</v>
      </c>
      <c r="BS96" s="86">
        <v>2.0</v>
      </c>
      <c r="BT96" s="87" t="s">
        <v>64</v>
      </c>
      <c r="BU96" s="87" t="s">
        <v>64</v>
      </c>
      <c r="BV96" s="87" t="s">
        <v>64</v>
      </c>
      <c r="BW96" s="50"/>
      <c r="BY96" s="53" t="s">
        <v>2519</v>
      </c>
      <c r="CA96" s="86">
        <v>2.0</v>
      </c>
      <c r="CB96" s="86">
        <v>2.0</v>
      </c>
      <c r="CC96" s="86">
        <v>2.0</v>
      </c>
      <c r="CD96" s="86">
        <v>2.0</v>
      </c>
      <c r="CE96" s="86">
        <v>2.0</v>
      </c>
      <c r="CF96" s="86">
        <v>2.0</v>
      </c>
      <c r="CG96" s="86">
        <v>2.0</v>
      </c>
      <c r="CH96" s="87" t="s">
        <v>64</v>
      </c>
      <c r="CI96" s="87" t="s">
        <v>64</v>
      </c>
      <c r="CJ96" s="87" t="s">
        <v>64</v>
      </c>
      <c r="CK96" s="50"/>
      <c r="CO96" s="50"/>
      <c r="CP96" s="50"/>
      <c r="CQ96" s="50"/>
      <c r="CR96" s="50"/>
      <c r="CS96" s="50"/>
      <c r="CT96" s="50"/>
      <c r="CU96" s="50"/>
      <c r="CV96" s="50"/>
      <c r="CW96" s="50"/>
      <c r="CX96" s="50"/>
      <c r="CY96" s="50"/>
      <c r="DA96" s="53" t="s">
        <v>682</v>
      </c>
      <c r="DC96" s="86">
        <v>2.0</v>
      </c>
      <c r="DD96" s="86">
        <v>2.0</v>
      </c>
      <c r="DE96" s="86">
        <v>2.0</v>
      </c>
      <c r="DF96" s="86">
        <v>2.0</v>
      </c>
      <c r="DG96" s="86">
        <v>2.0</v>
      </c>
      <c r="DH96" s="86">
        <v>2.0</v>
      </c>
      <c r="DI96" s="86">
        <v>2.0</v>
      </c>
      <c r="DJ96" s="87" t="s">
        <v>64</v>
      </c>
      <c r="DK96" s="87" t="s">
        <v>64</v>
      </c>
      <c r="DL96" s="87" t="s">
        <v>64</v>
      </c>
      <c r="DM96" s="50"/>
      <c r="DO96" s="100" t="s">
        <v>2520</v>
      </c>
      <c r="DQ96" s="86">
        <v>2.0</v>
      </c>
      <c r="DR96" s="86">
        <v>2.0</v>
      </c>
      <c r="DS96" s="86">
        <v>2.0</v>
      </c>
      <c r="DT96" s="86">
        <v>2.0</v>
      </c>
      <c r="DU96" s="86">
        <v>2.0</v>
      </c>
      <c r="DV96" s="86">
        <v>2.0</v>
      </c>
      <c r="DW96" s="86">
        <v>2.0</v>
      </c>
      <c r="DX96" s="87" t="s">
        <v>64</v>
      </c>
      <c r="DY96" s="87" t="s">
        <v>64</v>
      </c>
      <c r="DZ96" s="87" t="s">
        <v>64</v>
      </c>
      <c r="EA96" s="50"/>
    </row>
    <row r="97" ht="15.75" customHeight="1">
      <c r="A97" s="11">
        <v>13.0</v>
      </c>
      <c r="B97" s="11" t="s">
        <v>276</v>
      </c>
      <c r="C97" s="11" t="str">
        <f t="array" ref="C97">IFERROR(INDEX(DOCUMENTOS!$E:$E,MATCH($A97,DOCUMENTOS!$A:$A,0)),"")</f>
        <v/>
      </c>
      <c r="D97" s="11" t="str">
        <f t="array" ref="D97">IFERROR(INDEX('BANCO DE PERGUNTAS'!$D:$D,MATCH($B97,'BANCO DE PERGUNTAS'!$A:$A,0)),"")</f>
        <v>Identifique possíveis pontos de atenção administrativa.</v>
      </c>
      <c r="E97" s="11" t="str">
        <f t="array" ref="E97">IFERROR(INDEX('BANCO DE PERGUNTAS'!$B:$B,MATCH($B97,'BANCO DE PERGUNTAS'!$A:$A,0)),"")</f>
        <v>Análise de Risco</v>
      </c>
      <c r="F97" s="12">
        <f t="array" ref="F97">IFERROR(INDEX('BANCO DE PERGUNTAS'!$H:$H,MATCH($B97,'BANCO DE PERGUNTAS'!$A:$A,0)),"")</f>
        <v>4</v>
      </c>
      <c r="I97" s="50"/>
      <c r="J97" s="50"/>
      <c r="K97" s="50"/>
      <c r="L97" s="50"/>
      <c r="M97" s="50"/>
      <c r="N97" s="50"/>
      <c r="O97" s="50"/>
      <c r="P97" s="50"/>
      <c r="Q97" s="50"/>
      <c r="R97" s="50"/>
      <c r="S97" s="50"/>
      <c r="U97" s="101" t="s">
        <v>2521</v>
      </c>
      <c r="W97" s="86">
        <v>2.0</v>
      </c>
      <c r="X97" s="86">
        <v>2.0</v>
      </c>
      <c r="Y97" s="86">
        <v>2.0</v>
      </c>
      <c r="Z97" s="86">
        <v>2.0</v>
      </c>
      <c r="AA97" s="86">
        <v>2.0</v>
      </c>
      <c r="AB97" s="86">
        <v>2.0</v>
      </c>
      <c r="AC97" s="86">
        <v>2.0</v>
      </c>
      <c r="AD97" s="87" t="s">
        <v>64</v>
      </c>
      <c r="AE97" s="87" t="s">
        <v>64</v>
      </c>
      <c r="AF97" s="87" t="s">
        <v>64</v>
      </c>
      <c r="AG97" s="50"/>
      <c r="AI97" s="98" t="s">
        <v>2522</v>
      </c>
      <c r="AK97" s="86">
        <v>2.0</v>
      </c>
      <c r="AL97" s="86">
        <v>2.0</v>
      </c>
      <c r="AM97" s="86">
        <v>2.0</v>
      </c>
      <c r="AN97" s="86">
        <v>2.0</v>
      </c>
      <c r="AO97" s="86">
        <v>2.0</v>
      </c>
      <c r="AP97" s="86">
        <v>2.0</v>
      </c>
      <c r="AQ97" s="86">
        <v>2.0</v>
      </c>
      <c r="AR97" s="87" t="s">
        <v>64</v>
      </c>
      <c r="AS97" s="87" t="s">
        <v>64</v>
      </c>
      <c r="AT97" s="87" t="s">
        <v>64</v>
      </c>
      <c r="AU97" s="50"/>
      <c r="AY97" s="50"/>
      <c r="AZ97" s="50"/>
      <c r="BA97" s="50"/>
      <c r="BB97" s="50"/>
      <c r="BC97" s="50"/>
      <c r="BD97" s="50"/>
      <c r="BE97" s="50"/>
      <c r="BF97" s="50"/>
      <c r="BG97" s="50"/>
      <c r="BH97" s="50"/>
      <c r="BI97" s="50"/>
      <c r="BK97" s="99" t="s">
        <v>2523</v>
      </c>
      <c r="BM97" s="86">
        <v>2.0</v>
      </c>
      <c r="BN97" s="86">
        <v>2.0</v>
      </c>
      <c r="BO97" s="86">
        <v>2.0</v>
      </c>
      <c r="BP97" s="86">
        <v>2.0</v>
      </c>
      <c r="BQ97" s="86">
        <v>2.0</v>
      </c>
      <c r="BR97" s="86">
        <v>2.0</v>
      </c>
      <c r="BS97" s="86">
        <v>2.0</v>
      </c>
      <c r="BT97" s="87" t="s">
        <v>64</v>
      </c>
      <c r="BU97" s="87" t="s">
        <v>64</v>
      </c>
      <c r="BV97" s="87" t="s">
        <v>64</v>
      </c>
      <c r="BW97" s="50"/>
      <c r="BY97" s="53" t="s">
        <v>2524</v>
      </c>
      <c r="CA97" s="86">
        <v>2.0</v>
      </c>
      <c r="CB97" s="86">
        <v>2.0</v>
      </c>
      <c r="CC97" s="86">
        <v>2.0</v>
      </c>
      <c r="CD97" s="86">
        <v>2.0</v>
      </c>
      <c r="CE97" s="86">
        <v>2.0</v>
      </c>
      <c r="CF97" s="86">
        <v>2.0</v>
      </c>
      <c r="CG97" s="86">
        <v>2.0</v>
      </c>
      <c r="CH97" s="87" t="s">
        <v>64</v>
      </c>
      <c r="CI97" s="87" t="s">
        <v>64</v>
      </c>
      <c r="CJ97" s="87" t="s">
        <v>64</v>
      </c>
      <c r="CK97" s="50"/>
      <c r="CO97" s="50"/>
      <c r="CP97" s="50"/>
      <c r="CQ97" s="50"/>
      <c r="CR97" s="50"/>
      <c r="CS97" s="50"/>
      <c r="CT97" s="50"/>
      <c r="CU97" s="50"/>
      <c r="CV97" s="50"/>
      <c r="CW97" s="50"/>
      <c r="CX97" s="50"/>
      <c r="CY97" s="50"/>
      <c r="DA97" s="53" t="s">
        <v>2525</v>
      </c>
      <c r="DC97" s="86">
        <v>2.0</v>
      </c>
      <c r="DD97" s="86">
        <v>2.0</v>
      </c>
      <c r="DE97" s="86">
        <v>2.0</v>
      </c>
      <c r="DF97" s="86">
        <v>2.0</v>
      </c>
      <c r="DG97" s="86">
        <v>2.0</v>
      </c>
      <c r="DH97" s="86">
        <v>2.0</v>
      </c>
      <c r="DI97" s="86">
        <v>2.0</v>
      </c>
      <c r="DJ97" s="87" t="s">
        <v>64</v>
      </c>
      <c r="DK97" s="87" t="s">
        <v>64</v>
      </c>
      <c r="DL97" s="87" t="s">
        <v>64</v>
      </c>
      <c r="DM97" s="50"/>
      <c r="DO97" s="100" t="s">
        <v>2526</v>
      </c>
      <c r="DQ97" s="86">
        <v>2.0</v>
      </c>
      <c r="DR97" s="86">
        <v>2.0</v>
      </c>
      <c r="DS97" s="86">
        <v>2.0</v>
      </c>
      <c r="DT97" s="86">
        <v>2.0</v>
      </c>
      <c r="DU97" s="86">
        <v>2.0</v>
      </c>
      <c r="DV97" s="86">
        <v>2.0</v>
      </c>
      <c r="DW97" s="86">
        <v>2.0</v>
      </c>
      <c r="DX97" s="87" t="s">
        <v>64</v>
      </c>
      <c r="DY97" s="87" t="s">
        <v>64</v>
      </c>
      <c r="DZ97" s="87" t="s">
        <v>64</v>
      </c>
      <c r="EA97" s="50"/>
    </row>
    <row r="98" ht="15.75" customHeight="1">
      <c r="A98" s="14">
        <v>13.0</v>
      </c>
      <c r="B98" s="14" t="s">
        <v>284</v>
      </c>
      <c r="C98" s="14" t="str">
        <f t="array" ref="C98">IFERROR(INDEX(DOCUMENTOS!$E:$E,MATCH($A98,DOCUMENTOS!$A:$A,0)),"")</f>
        <v/>
      </c>
      <c r="D98" s="14" t="str">
        <f t="array" ref="D98">IFERROR(INDEX('BANCO DE PERGUNTAS'!$D:$D,MATCH($B98,'BANCO DE PERGUNTAS'!$A:$A,0)),"")</f>
        <v>Quais informações deveriam ser verificadas antes de uma decisão administrativa?</v>
      </c>
      <c r="E98" s="14" t="str">
        <f t="array" ref="E98">IFERROR(INDEX('BANCO DE PERGUNTAS'!$B:$B,MATCH($B98,'BANCO DE PERGUNTAS'!$A:$A,0)),"")</f>
        <v>Análise de Risco</v>
      </c>
      <c r="F98" s="17">
        <f t="array" ref="F98">IFERROR(INDEX('BANCO DE PERGUNTAS'!$H:$H,MATCH($B98,'BANCO DE PERGUNTAS'!$A:$A,0)),"")</f>
        <v>4</v>
      </c>
      <c r="I98" s="50"/>
      <c r="J98" s="50"/>
      <c r="K98" s="50"/>
      <c r="L98" s="50"/>
      <c r="M98" s="50"/>
      <c r="N98" s="50"/>
      <c r="O98" s="50"/>
      <c r="P98" s="50"/>
      <c r="Q98" s="50"/>
      <c r="R98" s="50"/>
      <c r="S98" s="50"/>
      <c r="U98" s="97" t="s">
        <v>2527</v>
      </c>
      <c r="W98" s="86">
        <v>2.0</v>
      </c>
      <c r="X98" s="86">
        <v>2.0</v>
      </c>
      <c r="Y98" s="86">
        <v>2.0</v>
      </c>
      <c r="Z98" s="86">
        <v>2.0</v>
      </c>
      <c r="AA98" s="86">
        <v>2.0</v>
      </c>
      <c r="AB98" s="86">
        <v>2.0</v>
      </c>
      <c r="AC98" s="86">
        <v>2.0</v>
      </c>
      <c r="AD98" s="87" t="s">
        <v>64</v>
      </c>
      <c r="AE98" s="87" t="s">
        <v>64</v>
      </c>
      <c r="AF98" s="87" t="s">
        <v>64</v>
      </c>
      <c r="AG98" s="50"/>
      <c r="AI98" s="98" t="s">
        <v>2528</v>
      </c>
      <c r="AK98" s="86">
        <v>2.0</v>
      </c>
      <c r="AL98" s="86">
        <v>2.0</v>
      </c>
      <c r="AM98" s="86">
        <v>2.0</v>
      </c>
      <c r="AN98" s="86">
        <v>2.0</v>
      </c>
      <c r="AO98" s="86">
        <v>2.0</v>
      </c>
      <c r="AP98" s="86">
        <v>2.0</v>
      </c>
      <c r="AQ98" s="86">
        <v>2.0</v>
      </c>
      <c r="AR98" s="87" t="s">
        <v>64</v>
      </c>
      <c r="AS98" s="87" t="s">
        <v>64</v>
      </c>
      <c r="AT98" s="87" t="s">
        <v>64</v>
      </c>
      <c r="AU98" s="50"/>
      <c r="AY98" s="50"/>
      <c r="AZ98" s="50"/>
      <c r="BA98" s="50"/>
      <c r="BB98" s="50"/>
      <c r="BC98" s="50"/>
      <c r="BD98" s="50"/>
      <c r="BE98" s="50"/>
      <c r="BF98" s="50"/>
      <c r="BG98" s="50"/>
      <c r="BH98" s="50"/>
      <c r="BI98" s="50"/>
      <c r="BK98" s="99" t="s">
        <v>2529</v>
      </c>
      <c r="BM98" s="86">
        <v>2.0</v>
      </c>
      <c r="BN98" s="86">
        <v>2.0</v>
      </c>
      <c r="BO98" s="86">
        <v>2.0</v>
      </c>
      <c r="BP98" s="86">
        <v>2.0</v>
      </c>
      <c r="BQ98" s="86">
        <v>2.0</v>
      </c>
      <c r="BR98" s="86">
        <v>2.0</v>
      </c>
      <c r="BS98" s="86">
        <v>2.0</v>
      </c>
      <c r="BT98" s="87" t="s">
        <v>64</v>
      </c>
      <c r="BU98" s="87" t="s">
        <v>64</v>
      </c>
      <c r="BV98" s="87" t="s">
        <v>64</v>
      </c>
      <c r="BW98" s="50"/>
      <c r="BY98" s="53" t="s">
        <v>2530</v>
      </c>
      <c r="CA98" s="86">
        <v>2.0</v>
      </c>
      <c r="CB98" s="86">
        <v>2.0</v>
      </c>
      <c r="CC98" s="86">
        <v>2.0</v>
      </c>
      <c r="CD98" s="86">
        <v>2.0</v>
      </c>
      <c r="CE98" s="86">
        <v>2.0</v>
      </c>
      <c r="CF98" s="86">
        <v>2.0</v>
      </c>
      <c r="CG98" s="86">
        <v>2.0</v>
      </c>
      <c r="CH98" s="87" t="s">
        <v>64</v>
      </c>
      <c r="CI98" s="87" t="s">
        <v>64</v>
      </c>
      <c r="CJ98" s="87" t="s">
        <v>64</v>
      </c>
      <c r="CK98" s="50"/>
      <c r="CO98" s="50"/>
      <c r="CP98" s="50"/>
      <c r="CQ98" s="50"/>
      <c r="CR98" s="50"/>
      <c r="CS98" s="50"/>
      <c r="CT98" s="50"/>
      <c r="CU98" s="50"/>
      <c r="CV98" s="50"/>
      <c r="CW98" s="50"/>
      <c r="CX98" s="50"/>
      <c r="CY98" s="50"/>
      <c r="DA98" s="53" t="s">
        <v>2531</v>
      </c>
      <c r="DC98" s="86">
        <v>2.0</v>
      </c>
      <c r="DD98" s="86">
        <v>2.0</v>
      </c>
      <c r="DE98" s="86">
        <v>2.0</v>
      </c>
      <c r="DF98" s="86">
        <v>2.0</v>
      </c>
      <c r="DG98" s="86">
        <v>2.0</v>
      </c>
      <c r="DH98" s="86">
        <v>2.0</v>
      </c>
      <c r="DI98" s="86">
        <v>2.0</v>
      </c>
      <c r="DJ98" s="87" t="s">
        <v>64</v>
      </c>
      <c r="DK98" s="87" t="s">
        <v>64</v>
      </c>
      <c r="DL98" s="87" t="s">
        <v>64</v>
      </c>
      <c r="DM98" s="50"/>
      <c r="DO98" s="100" t="s">
        <v>2532</v>
      </c>
      <c r="DQ98" s="86">
        <v>2.0</v>
      </c>
      <c r="DR98" s="86">
        <v>2.0</v>
      </c>
      <c r="DS98" s="86">
        <v>2.0</v>
      </c>
      <c r="DT98" s="86">
        <v>2.0</v>
      </c>
      <c r="DU98" s="86">
        <v>2.0</v>
      </c>
      <c r="DV98" s="86">
        <v>2.0</v>
      </c>
      <c r="DW98" s="86">
        <v>2.0</v>
      </c>
      <c r="DX98" s="87" t="s">
        <v>64</v>
      </c>
      <c r="DY98" s="87" t="s">
        <v>64</v>
      </c>
      <c r="DZ98" s="87" t="s">
        <v>64</v>
      </c>
      <c r="EA98" s="50"/>
    </row>
    <row r="99" ht="15.75" customHeight="1">
      <c r="A99" s="11">
        <v>13.0</v>
      </c>
      <c r="B99" s="11" t="s">
        <v>288</v>
      </c>
      <c r="C99" s="11" t="str">
        <f t="array" ref="C99">IFERROR(INDEX(DOCUMENTOS!$E:$E,MATCH($A99,DOCUMENTOS!$A:$A,0)),"")</f>
        <v/>
      </c>
      <c r="D99" s="11" t="str">
        <f t="array" ref="D99">IFERROR(INDEX('BANCO DE PERGUNTAS'!$D:$D,MATCH($B99,'BANCO DE PERGUNTAS'!$A:$A,0)),"")</f>
        <v>Identifique situações que possam representar risco administrativo.</v>
      </c>
      <c r="E99" s="11" t="str">
        <f t="array" ref="E99">IFERROR(INDEX('BANCO DE PERGUNTAS'!$B:$B,MATCH($B99,'BANCO DE PERGUNTAS'!$A:$A,0)),"")</f>
        <v>Análise de Risco</v>
      </c>
      <c r="F99" s="12">
        <f t="array" ref="F99">IFERROR(INDEX('BANCO DE PERGUNTAS'!$H:$H,MATCH($B99,'BANCO DE PERGUNTAS'!$A:$A,0)),"")</f>
        <v>4</v>
      </c>
      <c r="I99" s="50"/>
      <c r="J99" s="50"/>
      <c r="K99" s="50"/>
      <c r="L99" s="50"/>
      <c r="M99" s="50"/>
      <c r="N99" s="50"/>
      <c r="O99" s="50"/>
      <c r="P99" s="50"/>
      <c r="Q99" s="50"/>
      <c r="R99" s="50"/>
      <c r="S99" s="50"/>
      <c r="U99" s="101" t="s">
        <v>2533</v>
      </c>
      <c r="W99" s="86">
        <v>2.0</v>
      </c>
      <c r="X99" s="86">
        <v>2.0</v>
      </c>
      <c r="Y99" s="86">
        <v>2.0</v>
      </c>
      <c r="Z99" s="86">
        <v>2.0</v>
      </c>
      <c r="AA99" s="86">
        <v>2.0</v>
      </c>
      <c r="AB99" s="86">
        <v>2.0</v>
      </c>
      <c r="AC99" s="86">
        <v>2.0</v>
      </c>
      <c r="AD99" s="87" t="s">
        <v>64</v>
      </c>
      <c r="AE99" s="87" t="s">
        <v>64</v>
      </c>
      <c r="AF99" s="87" t="s">
        <v>64</v>
      </c>
      <c r="AG99" s="50"/>
      <c r="AI99" s="98" t="s">
        <v>2534</v>
      </c>
      <c r="AK99" s="86">
        <v>2.0</v>
      </c>
      <c r="AL99" s="86">
        <v>2.0</v>
      </c>
      <c r="AM99" s="86">
        <v>2.0</v>
      </c>
      <c r="AN99" s="86">
        <v>2.0</v>
      </c>
      <c r="AO99" s="86">
        <v>2.0</v>
      </c>
      <c r="AP99" s="86">
        <v>2.0</v>
      </c>
      <c r="AQ99" s="86">
        <v>2.0</v>
      </c>
      <c r="AR99" s="87" t="s">
        <v>64</v>
      </c>
      <c r="AS99" s="87" t="s">
        <v>64</v>
      </c>
      <c r="AT99" s="87" t="s">
        <v>64</v>
      </c>
      <c r="AU99" s="50"/>
      <c r="AY99" s="50"/>
      <c r="AZ99" s="50"/>
      <c r="BA99" s="50"/>
      <c r="BB99" s="50"/>
      <c r="BC99" s="50"/>
      <c r="BD99" s="50"/>
      <c r="BE99" s="50"/>
      <c r="BF99" s="50"/>
      <c r="BG99" s="50"/>
      <c r="BH99" s="50"/>
      <c r="BI99" s="50"/>
      <c r="BK99" s="99" t="s">
        <v>2535</v>
      </c>
      <c r="BM99" s="86">
        <v>2.0</v>
      </c>
      <c r="BN99" s="86">
        <v>2.0</v>
      </c>
      <c r="BO99" s="86">
        <v>2.0</v>
      </c>
      <c r="BP99" s="86">
        <v>2.0</v>
      </c>
      <c r="BQ99" s="86">
        <v>2.0</v>
      </c>
      <c r="BR99" s="86">
        <v>2.0</v>
      </c>
      <c r="BS99" s="86">
        <v>2.0</v>
      </c>
      <c r="BT99" s="87" t="s">
        <v>64</v>
      </c>
      <c r="BU99" s="87" t="s">
        <v>64</v>
      </c>
      <c r="BV99" s="87" t="s">
        <v>64</v>
      </c>
      <c r="BW99" s="50"/>
      <c r="BY99" s="53" t="s">
        <v>2536</v>
      </c>
      <c r="CA99" s="86">
        <v>2.0</v>
      </c>
      <c r="CB99" s="86">
        <v>2.0</v>
      </c>
      <c r="CC99" s="86">
        <v>2.0</v>
      </c>
      <c r="CD99" s="86">
        <v>2.0</v>
      </c>
      <c r="CE99" s="86">
        <v>2.0</v>
      </c>
      <c r="CF99" s="86">
        <v>2.0</v>
      </c>
      <c r="CG99" s="86">
        <v>2.0</v>
      </c>
      <c r="CH99" s="87" t="s">
        <v>64</v>
      </c>
      <c r="CI99" s="87" t="s">
        <v>64</v>
      </c>
      <c r="CJ99" s="87" t="s">
        <v>64</v>
      </c>
      <c r="CK99" s="50"/>
      <c r="CO99" s="50"/>
      <c r="CP99" s="50"/>
      <c r="CQ99" s="50"/>
      <c r="CR99" s="50"/>
      <c r="CS99" s="50"/>
      <c r="CT99" s="50"/>
      <c r="CU99" s="50"/>
      <c r="CV99" s="50"/>
      <c r="CW99" s="50"/>
      <c r="CX99" s="50"/>
      <c r="CY99" s="50"/>
      <c r="DA99" s="53" t="s">
        <v>2537</v>
      </c>
      <c r="DC99" s="86">
        <v>2.0</v>
      </c>
      <c r="DD99" s="86">
        <v>2.0</v>
      </c>
      <c r="DE99" s="86">
        <v>2.0</v>
      </c>
      <c r="DF99" s="86">
        <v>2.0</v>
      </c>
      <c r="DG99" s="86">
        <v>2.0</v>
      </c>
      <c r="DH99" s="86">
        <v>2.0</v>
      </c>
      <c r="DI99" s="86">
        <v>2.0</v>
      </c>
      <c r="DJ99" s="87" t="s">
        <v>64</v>
      </c>
      <c r="DK99" s="87" t="s">
        <v>64</v>
      </c>
      <c r="DL99" s="87" t="s">
        <v>64</v>
      </c>
      <c r="DM99" s="50"/>
      <c r="DO99" s="100" t="s">
        <v>2538</v>
      </c>
      <c r="DQ99" s="86">
        <v>2.0</v>
      </c>
      <c r="DR99" s="86">
        <v>2.0</v>
      </c>
      <c r="DS99" s="86">
        <v>2.0</v>
      </c>
      <c r="DT99" s="86">
        <v>2.0</v>
      </c>
      <c r="DU99" s="86">
        <v>2.0</v>
      </c>
      <c r="DV99" s="86">
        <v>2.0</v>
      </c>
      <c r="DW99" s="86">
        <v>2.0</v>
      </c>
      <c r="DX99" s="87" t="s">
        <v>64</v>
      </c>
      <c r="DY99" s="87" t="s">
        <v>64</v>
      </c>
      <c r="DZ99" s="87" t="s">
        <v>64</v>
      </c>
      <c r="EA99" s="50"/>
    </row>
    <row r="100" ht="15.75" customHeight="1">
      <c r="A100" s="14">
        <v>13.0</v>
      </c>
      <c r="B100" s="14" t="s">
        <v>294</v>
      </c>
      <c r="C100" s="14" t="str">
        <f t="array" ref="C100">IFERROR(INDEX(DOCUMENTOS!$E:$E,MATCH($A100,DOCUMENTOS!$A:$A,0)),"")</f>
        <v/>
      </c>
      <c r="D100" s="14" t="str">
        <f t="array" ref="D100">IFERROR(INDEX('BANCO DE PERGUNTAS'!$D:$D,MATCH($B100,'BANCO DE PERGUNTAS'!$A:$A,0)),"")</f>
        <v>Resuma o documento em até cinco pontos objetivos.</v>
      </c>
      <c r="E100" s="14" t="str">
        <f t="array" ref="E100">IFERROR(INDEX('BANCO DE PERGUNTAS'!$B:$B,MATCH($B100,'BANCO DE PERGUNTAS'!$A:$A,0)),"")</f>
        <v>Síntese</v>
      </c>
      <c r="F100" s="17">
        <f t="array" ref="F100">IFERROR(INDEX('BANCO DE PERGUNTAS'!$H:$H,MATCH($B100,'BANCO DE PERGUNTAS'!$A:$A,0)),"")</f>
        <v>3</v>
      </c>
      <c r="I100" s="50"/>
      <c r="J100" s="50"/>
      <c r="K100" s="50"/>
      <c r="L100" s="50"/>
      <c r="M100" s="50"/>
      <c r="N100" s="50"/>
      <c r="O100" s="50"/>
      <c r="P100" s="50"/>
      <c r="Q100" s="50"/>
      <c r="R100" s="50"/>
      <c r="S100" s="50"/>
      <c r="U100" s="97" t="s">
        <v>2539</v>
      </c>
      <c r="W100" s="86">
        <v>2.0</v>
      </c>
      <c r="X100" s="86">
        <v>2.0</v>
      </c>
      <c r="Y100" s="86">
        <v>2.0</v>
      </c>
      <c r="Z100" s="86">
        <v>2.0</v>
      </c>
      <c r="AA100" s="86">
        <v>2.0</v>
      </c>
      <c r="AB100" s="86">
        <v>2.0</v>
      </c>
      <c r="AC100" s="86">
        <v>2.0</v>
      </c>
      <c r="AD100" s="87" t="s">
        <v>64</v>
      </c>
      <c r="AE100" s="87" t="s">
        <v>64</v>
      </c>
      <c r="AF100" s="87" t="s">
        <v>64</v>
      </c>
      <c r="AG100" s="50"/>
      <c r="AI100" s="98" t="s">
        <v>2540</v>
      </c>
      <c r="AK100" s="86">
        <v>2.0</v>
      </c>
      <c r="AL100" s="86">
        <v>2.0</v>
      </c>
      <c r="AM100" s="86">
        <v>2.0</v>
      </c>
      <c r="AN100" s="86">
        <v>2.0</v>
      </c>
      <c r="AO100" s="86">
        <v>2.0</v>
      </c>
      <c r="AP100" s="86">
        <v>2.0</v>
      </c>
      <c r="AQ100" s="86">
        <v>2.0</v>
      </c>
      <c r="AR100" s="87" t="s">
        <v>64</v>
      </c>
      <c r="AS100" s="87" t="s">
        <v>64</v>
      </c>
      <c r="AT100" s="87" t="s">
        <v>64</v>
      </c>
      <c r="AU100" s="50"/>
      <c r="AY100" s="50"/>
      <c r="AZ100" s="50"/>
      <c r="BA100" s="50"/>
      <c r="BB100" s="50"/>
      <c r="BC100" s="50"/>
      <c r="BD100" s="50"/>
      <c r="BE100" s="50"/>
      <c r="BF100" s="50"/>
      <c r="BG100" s="50"/>
      <c r="BH100" s="50"/>
      <c r="BI100" s="50"/>
      <c r="BK100" s="99" t="s">
        <v>2541</v>
      </c>
      <c r="BM100" s="86">
        <v>2.0</v>
      </c>
      <c r="BN100" s="86">
        <v>2.0</v>
      </c>
      <c r="BO100" s="86">
        <v>2.0</v>
      </c>
      <c r="BP100" s="86">
        <v>2.0</v>
      </c>
      <c r="BQ100" s="86">
        <v>2.0</v>
      </c>
      <c r="BR100" s="86">
        <v>2.0</v>
      </c>
      <c r="BS100" s="86">
        <v>2.0</v>
      </c>
      <c r="BT100" s="87" t="s">
        <v>64</v>
      </c>
      <c r="BU100" s="87" t="s">
        <v>64</v>
      </c>
      <c r="BV100" s="87" t="s">
        <v>64</v>
      </c>
      <c r="BW100" s="50"/>
      <c r="BY100" s="53" t="s">
        <v>2542</v>
      </c>
      <c r="CA100" s="86">
        <v>2.0</v>
      </c>
      <c r="CB100" s="86">
        <v>2.0</v>
      </c>
      <c r="CC100" s="86">
        <v>2.0</v>
      </c>
      <c r="CD100" s="86">
        <v>2.0</v>
      </c>
      <c r="CE100" s="86">
        <v>2.0</v>
      </c>
      <c r="CF100" s="86">
        <v>2.0</v>
      </c>
      <c r="CG100" s="86">
        <v>2.0</v>
      </c>
      <c r="CH100" s="87" t="s">
        <v>64</v>
      </c>
      <c r="CI100" s="87" t="s">
        <v>64</v>
      </c>
      <c r="CJ100" s="87" t="s">
        <v>64</v>
      </c>
      <c r="CK100" s="50"/>
      <c r="CO100" s="50"/>
      <c r="CP100" s="50"/>
      <c r="CQ100" s="50"/>
      <c r="CR100" s="50"/>
      <c r="CS100" s="50"/>
      <c r="CT100" s="50"/>
      <c r="CU100" s="50"/>
      <c r="CV100" s="50"/>
      <c r="CW100" s="50"/>
      <c r="CX100" s="50"/>
      <c r="CY100" s="50"/>
      <c r="DA100" s="53" t="s">
        <v>2543</v>
      </c>
      <c r="DC100" s="86">
        <v>2.0</v>
      </c>
      <c r="DD100" s="86">
        <v>2.0</v>
      </c>
      <c r="DE100" s="86">
        <v>2.0</v>
      </c>
      <c r="DF100" s="86">
        <v>2.0</v>
      </c>
      <c r="DG100" s="86">
        <v>2.0</v>
      </c>
      <c r="DH100" s="86">
        <v>2.0</v>
      </c>
      <c r="DI100" s="86">
        <v>2.0</v>
      </c>
      <c r="DJ100" s="87" t="s">
        <v>64</v>
      </c>
      <c r="DK100" s="87" t="s">
        <v>64</v>
      </c>
      <c r="DL100" s="87" t="s">
        <v>64</v>
      </c>
      <c r="DM100" s="50"/>
      <c r="DO100" s="100" t="s">
        <v>2544</v>
      </c>
      <c r="DQ100" s="86">
        <v>2.0</v>
      </c>
      <c r="DR100" s="86">
        <v>2.0</v>
      </c>
      <c r="DS100" s="86">
        <v>2.0</v>
      </c>
      <c r="DT100" s="86">
        <v>2.0</v>
      </c>
      <c r="DU100" s="86">
        <v>2.0</v>
      </c>
      <c r="DV100" s="86">
        <v>2.0</v>
      </c>
      <c r="DW100" s="86">
        <v>2.0</v>
      </c>
      <c r="DX100" s="87" t="s">
        <v>64</v>
      </c>
      <c r="DY100" s="87" t="s">
        <v>64</v>
      </c>
      <c r="DZ100" s="87" t="s">
        <v>64</v>
      </c>
      <c r="EA100" s="50"/>
    </row>
    <row r="101" ht="15.75" customHeight="1">
      <c r="A101" s="11">
        <v>13.0</v>
      </c>
      <c r="B101" s="11" t="s">
        <v>302</v>
      </c>
      <c r="C101" s="11" t="str">
        <f t="array" ref="C101">IFERROR(INDEX(DOCUMENTOS!$E:$E,MATCH($A101,DOCUMENTOS!$A:$A,0)),"")</f>
        <v/>
      </c>
      <c r="D101" s="11" t="str">
        <f t="array" ref="D101">IFERROR(INDEX('BANCO DE PERGUNTAS'!$D:$D,MATCH($B101,'BANCO DE PERGUNTAS'!$A:$A,0)),"")</f>
        <v>Qual é a principal finalidade do documento?</v>
      </c>
      <c r="E101" s="11" t="str">
        <f t="array" ref="E101">IFERROR(INDEX('BANCO DE PERGUNTAS'!$B:$B,MATCH($B101,'BANCO DE PERGUNTAS'!$A:$A,0)),"")</f>
        <v>Síntese</v>
      </c>
      <c r="F101" s="12">
        <f t="array" ref="F101">IFERROR(INDEX('BANCO DE PERGUNTAS'!$H:$H,MATCH($B101,'BANCO DE PERGUNTAS'!$A:$A,0)),"")</f>
        <v>2</v>
      </c>
      <c r="I101" s="50"/>
      <c r="J101" s="50"/>
      <c r="K101" s="50"/>
      <c r="L101" s="50"/>
      <c r="M101" s="50"/>
      <c r="N101" s="50"/>
      <c r="O101" s="50"/>
      <c r="P101" s="50"/>
      <c r="Q101" s="50"/>
      <c r="R101" s="50"/>
      <c r="S101" s="50"/>
      <c r="U101" s="101" t="s">
        <v>2545</v>
      </c>
      <c r="W101" s="86">
        <v>2.0</v>
      </c>
      <c r="X101" s="86">
        <v>2.0</v>
      </c>
      <c r="Y101" s="86">
        <v>2.0</v>
      </c>
      <c r="Z101" s="86">
        <v>2.0</v>
      </c>
      <c r="AA101" s="86">
        <v>2.0</v>
      </c>
      <c r="AB101" s="86">
        <v>2.0</v>
      </c>
      <c r="AC101" s="86">
        <v>2.0</v>
      </c>
      <c r="AD101" s="87" t="s">
        <v>64</v>
      </c>
      <c r="AE101" s="87" t="s">
        <v>64</v>
      </c>
      <c r="AF101" s="87" t="s">
        <v>64</v>
      </c>
      <c r="AG101" s="50"/>
      <c r="AI101" s="98" t="s">
        <v>2546</v>
      </c>
      <c r="AK101" s="86">
        <v>2.0</v>
      </c>
      <c r="AL101" s="86">
        <v>2.0</v>
      </c>
      <c r="AM101" s="86">
        <v>2.0</v>
      </c>
      <c r="AN101" s="86">
        <v>2.0</v>
      </c>
      <c r="AO101" s="86">
        <v>2.0</v>
      </c>
      <c r="AP101" s="86">
        <v>2.0</v>
      </c>
      <c r="AQ101" s="86">
        <v>2.0</v>
      </c>
      <c r="AR101" s="87" t="s">
        <v>64</v>
      </c>
      <c r="AS101" s="87" t="s">
        <v>64</v>
      </c>
      <c r="AT101" s="87" t="s">
        <v>64</v>
      </c>
      <c r="AU101" s="50"/>
      <c r="AY101" s="50"/>
      <c r="AZ101" s="50"/>
      <c r="BA101" s="50"/>
      <c r="BB101" s="50"/>
      <c r="BC101" s="50"/>
      <c r="BD101" s="50"/>
      <c r="BE101" s="50"/>
      <c r="BF101" s="50"/>
      <c r="BG101" s="50"/>
      <c r="BH101" s="50"/>
      <c r="BI101" s="50"/>
      <c r="BK101" s="99" t="s">
        <v>2547</v>
      </c>
      <c r="BM101" s="86">
        <v>2.0</v>
      </c>
      <c r="BN101" s="86">
        <v>2.0</v>
      </c>
      <c r="BO101" s="86">
        <v>2.0</v>
      </c>
      <c r="BP101" s="86">
        <v>2.0</v>
      </c>
      <c r="BQ101" s="86">
        <v>2.0</v>
      </c>
      <c r="BR101" s="86">
        <v>2.0</v>
      </c>
      <c r="BS101" s="86">
        <v>2.0</v>
      </c>
      <c r="BT101" s="87" t="s">
        <v>64</v>
      </c>
      <c r="BU101" s="87" t="s">
        <v>64</v>
      </c>
      <c r="BV101" s="87" t="s">
        <v>64</v>
      </c>
      <c r="BW101" s="50"/>
      <c r="BY101" s="53" t="s">
        <v>2548</v>
      </c>
      <c r="CA101" s="86">
        <v>2.0</v>
      </c>
      <c r="CB101" s="86">
        <v>2.0</v>
      </c>
      <c r="CC101" s="86">
        <v>2.0</v>
      </c>
      <c r="CD101" s="86">
        <v>2.0</v>
      </c>
      <c r="CE101" s="86">
        <v>2.0</v>
      </c>
      <c r="CF101" s="86">
        <v>2.0</v>
      </c>
      <c r="CG101" s="86">
        <v>2.0</v>
      </c>
      <c r="CH101" s="87" t="s">
        <v>64</v>
      </c>
      <c r="CI101" s="87" t="s">
        <v>64</v>
      </c>
      <c r="CJ101" s="87" t="s">
        <v>64</v>
      </c>
      <c r="CK101" s="50"/>
      <c r="CO101" s="50"/>
      <c r="CP101" s="50"/>
      <c r="CQ101" s="50"/>
      <c r="CR101" s="50"/>
      <c r="CS101" s="50"/>
      <c r="CT101" s="50"/>
      <c r="CU101" s="50"/>
      <c r="CV101" s="50"/>
      <c r="CW101" s="50"/>
      <c r="CX101" s="50"/>
      <c r="CY101" s="50"/>
      <c r="DA101" s="53" t="s">
        <v>2549</v>
      </c>
      <c r="DC101" s="86">
        <v>2.0</v>
      </c>
      <c r="DD101" s="86">
        <v>2.0</v>
      </c>
      <c r="DE101" s="86">
        <v>2.0</v>
      </c>
      <c r="DF101" s="86">
        <v>2.0</v>
      </c>
      <c r="DG101" s="86">
        <v>2.0</v>
      </c>
      <c r="DH101" s="86">
        <v>2.0</v>
      </c>
      <c r="DI101" s="86">
        <v>2.0</v>
      </c>
      <c r="DJ101" s="87" t="s">
        <v>64</v>
      </c>
      <c r="DK101" s="87" t="s">
        <v>64</v>
      </c>
      <c r="DL101" s="87" t="s">
        <v>64</v>
      </c>
      <c r="DM101" s="50"/>
      <c r="DO101" s="100" t="s">
        <v>2550</v>
      </c>
      <c r="DQ101" s="86">
        <v>2.0</v>
      </c>
      <c r="DR101" s="86">
        <v>2.0</v>
      </c>
      <c r="DS101" s="86">
        <v>2.0</v>
      </c>
      <c r="DT101" s="86">
        <v>2.0</v>
      </c>
      <c r="DU101" s="86">
        <v>2.0</v>
      </c>
      <c r="DV101" s="86">
        <v>2.0</v>
      </c>
      <c r="DW101" s="86">
        <v>2.0</v>
      </c>
      <c r="DX101" s="87" t="s">
        <v>64</v>
      </c>
      <c r="DY101" s="87" t="s">
        <v>64</v>
      </c>
      <c r="DZ101" s="87" t="s">
        <v>64</v>
      </c>
      <c r="EA101" s="50"/>
    </row>
    <row r="102" ht="15.75" customHeight="1">
      <c r="A102" s="14">
        <v>13.0</v>
      </c>
      <c r="B102" s="14" t="s">
        <v>307</v>
      </c>
      <c r="C102" s="14" t="str">
        <f t="array" ref="C102">IFERROR(INDEX(DOCUMENTOS!$E:$E,MATCH($A102,DOCUMENTOS!$A:$A,0)),"")</f>
        <v/>
      </c>
      <c r="D102" s="14" t="str">
        <f t="array" ref="D102">IFERROR(INDEX('BANCO DE PERGUNTAS'!$D:$D,MATCH($B102,'BANCO DE PERGUNTAS'!$A:$A,0)),"")</f>
        <v>Quais são as três informações mais importantes para um servidor responsável pela análise?</v>
      </c>
      <c r="E102" s="14" t="str">
        <f t="array" ref="E102">IFERROR(INDEX('BANCO DE PERGUNTAS'!$B:$B,MATCH($B102,'BANCO DE PERGUNTAS'!$A:$A,0)),"")</f>
        <v>Síntese</v>
      </c>
      <c r="F102" s="17">
        <f t="array" ref="F102">IFERROR(INDEX('BANCO DE PERGUNTAS'!$H:$H,MATCH($B102,'BANCO DE PERGUNTAS'!$A:$A,0)),"")</f>
        <v>3</v>
      </c>
      <c r="I102" s="50"/>
      <c r="J102" s="50"/>
      <c r="K102" s="50"/>
      <c r="L102" s="50"/>
      <c r="M102" s="50"/>
      <c r="N102" s="50"/>
      <c r="O102" s="50"/>
      <c r="P102" s="50"/>
      <c r="Q102" s="50"/>
      <c r="R102" s="50"/>
      <c r="S102" s="50"/>
      <c r="U102" s="97" t="s">
        <v>2551</v>
      </c>
      <c r="W102" s="86">
        <v>2.0</v>
      </c>
      <c r="X102" s="86">
        <v>2.0</v>
      </c>
      <c r="Y102" s="86">
        <v>2.0</v>
      </c>
      <c r="Z102" s="86">
        <v>2.0</v>
      </c>
      <c r="AA102" s="86">
        <v>2.0</v>
      </c>
      <c r="AB102" s="86">
        <v>2.0</v>
      </c>
      <c r="AC102" s="86">
        <v>2.0</v>
      </c>
      <c r="AD102" s="87" t="s">
        <v>64</v>
      </c>
      <c r="AE102" s="87" t="s">
        <v>64</v>
      </c>
      <c r="AF102" s="87" t="s">
        <v>64</v>
      </c>
      <c r="AG102" s="50"/>
      <c r="AI102" s="98" t="s">
        <v>2552</v>
      </c>
      <c r="AK102" s="86">
        <v>2.0</v>
      </c>
      <c r="AL102" s="86">
        <v>2.0</v>
      </c>
      <c r="AM102" s="86">
        <v>2.0</v>
      </c>
      <c r="AN102" s="86">
        <v>2.0</v>
      </c>
      <c r="AO102" s="86">
        <v>2.0</v>
      </c>
      <c r="AP102" s="86">
        <v>2.0</v>
      </c>
      <c r="AQ102" s="86">
        <v>2.0</v>
      </c>
      <c r="AR102" s="87" t="s">
        <v>64</v>
      </c>
      <c r="AS102" s="87" t="s">
        <v>64</v>
      </c>
      <c r="AT102" s="87" t="s">
        <v>64</v>
      </c>
      <c r="AU102" s="50"/>
      <c r="AY102" s="50"/>
      <c r="AZ102" s="50"/>
      <c r="BA102" s="50"/>
      <c r="BB102" s="50"/>
      <c r="BC102" s="50"/>
      <c r="BD102" s="50"/>
      <c r="BE102" s="50"/>
      <c r="BF102" s="50"/>
      <c r="BG102" s="50"/>
      <c r="BH102" s="50"/>
      <c r="BI102" s="50"/>
      <c r="BK102" s="99" t="s">
        <v>2553</v>
      </c>
      <c r="BM102" s="86">
        <v>2.0</v>
      </c>
      <c r="BN102" s="86">
        <v>2.0</v>
      </c>
      <c r="BO102" s="86">
        <v>2.0</v>
      </c>
      <c r="BP102" s="86">
        <v>2.0</v>
      </c>
      <c r="BQ102" s="86">
        <v>2.0</v>
      </c>
      <c r="BR102" s="86">
        <v>2.0</v>
      </c>
      <c r="BS102" s="86">
        <v>2.0</v>
      </c>
      <c r="BT102" s="87" t="s">
        <v>64</v>
      </c>
      <c r="BU102" s="87" t="s">
        <v>64</v>
      </c>
      <c r="BV102" s="87" t="s">
        <v>64</v>
      </c>
      <c r="BW102" s="50"/>
      <c r="BY102" s="53" t="s">
        <v>2554</v>
      </c>
      <c r="CA102" s="86">
        <v>2.0</v>
      </c>
      <c r="CB102" s="86">
        <v>2.0</v>
      </c>
      <c r="CC102" s="86">
        <v>2.0</v>
      </c>
      <c r="CD102" s="86">
        <v>2.0</v>
      </c>
      <c r="CE102" s="86">
        <v>2.0</v>
      </c>
      <c r="CF102" s="86">
        <v>2.0</v>
      </c>
      <c r="CG102" s="86">
        <v>2.0</v>
      </c>
      <c r="CH102" s="87" t="s">
        <v>64</v>
      </c>
      <c r="CI102" s="87" t="s">
        <v>64</v>
      </c>
      <c r="CJ102" s="87" t="s">
        <v>64</v>
      </c>
      <c r="CK102" s="50"/>
      <c r="CO102" s="50"/>
      <c r="CP102" s="50"/>
      <c r="CQ102" s="50"/>
      <c r="CR102" s="50"/>
      <c r="CS102" s="50"/>
      <c r="CT102" s="50"/>
      <c r="CU102" s="50"/>
      <c r="CV102" s="50"/>
      <c r="CW102" s="50"/>
      <c r="CX102" s="50"/>
      <c r="CY102" s="50"/>
      <c r="DA102" s="53" t="s">
        <v>2555</v>
      </c>
      <c r="DC102" s="86">
        <v>2.0</v>
      </c>
      <c r="DD102" s="86">
        <v>2.0</v>
      </c>
      <c r="DE102" s="86">
        <v>2.0</v>
      </c>
      <c r="DF102" s="86">
        <v>2.0</v>
      </c>
      <c r="DG102" s="86">
        <v>2.0</v>
      </c>
      <c r="DH102" s="86">
        <v>2.0</v>
      </c>
      <c r="DI102" s="86">
        <v>2.0</v>
      </c>
      <c r="DJ102" s="87" t="s">
        <v>64</v>
      </c>
      <c r="DK102" s="87" t="s">
        <v>64</v>
      </c>
      <c r="DL102" s="87" t="s">
        <v>64</v>
      </c>
      <c r="DM102" s="50"/>
      <c r="DO102" s="100" t="s">
        <v>2556</v>
      </c>
      <c r="DQ102" s="86">
        <v>2.0</v>
      </c>
      <c r="DR102" s="86">
        <v>2.0</v>
      </c>
      <c r="DS102" s="86">
        <v>2.0</v>
      </c>
      <c r="DT102" s="86">
        <v>2.0</v>
      </c>
      <c r="DU102" s="86">
        <v>2.0</v>
      </c>
      <c r="DV102" s="86">
        <v>2.0</v>
      </c>
      <c r="DW102" s="86">
        <v>2.0</v>
      </c>
      <c r="DX102" s="87" t="s">
        <v>64</v>
      </c>
      <c r="DY102" s="87" t="s">
        <v>64</v>
      </c>
      <c r="DZ102" s="87" t="s">
        <v>64</v>
      </c>
      <c r="EA102" s="50"/>
    </row>
    <row r="103" ht="15.75" customHeight="1">
      <c r="A103" s="11">
        <v>14.0</v>
      </c>
      <c r="B103" s="11" t="s">
        <v>33</v>
      </c>
      <c r="C103" s="11" t="str">
        <f t="array" ref="C103">IFERROR(INDEX(DOCUMENTOS!$E:$E,MATCH($A103,DOCUMENTOS!$A:$A,0)),"")</f>
        <v/>
      </c>
      <c r="D103" s="11" t="str">
        <f t="array" ref="D103">IFERROR(INDEX('BANCO DE PERGUNTAS'!$D:$D,MATCH($B103,'BANCO DE PERGUNTAS'!$A:$A,0)),"")</f>
        <v>Qual é o objeto principal deste documento?</v>
      </c>
      <c r="E103" s="11" t="str">
        <f t="array" ref="E103">IFERROR(INDEX('BANCO DE PERGUNTAS'!$B:$B,MATCH($B103,'BANCO DE PERGUNTAS'!$A:$A,0)),"")</f>
        <v>Identificação</v>
      </c>
      <c r="F103" s="12">
        <f t="array" ref="F103">IFERROR(INDEX('BANCO DE PERGUNTAS'!$H:$H,MATCH($B103,'BANCO DE PERGUNTAS'!$A:$A,0)),"")</f>
        <v>1</v>
      </c>
      <c r="I103" s="50"/>
      <c r="J103" s="50"/>
      <c r="K103" s="50"/>
      <c r="L103" s="50"/>
      <c r="M103" s="50"/>
      <c r="N103" s="50"/>
      <c r="O103" s="50"/>
      <c r="P103" s="50"/>
      <c r="Q103" s="50"/>
      <c r="R103" s="50"/>
      <c r="S103" s="50"/>
      <c r="U103" s="97" t="s">
        <v>2557</v>
      </c>
      <c r="W103" s="86">
        <v>2.0</v>
      </c>
      <c r="X103" s="86">
        <v>2.0</v>
      </c>
      <c r="Y103" s="86">
        <v>2.0</v>
      </c>
      <c r="Z103" s="86">
        <v>2.0</v>
      </c>
      <c r="AA103" s="86">
        <v>2.0</v>
      </c>
      <c r="AB103" s="86">
        <v>2.0</v>
      </c>
      <c r="AC103" s="86">
        <v>2.0</v>
      </c>
      <c r="AD103" s="87" t="s">
        <v>64</v>
      </c>
      <c r="AE103" s="87" t="s">
        <v>64</v>
      </c>
      <c r="AF103" s="87" t="s">
        <v>64</v>
      </c>
      <c r="AG103" s="50"/>
      <c r="AI103" s="102" t="s">
        <v>2558</v>
      </c>
      <c r="AK103" s="86">
        <v>2.0</v>
      </c>
      <c r="AL103" s="86">
        <v>2.0</v>
      </c>
      <c r="AM103" s="86">
        <v>2.0</v>
      </c>
      <c r="AN103" s="86">
        <v>2.0</v>
      </c>
      <c r="AO103" s="86">
        <v>2.0</v>
      </c>
      <c r="AP103" s="86">
        <v>2.0</v>
      </c>
      <c r="AQ103" s="86">
        <v>2.0</v>
      </c>
      <c r="AR103" s="87" t="s">
        <v>64</v>
      </c>
      <c r="AS103" s="87" t="s">
        <v>64</v>
      </c>
      <c r="AT103" s="87" t="s">
        <v>64</v>
      </c>
      <c r="AU103" s="50"/>
      <c r="AY103" s="50"/>
      <c r="AZ103" s="50"/>
      <c r="BA103" s="50"/>
      <c r="BB103" s="50"/>
      <c r="BC103" s="50"/>
      <c r="BD103" s="50"/>
      <c r="BE103" s="50"/>
      <c r="BF103" s="50"/>
      <c r="BG103" s="50"/>
      <c r="BH103" s="50"/>
      <c r="BI103" s="50"/>
      <c r="BK103" s="53" t="s">
        <v>2559</v>
      </c>
      <c r="BM103" s="86">
        <v>2.0</v>
      </c>
      <c r="BN103" s="86">
        <v>2.0</v>
      </c>
      <c r="BO103" s="86">
        <v>2.0</v>
      </c>
      <c r="BP103" s="86">
        <v>2.0</v>
      </c>
      <c r="BQ103" s="86">
        <v>2.0</v>
      </c>
      <c r="BR103" s="86">
        <v>2.0</v>
      </c>
      <c r="BS103" s="86">
        <v>2.0</v>
      </c>
      <c r="BT103" s="87" t="s">
        <v>64</v>
      </c>
      <c r="BU103" s="87" t="s">
        <v>64</v>
      </c>
      <c r="BV103" s="87" t="s">
        <v>64</v>
      </c>
      <c r="BW103" s="50"/>
      <c r="BY103" s="53" t="s">
        <v>2560</v>
      </c>
      <c r="CA103" s="86">
        <v>2.0</v>
      </c>
      <c r="CB103" s="86">
        <v>2.0</v>
      </c>
      <c r="CC103" s="86">
        <v>2.0</v>
      </c>
      <c r="CD103" s="86">
        <v>2.0</v>
      </c>
      <c r="CE103" s="86">
        <v>2.0</v>
      </c>
      <c r="CF103" s="86">
        <v>2.0</v>
      </c>
      <c r="CG103" s="86">
        <v>2.0</v>
      </c>
      <c r="CH103" s="87" t="s">
        <v>64</v>
      </c>
      <c r="CI103" s="87" t="s">
        <v>64</v>
      </c>
      <c r="CJ103" s="87" t="s">
        <v>64</v>
      </c>
      <c r="CK103" s="50"/>
      <c r="CO103" s="50"/>
      <c r="CP103" s="50"/>
      <c r="CQ103" s="50"/>
      <c r="CR103" s="50"/>
      <c r="CS103" s="50"/>
      <c r="CT103" s="50"/>
      <c r="CU103" s="50"/>
      <c r="CV103" s="50"/>
      <c r="CW103" s="50"/>
      <c r="CX103" s="50"/>
      <c r="CY103" s="50"/>
      <c r="DA103" s="53" t="s">
        <v>2561</v>
      </c>
      <c r="DC103" s="86">
        <v>2.0</v>
      </c>
      <c r="DD103" s="86">
        <v>2.0</v>
      </c>
      <c r="DE103" s="86">
        <v>2.0</v>
      </c>
      <c r="DF103" s="86">
        <v>2.0</v>
      </c>
      <c r="DG103" s="86">
        <v>2.0</v>
      </c>
      <c r="DH103" s="86">
        <v>2.0</v>
      </c>
      <c r="DI103" s="86">
        <v>2.0</v>
      </c>
      <c r="DJ103" s="87" t="s">
        <v>64</v>
      </c>
      <c r="DK103" s="87" t="s">
        <v>64</v>
      </c>
      <c r="DL103" s="87" t="s">
        <v>64</v>
      </c>
      <c r="DM103" s="50"/>
      <c r="DO103" s="59" t="s">
        <v>2562</v>
      </c>
      <c r="DQ103" s="86">
        <v>2.0</v>
      </c>
      <c r="DR103" s="86">
        <v>2.0</v>
      </c>
      <c r="DS103" s="86">
        <v>2.0</v>
      </c>
      <c r="DT103" s="86">
        <v>2.0</v>
      </c>
      <c r="DU103" s="86">
        <v>2.0</v>
      </c>
      <c r="DV103" s="86">
        <v>1.0</v>
      </c>
      <c r="DW103" s="86">
        <v>2.0</v>
      </c>
      <c r="DX103" s="87" t="s">
        <v>64</v>
      </c>
      <c r="DY103" s="87" t="s">
        <v>64</v>
      </c>
      <c r="DZ103" s="87" t="s">
        <v>64</v>
      </c>
      <c r="EA103" s="50"/>
    </row>
    <row r="104" ht="15.75" customHeight="1">
      <c r="A104" s="14">
        <v>14.0</v>
      </c>
      <c r="B104" s="14" t="s">
        <v>68</v>
      </c>
      <c r="C104" s="14" t="str">
        <f t="array" ref="C104">IFERROR(INDEX(DOCUMENTOS!$E:$E,MATCH($A104,DOCUMENTOS!$A:$A,0)),"")</f>
        <v/>
      </c>
      <c r="D104" s="14" t="str">
        <f t="array" ref="D104">IFERROR(INDEX('BANCO DE PERGUNTAS'!$D:$D,MATCH($B104,'BANCO DE PERGUNTAS'!$A:$A,0)),"")</f>
        <v>Qual é o número ou identificação do documento?</v>
      </c>
      <c r="E104" s="14" t="str">
        <f t="array" ref="E104">IFERROR(INDEX('BANCO DE PERGUNTAS'!$B:$B,MATCH($B104,'BANCO DE PERGUNTAS'!$A:$A,0)),"")</f>
        <v>Identificação</v>
      </c>
      <c r="F104" s="17">
        <f t="array" ref="F104">IFERROR(INDEX('BANCO DE PERGUNTAS'!$H:$H,MATCH($B104,'BANCO DE PERGUNTAS'!$A:$A,0)),"")</f>
        <v>1</v>
      </c>
      <c r="I104" s="50"/>
      <c r="J104" s="50"/>
      <c r="K104" s="50"/>
      <c r="L104" s="50"/>
      <c r="M104" s="50"/>
      <c r="N104" s="50"/>
      <c r="O104" s="50"/>
      <c r="P104" s="50"/>
      <c r="Q104" s="50"/>
      <c r="R104" s="50"/>
      <c r="S104" s="50"/>
      <c r="U104" s="101" t="s">
        <v>2563</v>
      </c>
      <c r="W104" s="86">
        <v>2.0</v>
      </c>
      <c r="X104" s="86">
        <v>2.0</v>
      </c>
      <c r="Y104" s="86">
        <v>2.0</v>
      </c>
      <c r="Z104" s="86">
        <v>2.0</v>
      </c>
      <c r="AA104" s="86">
        <v>2.0</v>
      </c>
      <c r="AB104" s="86">
        <v>2.0</v>
      </c>
      <c r="AC104" s="86">
        <v>2.0</v>
      </c>
      <c r="AD104" s="87" t="s">
        <v>64</v>
      </c>
      <c r="AE104" s="87" t="s">
        <v>64</v>
      </c>
      <c r="AF104" s="87" t="s">
        <v>64</v>
      </c>
      <c r="AG104" s="50"/>
      <c r="AI104" s="102" t="s">
        <v>2563</v>
      </c>
      <c r="AK104" s="86">
        <v>2.0</v>
      </c>
      <c r="AL104" s="86">
        <v>2.0</v>
      </c>
      <c r="AM104" s="86">
        <v>2.0</v>
      </c>
      <c r="AN104" s="86">
        <v>2.0</v>
      </c>
      <c r="AO104" s="86">
        <v>2.0</v>
      </c>
      <c r="AP104" s="86">
        <v>2.0</v>
      </c>
      <c r="AQ104" s="86">
        <v>2.0</v>
      </c>
      <c r="AR104" s="87" t="s">
        <v>64</v>
      </c>
      <c r="AS104" s="87" t="s">
        <v>64</v>
      </c>
      <c r="AT104" s="87" t="s">
        <v>64</v>
      </c>
      <c r="AU104" s="50"/>
      <c r="AY104" s="50"/>
      <c r="AZ104" s="50"/>
      <c r="BA104" s="50"/>
      <c r="BB104" s="50"/>
      <c r="BC104" s="50"/>
      <c r="BD104" s="50"/>
      <c r="BE104" s="50"/>
      <c r="BF104" s="50"/>
      <c r="BG104" s="50"/>
      <c r="BH104" s="50"/>
      <c r="BI104" s="50"/>
      <c r="BK104" s="53" t="s">
        <v>2564</v>
      </c>
      <c r="BM104" s="86">
        <v>2.0</v>
      </c>
      <c r="BN104" s="86">
        <v>2.0</v>
      </c>
      <c r="BO104" s="86">
        <v>2.0</v>
      </c>
      <c r="BP104" s="86">
        <v>2.0</v>
      </c>
      <c r="BQ104" s="86">
        <v>2.0</v>
      </c>
      <c r="BR104" s="86">
        <v>2.0</v>
      </c>
      <c r="BS104" s="86">
        <v>2.0</v>
      </c>
      <c r="BT104" s="87" t="s">
        <v>64</v>
      </c>
      <c r="BU104" s="87" t="s">
        <v>64</v>
      </c>
      <c r="BV104" s="87" t="s">
        <v>64</v>
      </c>
      <c r="BW104" s="50"/>
      <c r="BY104" s="53" t="s">
        <v>2565</v>
      </c>
      <c r="CA104" s="86">
        <v>2.0</v>
      </c>
      <c r="CB104" s="86">
        <v>2.0</v>
      </c>
      <c r="CC104" s="86">
        <v>2.0</v>
      </c>
      <c r="CD104" s="86">
        <v>2.0</v>
      </c>
      <c r="CE104" s="86">
        <v>2.0</v>
      </c>
      <c r="CF104" s="86">
        <v>2.0</v>
      </c>
      <c r="CG104" s="86">
        <v>2.0</v>
      </c>
      <c r="CH104" s="87" t="s">
        <v>64</v>
      </c>
      <c r="CI104" s="87" t="s">
        <v>64</v>
      </c>
      <c r="CJ104" s="87" t="s">
        <v>64</v>
      </c>
      <c r="CK104" s="50"/>
      <c r="CO104" s="50"/>
      <c r="CP104" s="50"/>
      <c r="CQ104" s="50"/>
      <c r="CR104" s="50"/>
      <c r="CS104" s="50"/>
      <c r="CT104" s="50"/>
      <c r="CU104" s="50"/>
      <c r="CV104" s="50"/>
      <c r="CW104" s="50"/>
      <c r="CX104" s="50"/>
      <c r="CY104" s="50"/>
      <c r="DA104" s="53" t="s">
        <v>2566</v>
      </c>
      <c r="DC104" s="86">
        <v>2.0</v>
      </c>
      <c r="DD104" s="86">
        <v>2.0</v>
      </c>
      <c r="DE104" s="86">
        <v>2.0</v>
      </c>
      <c r="DF104" s="86">
        <v>2.0</v>
      </c>
      <c r="DG104" s="86">
        <v>2.0</v>
      </c>
      <c r="DH104" s="86">
        <v>2.0</v>
      </c>
      <c r="DI104" s="86">
        <v>2.0</v>
      </c>
      <c r="DJ104" s="87" t="s">
        <v>64</v>
      </c>
      <c r="DK104" s="87" t="s">
        <v>64</v>
      </c>
      <c r="DL104" s="87" t="s">
        <v>64</v>
      </c>
      <c r="DM104" s="50"/>
      <c r="DO104" s="59" t="s">
        <v>2567</v>
      </c>
      <c r="DQ104" s="86">
        <v>0.0</v>
      </c>
      <c r="DR104" s="86">
        <v>0.0</v>
      </c>
      <c r="DS104" s="86">
        <v>1.0</v>
      </c>
      <c r="DT104" s="86">
        <v>2.0</v>
      </c>
      <c r="DU104" s="86">
        <v>2.0</v>
      </c>
      <c r="DV104" s="86">
        <v>0.0</v>
      </c>
      <c r="DW104" s="86">
        <v>0.0</v>
      </c>
      <c r="DX104" s="87" t="s">
        <v>64</v>
      </c>
      <c r="DY104" s="87" t="s">
        <v>101</v>
      </c>
      <c r="DZ104" s="87" t="s">
        <v>101</v>
      </c>
      <c r="EA104" s="50" t="s">
        <v>2568</v>
      </c>
    </row>
    <row r="105" ht="15.75" customHeight="1">
      <c r="A105" s="11">
        <v>14.0</v>
      </c>
      <c r="B105" s="11" t="s">
        <v>90</v>
      </c>
      <c r="C105" s="11" t="str">
        <f t="array" ref="C105">IFERROR(INDEX(DOCUMENTOS!$E:$E,MATCH($A105,DOCUMENTOS!$A:$A,0)),"")</f>
        <v/>
      </c>
      <c r="D105" s="11" t="str">
        <f t="array" ref="D105">IFERROR(INDEX('BANCO DE PERGUNTAS'!$D:$D,MATCH($B105,'BANCO DE PERGUNTAS'!$A:$A,0)),"")</f>
        <v>Qual é o número do processo relacionado?</v>
      </c>
      <c r="E105" s="11" t="str">
        <f t="array" ref="E105">IFERROR(INDEX('BANCO DE PERGUNTAS'!$B:$B,MATCH($B105,'BANCO DE PERGUNTAS'!$A:$A,0)),"")</f>
        <v>Identificação</v>
      </c>
      <c r="F105" s="12">
        <f t="array" ref="F105">IFERROR(INDEX('BANCO DE PERGUNTAS'!$H:$H,MATCH($B105,'BANCO DE PERGUNTAS'!$A:$A,0)),"")</f>
        <v>1</v>
      </c>
      <c r="I105" s="50"/>
      <c r="J105" s="50"/>
      <c r="K105" s="50"/>
      <c r="L105" s="50"/>
      <c r="M105" s="50"/>
      <c r="N105" s="50"/>
      <c r="O105" s="50"/>
      <c r="P105" s="50"/>
      <c r="Q105" s="50"/>
      <c r="R105" s="50"/>
      <c r="S105" s="50"/>
      <c r="U105" s="97" t="s">
        <v>2569</v>
      </c>
      <c r="W105" s="86">
        <v>2.0</v>
      </c>
      <c r="X105" s="86">
        <v>2.0</v>
      </c>
      <c r="Y105" s="86">
        <v>2.0</v>
      </c>
      <c r="Z105" s="86">
        <v>2.0</v>
      </c>
      <c r="AA105" s="86">
        <v>2.0</v>
      </c>
      <c r="AB105" s="86">
        <v>2.0</v>
      </c>
      <c r="AC105" s="86">
        <v>2.0</v>
      </c>
      <c r="AD105" s="87" t="s">
        <v>64</v>
      </c>
      <c r="AE105" s="87" t="s">
        <v>64</v>
      </c>
      <c r="AF105" s="87" t="s">
        <v>64</v>
      </c>
      <c r="AG105" s="50"/>
      <c r="AI105" s="102" t="s">
        <v>2570</v>
      </c>
      <c r="AK105" s="86">
        <v>2.0</v>
      </c>
      <c r="AL105" s="86">
        <v>2.0</v>
      </c>
      <c r="AM105" s="86">
        <v>2.0</v>
      </c>
      <c r="AN105" s="86">
        <v>2.0</v>
      </c>
      <c r="AO105" s="86">
        <v>2.0</v>
      </c>
      <c r="AP105" s="86">
        <v>2.0</v>
      </c>
      <c r="AQ105" s="86">
        <v>2.0</v>
      </c>
      <c r="AR105" s="87" t="s">
        <v>64</v>
      </c>
      <c r="AS105" s="87" t="s">
        <v>64</v>
      </c>
      <c r="AT105" s="87" t="s">
        <v>64</v>
      </c>
      <c r="AU105" s="50"/>
      <c r="AY105" s="50"/>
      <c r="AZ105" s="50"/>
      <c r="BA105" s="50"/>
      <c r="BB105" s="50"/>
      <c r="BC105" s="50"/>
      <c r="BD105" s="50"/>
      <c r="BE105" s="50"/>
      <c r="BF105" s="50"/>
      <c r="BG105" s="50"/>
      <c r="BH105" s="50"/>
      <c r="BI105" s="50"/>
      <c r="BK105" s="53" t="s">
        <v>2571</v>
      </c>
      <c r="BM105" s="86">
        <v>2.0</v>
      </c>
      <c r="BN105" s="86">
        <v>2.0</v>
      </c>
      <c r="BO105" s="86">
        <v>2.0</v>
      </c>
      <c r="BP105" s="86">
        <v>2.0</v>
      </c>
      <c r="BQ105" s="86">
        <v>2.0</v>
      </c>
      <c r="BR105" s="86">
        <v>2.0</v>
      </c>
      <c r="BS105" s="86">
        <v>2.0</v>
      </c>
      <c r="BT105" s="87" t="s">
        <v>64</v>
      </c>
      <c r="BU105" s="87" t="s">
        <v>64</v>
      </c>
      <c r="BV105" s="87" t="s">
        <v>64</v>
      </c>
      <c r="BW105" s="50"/>
      <c r="BY105" s="53" t="s">
        <v>2572</v>
      </c>
      <c r="CA105" s="86">
        <v>2.0</v>
      </c>
      <c r="CB105" s="86">
        <v>2.0</v>
      </c>
      <c r="CC105" s="86">
        <v>2.0</v>
      </c>
      <c r="CD105" s="86">
        <v>2.0</v>
      </c>
      <c r="CE105" s="86">
        <v>2.0</v>
      </c>
      <c r="CF105" s="86">
        <v>2.0</v>
      </c>
      <c r="CG105" s="86">
        <v>2.0</v>
      </c>
      <c r="CH105" s="87" t="s">
        <v>64</v>
      </c>
      <c r="CI105" s="87" t="s">
        <v>64</v>
      </c>
      <c r="CJ105" s="87" t="s">
        <v>64</v>
      </c>
      <c r="CK105" s="50"/>
      <c r="CO105" s="50"/>
      <c r="CP105" s="50"/>
      <c r="CQ105" s="50"/>
      <c r="CR105" s="50"/>
      <c r="CS105" s="50"/>
      <c r="CT105" s="50"/>
      <c r="CU105" s="50"/>
      <c r="CV105" s="50"/>
      <c r="CW105" s="50"/>
      <c r="CX105" s="50"/>
      <c r="CY105" s="50"/>
      <c r="DA105" s="53" t="s">
        <v>2573</v>
      </c>
      <c r="DC105" s="86">
        <v>2.0</v>
      </c>
      <c r="DD105" s="86">
        <v>2.0</v>
      </c>
      <c r="DE105" s="86">
        <v>2.0</v>
      </c>
      <c r="DF105" s="86">
        <v>2.0</v>
      </c>
      <c r="DG105" s="86">
        <v>2.0</v>
      </c>
      <c r="DH105" s="86">
        <v>2.0</v>
      </c>
      <c r="DI105" s="86">
        <v>2.0</v>
      </c>
      <c r="DJ105" s="87" t="s">
        <v>64</v>
      </c>
      <c r="DK105" s="87" t="s">
        <v>64</v>
      </c>
      <c r="DL105" s="87" t="s">
        <v>64</v>
      </c>
      <c r="DM105" s="50"/>
      <c r="DO105" s="59" t="s">
        <v>2574</v>
      </c>
      <c r="DQ105" s="86">
        <v>0.0</v>
      </c>
      <c r="DR105" s="86">
        <v>0.0</v>
      </c>
      <c r="DS105" s="86">
        <v>1.0</v>
      </c>
      <c r="DT105" s="86">
        <v>2.0</v>
      </c>
      <c r="DU105" s="86">
        <v>2.0</v>
      </c>
      <c r="DV105" s="86">
        <v>0.0</v>
      </c>
      <c r="DW105" s="86">
        <v>0.0</v>
      </c>
      <c r="DX105" s="87" t="s">
        <v>64</v>
      </c>
      <c r="DY105" s="87" t="s">
        <v>101</v>
      </c>
      <c r="DZ105" s="87" t="s">
        <v>101</v>
      </c>
      <c r="EA105" s="50" t="s">
        <v>2568</v>
      </c>
    </row>
    <row r="106" ht="15.75" customHeight="1">
      <c r="A106" s="14">
        <v>14.0</v>
      </c>
      <c r="B106" s="14" t="s">
        <v>103</v>
      </c>
      <c r="C106" s="14" t="str">
        <f t="array" ref="C106">IFERROR(INDEX(DOCUMENTOS!$E:$E,MATCH($A106,DOCUMENTOS!$A:$A,0)),"")</f>
        <v/>
      </c>
      <c r="D106" s="14" t="str">
        <f t="array" ref="D106">IFERROR(INDEX('BANCO DE PERGUNTAS'!$D:$D,MATCH($B106,'BANCO DE PERGUNTAS'!$A:$A,0)),"")</f>
        <v>Qual é a data do documento?</v>
      </c>
      <c r="E106" s="14" t="str">
        <f t="array" ref="E106">IFERROR(INDEX('BANCO DE PERGUNTAS'!$B:$B,MATCH($B106,'BANCO DE PERGUNTAS'!$A:$A,0)),"")</f>
        <v>Identificação</v>
      </c>
      <c r="F106" s="17">
        <f t="array" ref="F106">IFERROR(INDEX('BANCO DE PERGUNTAS'!$H:$H,MATCH($B106,'BANCO DE PERGUNTAS'!$A:$A,0)),"")</f>
        <v>1</v>
      </c>
      <c r="I106" s="50"/>
      <c r="J106" s="50"/>
      <c r="K106" s="50"/>
      <c r="L106" s="50"/>
      <c r="M106" s="50"/>
      <c r="N106" s="50"/>
      <c r="O106" s="50"/>
      <c r="P106" s="50"/>
      <c r="Q106" s="50"/>
      <c r="R106" s="50"/>
      <c r="S106" s="50"/>
      <c r="U106" s="101" t="s">
        <v>2575</v>
      </c>
      <c r="W106" s="86">
        <v>2.0</v>
      </c>
      <c r="X106" s="86">
        <v>2.0</v>
      </c>
      <c r="Y106" s="86">
        <v>2.0</v>
      </c>
      <c r="Z106" s="86">
        <v>2.0</v>
      </c>
      <c r="AA106" s="86">
        <v>2.0</v>
      </c>
      <c r="AB106" s="86">
        <v>2.0</v>
      </c>
      <c r="AC106" s="86">
        <v>2.0</v>
      </c>
      <c r="AD106" s="87" t="s">
        <v>64</v>
      </c>
      <c r="AE106" s="87" t="s">
        <v>64</v>
      </c>
      <c r="AF106" s="87" t="s">
        <v>64</v>
      </c>
      <c r="AG106" s="50"/>
      <c r="AI106" s="102" t="s">
        <v>2576</v>
      </c>
      <c r="AK106" s="86">
        <v>2.0</v>
      </c>
      <c r="AL106" s="86">
        <v>2.0</v>
      </c>
      <c r="AM106" s="86">
        <v>2.0</v>
      </c>
      <c r="AN106" s="86">
        <v>2.0</v>
      </c>
      <c r="AO106" s="86">
        <v>2.0</v>
      </c>
      <c r="AP106" s="86">
        <v>2.0</v>
      </c>
      <c r="AQ106" s="86">
        <v>2.0</v>
      </c>
      <c r="AR106" s="87" t="s">
        <v>64</v>
      </c>
      <c r="AS106" s="87" t="s">
        <v>64</v>
      </c>
      <c r="AT106" s="87" t="s">
        <v>64</v>
      </c>
      <c r="AU106" s="50"/>
      <c r="AY106" s="50"/>
      <c r="AZ106" s="50"/>
      <c r="BA106" s="50"/>
      <c r="BB106" s="50"/>
      <c r="BC106" s="50"/>
      <c r="BD106" s="50"/>
      <c r="BE106" s="50"/>
      <c r="BF106" s="50"/>
      <c r="BG106" s="50"/>
      <c r="BH106" s="50"/>
      <c r="BI106" s="50"/>
      <c r="BK106" s="53" t="s">
        <v>2577</v>
      </c>
      <c r="BM106" s="86">
        <v>2.0</v>
      </c>
      <c r="BN106" s="86">
        <v>2.0</v>
      </c>
      <c r="BO106" s="86">
        <v>2.0</v>
      </c>
      <c r="BP106" s="86">
        <v>2.0</v>
      </c>
      <c r="BQ106" s="86">
        <v>2.0</v>
      </c>
      <c r="BR106" s="86">
        <v>2.0</v>
      </c>
      <c r="BS106" s="86">
        <v>2.0</v>
      </c>
      <c r="BT106" s="87" t="s">
        <v>64</v>
      </c>
      <c r="BU106" s="87" t="s">
        <v>64</v>
      </c>
      <c r="BV106" s="87" t="s">
        <v>64</v>
      </c>
      <c r="BW106" s="50"/>
      <c r="BY106" s="53" t="s">
        <v>2578</v>
      </c>
      <c r="CA106" s="86">
        <v>2.0</v>
      </c>
      <c r="CB106" s="86">
        <v>2.0</v>
      </c>
      <c r="CC106" s="86">
        <v>2.0</v>
      </c>
      <c r="CD106" s="86">
        <v>2.0</v>
      </c>
      <c r="CE106" s="86">
        <v>2.0</v>
      </c>
      <c r="CF106" s="86">
        <v>2.0</v>
      </c>
      <c r="CG106" s="86">
        <v>2.0</v>
      </c>
      <c r="CH106" s="87" t="s">
        <v>64</v>
      </c>
      <c r="CI106" s="87" t="s">
        <v>64</v>
      </c>
      <c r="CJ106" s="87" t="s">
        <v>64</v>
      </c>
      <c r="CK106" s="50"/>
      <c r="CO106" s="50"/>
      <c r="CP106" s="50"/>
      <c r="CQ106" s="50"/>
      <c r="CR106" s="50"/>
      <c r="CS106" s="50"/>
      <c r="CT106" s="50"/>
      <c r="CU106" s="50"/>
      <c r="CV106" s="50"/>
      <c r="CW106" s="50"/>
      <c r="CX106" s="50"/>
      <c r="CY106" s="50"/>
      <c r="DA106" s="53" t="s">
        <v>2579</v>
      </c>
      <c r="DC106" s="86">
        <v>2.0</v>
      </c>
      <c r="DD106" s="86">
        <v>2.0</v>
      </c>
      <c r="DE106" s="86">
        <v>2.0</v>
      </c>
      <c r="DF106" s="86">
        <v>2.0</v>
      </c>
      <c r="DG106" s="86">
        <v>2.0</v>
      </c>
      <c r="DH106" s="86">
        <v>2.0</v>
      </c>
      <c r="DI106" s="86">
        <v>2.0</v>
      </c>
      <c r="DJ106" s="87" t="s">
        <v>64</v>
      </c>
      <c r="DK106" s="87" t="s">
        <v>64</v>
      </c>
      <c r="DL106" s="87" t="s">
        <v>64</v>
      </c>
      <c r="DM106" s="50" t="s">
        <v>2568</v>
      </c>
      <c r="DO106" s="59" t="s">
        <v>2580</v>
      </c>
      <c r="DQ106" s="86">
        <v>0.0</v>
      </c>
      <c r="DR106" s="86">
        <v>0.0</v>
      </c>
      <c r="DS106" s="86">
        <v>1.0</v>
      </c>
      <c r="DT106" s="86">
        <v>2.0</v>
      </c>
      <c r="DU106" s="86">
        <v>2.0</v>
      </c>
      <c r="DV106" s="86">
        <v>0.0</v>
      </c>
      <c r="DW106" s="86">
        <v>0.0</v>
      </c>
      <c r="DX106" s="87" t="s">
        <v>64</v>
      </c>
      <c r="DY106" s="87" t="s">
        <v>101</v>
      </c>
      <c r="DZ106" s="87" t="s">
        <v>101</v>
      </c>
      <c r="EA106" s="50" t="s">
        <v>2568</v>
      </c>
    </row>
    <row r="107" ht="15.75" customHeight="1">
      <c r="A107" s="11">
        <v>14.0</v>
      </c>
      <c r="B107" s="11" t="s">
        <v>117</v>
      </c>
      <c r="C107" s="11" t="str">
        <f t="array" ref="C107">IFERROR(INDEX(DOCUMENTOS!$E:$E,MATCH($A107,DOCUMENTOS!$A:$A,0)),"")</f>
        <v/>
      </c>
      <c r="D107" s="11" t="str">
        <f t="array" ref="D107">IFERROR(INDEX('BANCO DE PERGUNTAS'!$D:$D,MATCH($B107,'BANCO DE PERGUNTAS'!$A:$A,0)),"")</f>
        <v>Qual setor ou unidade está relacionado ao documento?</v>
      </c>
      <c r="E107" s="11" t="str">
        <f t="array" ref="E107">IFERROR(INDEX('BANCO DE PERGUNTAS'!$B:$B,MATCH($B107,'BANCO DE PERGUNTAS'!$A:$A,0)),"")</f>
        <v>Identificação</v>
      </c>
      <c r="F107" s="12">
        <f t="array" ref="F107">IFERROR(INDEX('BANCO DE PERGUNTAS'!$H:$H,MATCH($B107,'BANCO DE PERGUNTAS'!$A:$A,0)),"")</f>
        <v>1</v>
      </c>
      <c r="I107" s="50"/>
      <c r="J107" s="50"/>
      <c r="K107" s="50"/>
      <c r="L107" s="50"/>
      <c r="M107" s="50"/>
      <c r="N107" s="50"/>
      <c r="O107" s="50"/>
      <c r="P107" s="50"/>
      <c r="Q107" s="50"/>
      <c r="R107" s="50"/>
      <c r="S107" s="50"/>
      <c r="U107" s="97" t="s">
        <v>2581</v>
      </c>
      <c r="W107" s="86">
        <v>2.0</v>
      </c>
      <c r="X107" s="86">
        <v>2.0</v>
      </c>
      <c r="Y107" s="86">
        <v>2.0</v>
      </c>
      <c r="Z107" s="86">
        <v>2.0</v>
      </c>
      <c r="AA107" s="86">
        <v>2.0</v>
      </c>
      <c r="AB107" s="86">
        <v>2.0</v>
      </c>
      <c r="AC107" s="86">
        <v>2.0</v>
      </c>
      <c r="AD107" s="87" t="s">
        <v>64</v>
      </c>
      <c r="AE107" s="87" t="s">
        <v>64</v>
      </c>
      <c r="AF107" s="87" t="s">
        <v>64</v>
      </c>
      <c r="AG107" s="50"/>
      <c r="AI107" s="102" t="s">
        <v>2582</v>
      </c>
      <c r="AK107" s="86">
        <v>2.0</v>
      </c>
      <c r="AL107" s="86">
        <v>2.0</v>
      </c>
      <c r="AM107" s="86">
        <v>2.0</v>
      </c>
      <c r="AN107" s="86">
        <v>2.0</v>
      </c>
      <c r="AO107" s="86">
        <v>2.0</v>
      </c>
      <c r="AP107" s="86">
        <v>2.0</v>
      </c>
      <c r="AQ107" s="86">
        <v>2.0</v>
      </c>
      <c r="AR107" s="87" t="s">
        <v>64</v>
      </c>
      <c r="AS107" s="87" t="s">
        <v>64</v>
      </c>
      <c r="AT107" s="87" t="s">
        <v>64</v>
      </c>
      <c r="AU107" s="50"/>
      <c r="AY107" s="50"/>
      <c r="AZ107" s="50"/>
      <c r="BA107" s="50"/>
      <c r="BB107" s="50"/>
      <c r="BC107" s="50"/>
      <c r="BD107" s="50"/>
      <c r="BE107" s="50"/>
      <c r="BF107" s="50"/>
      <c r="BG107" s="50"/>
      <c r="BH107" s="50"/>
      <c r="BI107" s="50"/>
      <c r="BK107" s="53" t="s">
        <v>2583</v>
      </c>
      <c r="BM107" s="86">
        <v>2.0</v>
      </c>
      <c r="BN107" s="86">
        <v>2.0</v>
      </c>
      <c r="BO107" s="86">
        <v>2.0</v>
      </c>
      <c r="BP107" s="86">
        <v>2.0</v>
      </c>
      <c r="BQ107" s="86">
        <v>2.0</v>
      </c>
      <c r="BR107" s="86">
        <v>2.0</v>
      </c>
      <c r="BS107" s="86">
        <v>2.0</v>
      </c>
      <c r="BT107" s="87" t="s">
        <v>64</v>
      </c>
      <c r="BU107" s="87" t="s">
        <v>64</v>
      </c>
      <c r="BV107" s="87" t="s">
        <v>64</v>
      </c>
      <c r="BW107" s="50"/>
      <c r="BY107" s="53" t="s">
        <v>2584</v>
      </c>
      <c r="CA107" s="86">
        <v>2.0</v>
      </c>
      <c r="CB107" s="86">
        <v>2.0</v>
      </c>
      <c r="CC107" s="86">
        <v>2.0</v>
      </c>
      <c r="CD107" s="86">
        <v>2.0</v>
      </c>
      <c r="CE107" s="86">
        <v>2.0</v>
      </c>
      <c r="CF107" s="86">
        <v>2.0</v>
      </c>
      <c r="CG107" s="86">
        <v>2.0</v>
      </c>
      <c r="CH107" s="87" t="s">
        <v>64</v>
      </c>
      <c r="CI107" s="87" t="s">
        <v>64</v>
      </c>
      <c r="CJ107" s="87" t="s">
        <v>64</v>
      </c>
      <c r="CK107" s="50"/>
      <c r="CO107" s="50"/>
      <c r="CP107" s="50"/>
      <c r="CQ107" s="50"/>
      <c r="CR107" s="50"/>
      <c r="CS107" s="50"/>
      <c r="CT107" s="50"/>
      <c r="CU107" s="50"/>
      <c r="CV107" s="50"/>
      <c r="CW107" s="50"/>
      <c r="CX107" s="50"/>
      <c r="CY107" s="50"/>
      <c r="DA107" s="53" t="s">
        <v>2585</v>
      </c>
      <c r="DC107" s="86">
        <v>2.0</v>
      </c>
      <c r="DD107" s="86">
        <v>2.0</v>
      </c>
      <c r="DE107" s="86">
        <v>2.0</v>
      </c>
      <c r="DF107" s="86">
        <v>2.0</v>
      </c>
      <c r="DG107" s="86">
        <v>2.0</v>
      </c>
      <c r="DH107" s="86">
        <v>2.0</v>
      </c>
      <c r="DI107" s="86">
        <v>2.0</v>
      </c>
      <c r="DJ107" s="87" t="s">
        <v>64</v>
      </c>
      <c r="DK107" s="87" t="s">
        <v>64</v>
      </c>
      <c r="DL107" s="87" t="s">
        <v>64</v>
      </c>
      <c r="DM107" s="50"/>
      <c r="DO107" s="59" t="s">
        <v>2586</v>
      </c>
      <c r="DQ107" s="86">
        <v>0.0</v>
      </c>
      <c r="DR107" s="86">
        <v>0.0</v>
      </c>
      <c r="DS107" s="86">
        <v>1.0</v>
      </c>
      <c r="DT107" s="86">
        <v>2.0</v>
      </c>
      <c r="DU107" s="86">
        <v>2.0</v>
      </c>
      <c r="DV107" s="86">
        <v>0.0</v>
      </c>
      <c r="DW107" s="86">
        <v>0.0</v>
      </c>
      <c r="DX107" s="87" t="s">
        <v>101</v>
      </c>
      <c r="DY107" s="87" t="s">
        <v>101</v>
      </c>
      <c r="DZ107" s="87" t="s">
        <v>101</v>
      </c>
      <c r="EA107" s="50" t="s">
        <v>326</v>
      </c>
    </row>
    <row r="108" ht="15.75" customHeight="1">
      <c r="A108" s="14">
        <v>14.0</v>
      </c>
      <c r="B108" s="14" t="s">
        <v>131</v>
      </c>
      <c r="C108" s="14" t="str">
        <f t="array" ref="C108">IFERROR(INDEX(DOCUMENTOS!$E:$E,MATCH($A108,DOCUMENTOS!$A:$A,0)),"")</f>
        <v/>
      </c>
      <c r="D108" s="14" t="str">
        <f t="array" ref="D108">IFERROR(INDEX('BANCO DE PERGUNTAS'!$D:$D,MATCH($B108,'BANCO DE PERGUNTAS'!$A:$A,0)),"")</f>
        <v>Quais são as partes ou instituições mencionadas?</v>
      </c>
      <c r="E108" s="14" t="str">
        <f t="array" ref="E108">IFERROR(INDEX('BANCO DE PERGUNTAS'!$B:$B,MATCH($B108,'BANCO DE PERGUNTAS'!$A:$A,0)),"")</f>
        <v>Identificação</v>
      </c>
      <c r="F108" s="17">
        <f t="array" ref="F108">IFERROR(INDEX('BANCO DE PERGUNTAS'!$H:$H,MATCH($B108,'BANCO DE PERGUNTAS'!$A:$A,0)),"")</f>
        <v>2</v>
      </c>
      <c r="I108" s="50"/>
      <c r="J108" s="50"/>
      <c r="K108" s="50"/>
      <c r="L108" s="50"/>
      <c r="M108" s="50"/>
      <c r="N108" s="50"/>
      <c r="O108" s="50"/>
      <c r="P108" s="50"/>
      <c r="Q108" s="50"/>
      <c r="R108" s="50"/>
      <c r="S108" s="50"/>
      <c r="U108" s="101" t="s">
        <v>2587</v>
      </c>
      <c r="W108" s="86">
        <v>2.0</v>
      </c>
      <c r="X108" s="86">
        <v>2.0</v>
      </c>
      <c r="Y108" s="86">
        <v>2.0</v>
      </c>
      <c r="Z108" s="86">
        <v>2.0</v>
      </c>
      <c r="AA108" s="86">
        <v>2.0</v>
      </c>
      <c r="AB108" s="86">
        <v>2.0</v>
      </c>
      <c r="AC108" s="86">
        <v>2.0</v>
      </c>
      <c r="AD108" s="87" t="s">
        <v>64</v>
      </c>
      <c r="AE108" s="87" t="s">
        <v>64</v>
      </c>
      <c r="AF108" s="87" t="s">
        <v>64</v>
      </c>
      <c r="AG108" s="50"/>
      <c r="AI108" s="102" t="s">
        <v>2588</v>
      </c>
      <c r="AK108" s="86">
        <v>2.0</v>
      </c>
      <c r="AL108" s="86">
        <v>2.0</v>
      </c>
      <c r="AM108" s="86">
        <v>2.0</v>
      </c>
      <c r="AN108" s="86">
        <v>2.0</v>
      </c>
      <c r="AO108" s="86">
        <v>2.0</v>
      </c>
      <c r="AP108" s="86">
        <v>2.0</v>
      </c>
      <c r="AQ108" s="86">
        <v>2.0</v>
      </c>
      <c r="AR108" s="87" t="s">
        <v>64</v>
      </c>
      <c r="AS108" s="87" t="s">
        <v>64</v>
      </c>
      <c r="AT108" s="87" t="s">
        <v>64</v>
      </c>
      <c r="AU108" s="50"/>
      <c r="AY108" s="50"/>
      <c r="AZ108" s="50"/>
      <c r="BA108" s="50"/>
      <c r="BB108" s="50"/>
      <c r="BC108" s="50"/>
      <c r="BD108" s="50"/>
      <c r="BE108" s="50"/>
      <c r="BF108" s="50"/>
      <c r="BG108" s="50"/>
      <c r="BH108" s="50"/>
      <c r="BI108" s="50"/>
      <c r="BK108" s="53" t="s">
        <v>2589</v>
      </c>
      <c r="BM108" s="86">
        <v>2.0</v>
      </c>
      <c r="BN108" s="86">
        <v>2.0</v>
      </c>
      <c r="BO108" s="86">
        <v>2.0</v>
      </c>
      <c r="BP108" s="86">
        <v>2.0</v>
      </c>
      <c r="BQ108" s="86">
        <v>2.0</v>
      </c>
      <c r="BR108" s="86">
        <v>2.0</v>
      </c>
      <c r="BS108" s="86">
        <v>2.0</v>
      </c>
      <c r="BT108" s="87" t="s">
        <v>64</v>
      </c>
      <c r="BU108" s="87" t="s">
        <v>64</v>
      </c>
      <c r="BV108" s="87" t="s">
        <v>64</v>
      </c>
      <c r="BW108" s="50"/>
      <c r="BY108" s="53" t="s">
        <v>2590</v>
      </c>
      <c r="CA108" s="86">
        <v>2.0</v>
      </c>
      <c r="CB108" s="86">
        <v>2.0</v>
      </c>
      <c r="CC108" s="86">
        <v>2.0</v>
      </c>
      <c r="CD108" s="86">
        <v>2.0</v>
      </c>
      <c r="CE108" s="86">
        <v>2.0</v>
      </c>
      <c r="CF108" s="86">
        <v>2.0</v>
      </c>
      <c r="CG108" s="86">
        <v>2.0</v>
      </c>
      <c r="CH108" s="87" t="s">
        <v>64</v>
      </c>
      <c r="CI108" s="87" t="s">
        <v>64</v>
      </c>
      <c r="CJ108" s="87" t="s">
        <v>64</v>
      </c>
      <c r="CK108" s="50"/>
      <c r="CO108" s="50"/>
      <c r="CP108" s="50"/>
      <c r="CQ108" s="50"/>
      <c r="CR108" s="50"/>
      <c r="CS108" s="50"/>
      <c r="CT108" s="50"/>
      <c r="CU108" s="50"/>
      <c r="CV108" s="50"/>
      <c r="CW108" s="50"/>
      <c r="CX108" s="50"/>
      <c r="CY108" s="50"/>
      <c r="DA108" s="53" t="s">
        <v>2591</v>
      </c>
      <c r="DC108" s="86">
        <v>2.0</v>
      </c>
      <c r="DD108" s="86">
        <v>2.0</v>
      </c>
      <c r="DE108" s="86">
        <v>2.0</v>
      </c>
      <c r="DF108" s="86">
        <v>2.0</v>
      </c>
      <c r="DG108" s="86">
        <v>2.0</v>
      </c>
      <c r="DH108" s="86">
        <v>2.0</v>
      </c>
      <c r="DI108" s="86">
        <v>2.0</v>
      </c>
      <c r="DJ108" s="87" t="s">
        <v>64</v>
      </c>
      <c r="DK108" s="87" t="s">
        <v>64</v>
      </c>
      <c r="DL108" s="87" t="s">
        <v>64</v>
      </c>
      <c r="DM108" s="50"/>
      <c r="DO108" s="59" t="s">
        <v>2592</v>
      </c>
      <c r="DQ108" s="86">
        <v>0.0</v>
      </c>
      <c r="DR108" s="86">
        <v>0.0</v>
      </c>
      <c r="DS108" s="86">
        <v>1.0</v>
      </c>
      <c r="DT108" s="86">
        <v>2.0</v>
      </c>
      <c r="DU108" s="86">
        <v>2.0</v>
      </c>
      <c r="DV108" s="86">
        <v>0.0</v>
      </c>
      <c r="DW108" s="86">
        <v>0.0</v>
      </c>
      <c r="DX108" s="87" t="s">
        <v>101</v>
      </c>
      <c r="DY108" s="87" t="s">
        <v>101</v>
      </c>
      <c r="DZ108" s="87" t="s">
        <v>101</v>
      </c>
      <c r="EA108" s="50" t="s">
        <v>326</v>
      </c>
    </row>
    <row r="109" ht="15.75" customHeight="1">
      <c r="A109" s="11">
        <v>14.0</v>
      </c>
      <c r="B109" s="11" t="s">
        <v>144</v>
      </c>
      <c r="C109" s="11" t="str">
        <f t="array" ref="C109">IFERROR(INDEX(DOCUMENTOS!$E:$E,MATCH($A109,DOCUMENTOS!$A:$A,0)),"")</f>
        <v/>
      </c>
      <c r="D109" s="11" t="str">
        <f t="array" ref="D109">IFERROR(INDEX('BANCO DE PERGUNTAS'!$D:$D,MATCH($B109,'BANCO DE PERGUNTAS'!$A:$A,0)),"")</f>
        <v>Qual informação específica está apresentada na seção 08?</v>
      </c>
      <c r="E109" s="11" t="str">
        <f t="array" ref="E109">IFERROR(INDEX('BANCO DE PERGUNTAS'!$B:$B,MATCH($B109,'BANCO DE PERGUNTAS'!$A:$A,0)),"")</f>
        <v>Localização</v>
      </c>
      <c r="F109" s="12">
        <f t="array" ref="F109">IFERROR(INDEX('BANCO DE PERGUNTAS'!$H:$H,MATCH($B109,'BANCO DE PERGUNTAS'!$A:$A,0)),"")</f>
        <v>2</v>
      </c>
      <c r="I109" s="50"/>
      <c r="J109" s="50"/>
      <c r="K109" s="50"/>
      <c r="L109" s="50"/>
      <c r="M109" s="50"/>
      <c r="N109" s="50"/>
      <c r="O109" s="50"/>
      <c r="P109" s="50"/>
      <c r="Q109" s="50"/>
      <c r="R109" s="50"/>
      <c r="S109" s="50"/>
      <c r="U109" s="97" t="s">
        <v>2593</v>
      </c>
      <c r="W109" s="86">
        <v>2.0</v>
      </c>
      <c r="X109" s="86">
        <v>2.0</v>
      </c>
      <c r="Y109" s="86">
        <v>2.0</v>
      </c>
      <c r="Z109" s="86">
        <v>2.0</v>
      </c>
      <c r="AA109" s="86">
        <v>2.0</v>
      </c>
      <c r="AB109" s="86">
        <v>2.0</v>
      </c>
      <c r="AC109" s="86">
        <v>2.0</v>
      </c>
      <c r="AD109" s="87" t="s">
        <v>64</v>
      </c>
      <c r="AE109" s="87" t="s">
        <v>64</v>
      </c>
      <c r="AF109" s="87" t="s">
        <v>64</v>
      </c>
      <c r="AG109" s="50"/>
      <c r="AI109" s="102" t="s">
        <v>2594</v>
      </c>
      <c r="AK109" s="86">
        <v>2.0</v>
      </c>
      <c r="AL109" s="86">
        <v>2.0</v>
      </c>
      <c r="AM109" s="86">
        <v>2.0</v>
      </c>
      <c r="AN109" s="86">
        <v>2.0</v>
      </c>
      <c r="AO109" s="86">
        <v>2.0</v>
      </c>
      <c r="AP109" s="86">
        <v>2.0</v>
      </c>
      <c r="AQ109" s="86">
        <v>2.0</v>
      </c>
      <c r="AR109" s="87" t="s">
        <v>64</v>
      </c>
      <c r="AS109" s="87" t="s">
        <v>64</v>
      </c>
      <c r="AT109" s="87" t="s">
        <v>64</v>
      </c>
      <c r="AU109" s="50"/>
      <c r="AY109" s="50"/>
      <c r="AZ109" s="50"/>
      <c r="BA109" s="50"/>
      <c r="BB109" s="50"/>
      <c r="BC109" s="50"/>
      <c r="BD109" s="50"/>
      <c r="BE109" s="50"/>
      <c r="BF109" s="50"/>
      <c r="BG109" s="50"/>
      <c r="BH109" s="50"/>
      <c r="BI109" s="50"/>
      <c r="BK109" s="53" t="s">
        <v>2595</v>
      </c>
      <c r="BM109" s="86">
        <v>2.0</v>
      </c>
      <c r="BN109" s="86">
        <v>2.0</v>
      </c>
      <c r="BO109" s="86">
        <v>2.0</v>
      </c>
      <c r="BP109" s="86">
        <v>2.0</v>
      </c>
      <c r="BQ109" s="86">
        <v>2.0</v>
      </c>
      <c r="BR109" s="86">
        <v>2.0</v>
      </c>
      <c r="BS109" s="86">
        <v>2.0</v>
      </c>
      <c r="BT109" s="87" t="s">
        <v>64</v>
      </c>
      <c r="BU109" s="87" t="s">
        <v>64</v>
      </c>
      <c r="BV109" s="87" t="s">
        <v>64</v>
      </c>
      <c r="BW109" s="50"/>
      <c r="BY109" s="53" t="s">
        <v>2596</v>
      </c>
      <c r="CA109" s="86">
        <v>2.0</v>
      </c>
      <c r="CB109" s="86">
        <v>2.0</v>
      </c>
      <c r="CC109" s="86">
        <v>2.0</v>
      </c>
      <c r="CD109" s="86">
        <v>2.0</v>
      </c>
      <c r="CE109" s="86">
        <v>2.0</v>
      </c>
      <c r="CF109" s="86">
        <v>2.0</v>
      </c>
      <c r="CG109" s="86">
        <v>2.0</v>
      </c>
      <c r="CH109" s="87" t="s">
        <v>64</v>
      </c>
      <c r="CI109" s="87" t="s">
        <v>64</v>
      </c>
      <c r="CJ109" s="87" t="s">
        <v>64</v>
      </c>
      <c r="CK109" s="50"/>
      <c r="CO109" s="50"/>
      <c r="CP109" s="50"/>
      <c r="CQ109" s="50"/>
      <c r="CR109" s="50"/>
      <c r="CS109" s="50"/>
      <c r="CT109" s="50"/>
      <c r="CU109" s="50"/>
      <c r="CV109" s="50"/>
      <c r="CW109" s="50"/>
      <c r="CX109" s="50"/>
      <c r="CY109" s="50"/>
      <c r="DA109" s="53" t="s">
        <v>2597</v>
      </c>
      <c r="DC109" s="86">
        <v>2.0</v>
      </c>
      <c r="DD109" s="86">
        <v>2.0</v>
      </c>
      <c r="DE109" s="86">
        <v>2.0</v>
      </c>
      <c r="DF109" s="86">
        <v>2.0</v>
      </c>
      <c r="DG109" s="86">
        <v>2.0</v>
      </c>
      <c r="DH109" s="86">
        <v>2.0</v>
      </c>
      <c r="DI109" s="86">
        <v>2.0</v>
      </c>
      <c r="DJ109" s="87" t="s">
        <v>64</v>
      </c>
      <c r="DK109" s="87" t="s">
        <v>64</v>
      </c>
      <c r="DL109" s="87" t="s">
        <v>64</v>
      </c>
      <c r="DM109" s="50"/>
      <c r="DO109" s="59" t="s">
        <v>2598</v>
      </c>
      <c r="DQ109" s="86">
        <v>2.0</v>
      </c>
      <c r="DR109" s="86">
        <v>2.0</v>
      </c>
      <c r="DS109" s="86">
        <v>2.0</v>
      </c>
      <c r="DT109" s="86">
        <v>2.0</v>
      </c>
      <c r="DU109" s="86">
        <v>2.0</v>
      </c>
      <c r="DV109" s="86">
        <v>2.0</v>
      </c>
      <c r="DW109" s="86">
        <v>2.0</v>
      </c>
      <c r="DX109" s="87" t="s">
        <v>64</v>
      </c>
      <c r="DY109" s="87" t="s">
        <v>64</v>
      </c>
      <c r="DZ109" s="87" t="s">
        <v>64</v>
      </c>
      <c r="EA109" s="50"/>
    </row>
    <row r="110" ht="15.75" customHeight="1">
      <c r="A110" s="14">
        <v>14.0</v>
      </c>
      <c r="B110" s="14" t="s">
        <v>156</v>
      </c>
      <c r="C110" s="14" t="str">
        <f t="array" ref="C110">IFERROR(INDEX(DOCUMENTOS!$E:$E,MATCH($A110,DOCUMENTOS!$A:$A,0)),"")</f>
        <v/>
      </c>
      <c r="D110" s="14" t="str">
        <f t="array" ref="D110">IFERROR(INDEX('BANCO DE PERGUNTAS'!$D:$D,MATCH($B110,'BANCO DE PERGUNTAS'!$A:$A,0)),"")</f>
        <v>Em qual seção do documento está localizada a informação solicitada?</v>
      </c>
      <c r="E110" s="14" t="str">
        <f t="array" ref="E110">IFERROR(INDEX('BANCO DE PERGUNTAS'!$B:$B,MATCH($B110,'BANCO DE PERGUNTAS'!$A:$A,0)),"")</f>
        <v>Localização</v>
      </c>
      <c r="F110" s="17">
        <f t="array" ref="F110">IFERROR(INDEX('BANCO DE PERGUNTAS'!$H:$H,MATCH($B110,'BANCO DE PERGUNTAS'!$A:$A,0)),"")</f>
        <v>2</v>
      </c>
      <c r="I110" s="50"/>
      <c r="J110" s="50"/>
      <c r="K110" s="50"/>
      <c r="L110" s="50"/>
      <c r="M110" s="50"/>
      <c r="N110" s="50"/>
      <c r="O110" s="50"/>
      <c r="P110" s="50"/>
      <c r="Q110" s="50"/>
      <c r="R110" s="50"/>
      <c r="S110" s="50"/>
      <c r="U110" s="101" t="s">
        <v>2599</v>
      </c>
      <c r="W110" s="86">
        <v>2.0</v>
      </c>
      <c r="X110" s="86">
        <v>2.0</v>
      </c>
      <c r="Y110" s="86">
        <v>2.0</v>
      </c>
      <c r="Z110" s="86">
        <v>2.0</v>
      </c>
      <c r="AA110" s="86">
        <v>2.0</v>
      </c>
      <c r="AB110" s="86">
        <v>2.0</v>
      </c>
      <c r="AC110" s="86">
        <v>2.0</v>
      </c>
      <c r="AD110" s="87" t="s">
        <v>64</v>
      </c>
      <c r="AE110" s="87" t="s">
        <v>64</v>
      </c>
      <c r="AF110" s="87" t="s">
        <v>64</v>
      </c>
      <c r="AG110" s="50"/>
      <c r="AI110" s="102" t="s">
        <v>2600</v>
      </c>
      <c r="AK110" s="86">
        <v>2.0</v>
      </c>
      <c r="AL110" s="86">
        <v>2.0</v>
      </c>
      <c r="AM110" s="86">
        <v>2.0</v>
      </c>
      <c r="AN110" s="86">
        <v>2.0</v>
      </c>
      <c r="AO110" s="86">
        <v>2.0</v>
      </c>
      <c r="AP110" s="86">
        <v>2.0</v>
      </c>
      <c r="AQ110" s="86">
        <v>2.0</v>
      </c>
      <c r="AR110" s="87" t="s">
        <v>64</v>
      </c>
      <c r="AS110" s="87" t="s">
        <v>64</v>
      </c>
      <c r="AT110" s="87" t="s">
        <v>64</v>
      </c>
      <c r="AU110" s="50"/>
      <c r="AY110" s="50"/>
      <c r="AZ110" s="50"/>
      <c r="BA110" s="50"/>
      <c r="BB110" s="50"/>
      <c r="BC110" s="50"/>
      <c r="BD110" s="50"/>
      <c r="BE110" s="50"/>
      <c r="BF110" s="50"/>
      <c r="BG110" s="50"/>
      <c r="BH110" s="50"/>
      <c r="BI110" s="50"/>
      <c r="BK110" s="53" t="s">
        <v>2601</v>
      </c>
      <c r="BM110" s="86">
        <v>2.0</v>
      </c>
      <c r="BN110" s="86">
        <v>2.0</v>
      </c>
      <c r="BO110" s="86">
        <v>2.0</v>
      </c>
      <c r="BP110" s="86">
        <v>2.0</v>
      </c>
      <c r="BQ110" s="86">
        <v>2.0</v>
      </c>
      <c r="BR110" s="86">
        <v>2.0</v>
      </c>
      <c r="BS110" s="86">
        <v>2.0</v>
      </c>
      <c r="BT110" s="87" t="s">
        <v>64</v>
      </c>
      <c r="BU110" s="87" t="s">
        <v>64</v>
      </c>
      <c r="BV110" s="87" t="s">
        <v>64</v>
      </c>
      <c r="BW110" s="50"/>
      <c r="BY110" s="53" t="s">
        <v>2602</v>
      </c>
      <c r="CA110" s="86">
        <v>2.0</v>
      </c>
      <c r="CB110" s="86">
        <v>2.0</v>
      </c>
      <c r="CC110" s="86">
        <v>2.0</v>
      </c>
      <c r="CD110" s="86">
        <v>2.0</v>
      </c>
      <c r="CE110" s="86">
        <v>2.0</v>
      </c>
      <c r="CF110" s="86">
        <v>2.0</v>
      </c>
      <c r="CG110" s="86">
        <v>2.0</v>
      </c>
      <c r="CH110" s="87" t="s">
        <v>64</v>
      </c>
      <c r="CI110" s="87" t="s">
        <v>64</v>
      </c>
      <c r="CJ110" s="87" t="s">
        <v>64</v>
      </c>
      <c r="CK110" s="50"/>
      <c r="CO110" s="50"/>
      <c r="CP110" s="50"/>
      <c r="CQ110" s="50"/>
      <c r="CR110" s="50"/>
      <c r="CS110" s="50"/>
      <c r="CT110" s="50"/>
      <c r="CU110" s="50"/>
      <c r="CV110" s="50"/>
      <c r="CW110" s="50"/>
      <c r="CX110" s="50"/>
      <c r="CY110" s="50"/>
      <c r="DA110" s="53" t="s">
        <v>2603</v>
      </c>
      <c r="DC110" s="86">
        <v>2.0</v>
      </c>
      <c r="DD110" s="86">
        <v>2.0</v>
      </c>
      <c r="DE110" s="86">
        <v>2.0</v>
      </c>
      <c r="DF110" s="86">
        <v>2.0</v>
      </c>
      <c r="DG110" s="86">
        <v>2.0</v>
      </c>
      <c r="DH110" s="86">
        <v>2.0</v>
      </c>
      <c r="DI110" s="86">
        <v>2.0</v>
      </c>
      <c r="DJ110" s="87" t="s">
        <v>64</v>
      </c>
      <c r="DK110" s="87" t="s">
        <v>64</v>
      </c>
      <c r="DL110" s="87" t="s">
        <v>64</v>
      </c>
      <c r="DM110" s="50"/>
      <c r="DO110" s="59" t="s">
        <v>2604</v>
      </c>
      <c r="DQ110" s="86">
        <v>2.0</v>
      </c>
      <c r="DR110" s="86">
        <v>2.0</v>
      </c>
      <c r="DS110" s="86">
        <v>2.0</v>
      </c>
      <c r="DT110" s="86">
        <v>2.0</v>
      </c>
      <c r="DU110" s="86">
        <v>2.0</v>
      </c>
      <c r="DV110" s="86">
        <v>2.0</v>
      </c>
      <c r="DW110" s="86">
        <v>2.0</v>
      </c>
      <c r="DX110" s="87" t="s">
        <v>64</v>
      </c>
      <c r="DY110" s="87" t="s">
        <v>64</v>
      </c>
      <c r="DZ110" s="87" t="s">
        <v>64</v>
      </c>
      <c r="EA110" s="50"/>
    </row>
    <row r="111" ht="15.75" customHeight="1">
      <c r="A111" s="11">
        <v>14.0</v>
      </c>
      <c r="B111" s="11" t="s">
        <v>162</v>
      </c>
      <c r="C111" s="11" t="str">
        <f t="array" ref="C111">IFERROR(INDEX(DOCUMENTOS!$E:$E,MATCH($A111,DOCUMENTOS!$A:$A,0)),"")</f>
        <v/>
      </c>
      <c r="D111" s="11" t="str">
        <f t="array" ref="D111">IFERROR(INDEX('BANCO DE PERGUNTAS'!$D:$D,MATCH($B111,'BANCO DE PERGUNTAS'!$A:$A,0)),"")</f>
        <v>Qual é o valor indicado para o Valor Total Anual do Objeto licitado?</v>
      </c>
      <c r="E111" s="11" t="str">
        <f t="array" ref="E111">IFERROR(INDEX('BANCO DE PERGUNTAS'!$B:$B,MATCH($B111,'BANCO DE PERGUNTAS'!$A:$A,0)),"")</f>
        <v>Localização</v>
      </c>
      <c r="F111" s="12">
        <f t="array" ref="F111">IFERROR(INDEX('BANCO DE PERGUNTAS'!$H:$H,MATCH($B111,'BANCO DE PERGUNTAS'!$A:$A,0)),"")</f>
        <v>1</v>
      </c>
      <c r="I111" s="50"/>
      <c r="J111" s="50"/>
      <c r="K111" s="50"/>
      <c r="L111" s="50"/>
      <c r="M111" s="50"/>
      <c r="N111" s="50"/>
      <c r="O111" s="50"/>
      <c r="P111" s="50"/>
      <c r="Q111" s="50"/>
      <c r="R111" s="50"/>
      <c r="S111" s="50"/>
      <c r="U111" s="97" t="s">
        <v>2605</v>
      </c>
      <c r="W111" s="86">
        <v>2.0</v>
      </c>
      <c r="X111" s="86">
        <v>2.0</v>
      </c>
      <c r="Y111" s="86">
        <v>2.0</v>
      </c>
      <c r="Z111" s="86">
        <v>2.0</v>
      </c>
      <c r="AA111" s="86">
        <v>2.0</v>
      </c>
      <c r="AB111" s="86">
        <v>2.0</v>
      </c>
      <c r="AC111" s="86">
        <v>2.0</v>
      </c>
      <c r="AD111" s="87" t="s">
        <v>64</v>
      </c>
      <c r="AE111" s="87" t="s">
        <v>64</v>
      </c>
      <c r="AF111" s="87" t="s">
        <v>64</v>
      </c>
      <c r="AG111" s="50"/>
      <c r="AI111" s="102" t="s">
        <v>2606</v>
      </c>
      <c r="AK111" s="86">
        <v>2.0</v>
      </c>
      <c r="AL111" s="86">
        <v>2.0</v>
      </c>
      <c r="AM111" s="86">
        <v>2.0</v>
      </c>
      <c r="AN111" s="86">
        <v>2.0</v>
      </c>
      <c r="AO111" s="86">
        <v>2.0</v>
      </c>
      <c r="AP111" s="86">
        <v>2.0</v>
      </c>
      <c r="AQ111" s="86">
        <v>2.0</v>
      </c>
      <c r="AR111" s="87" t="s">
        <v>64</v>
      </c>
      <c r="AS111" s="87" t="s">
        <v>64</v>
      </c>
      <c r="AT111" s="87" t="s">
        <v>64</v>
      </c>
      <c r="AU111" s="50"/>
      <c r="AY111" s="50"/>
      <c r="AZ111" s="50"/>
      <c r="BA111" s="50"/>
      <c r="BB111" s="50"/>
      <c r="BC111" s="50"/>
      <c r="BD111" s="50"/>
      <c r="BE111" s="50"/>
      <c r="BF111" s="50"/>
      <c r="BG111" s="50"/>
      <c r="BH111" s="50"/>
      <c r="BI111" s="50"/>
      <c r="BK111" s="53" t="s">
        <v>2607</v>
      </c>
      <c r="BM111" s="86">
        <v>2.0</v>
      </c>
      <c r="BN111" s="86">
        <v>2.0</v>
      </c>
      <c r="BO111" s="86">
        <v>2.0</v>
      </c>
      <c r="BP111" s="86">
        <v>2.0</v>
      </c>
      <c r="BQ111" s="86">
        <v>2.0</v>
      </c>
      <c r="BR111" s="86">
        <v>2.0</v>
      </c>
      <c r="BS111" s="86">
        <v>2.0</v>
      </c>
      <c r="BT111" s="87" t="s">
        <v>64</v>
      </c>
      <c r="BU111" s="87" t="s">
        <v>64</v>
      </c>
      <c r="BV111" s="87" t="s">
        <v>64</v>
      </c>
      <c r="BW111" s="50"/>
      <c r="BY111" s="53" t="s">
        <v>2608</v>
      </c>
      <c r="CA111" s="86">
        <v>2.0</v>
      </c>
      <c r="CB111" s="86">
        <v>2.0</v>
      </c>
      <c r="CC111" s="86">
        <v>2.0</v>
      </c>
      <c r="CD111" s="86">
        <v>2.0</v>
      </c>
      <c r="CE111" s="86">
        <v>2.0</v>
      </c>
      <c r="CF111" s="86">
        <v>2.0</v>
      </c>
      <c r="CG111" s="86">
        <v>2.0</v>
      </c>
      <c r="CH111" s="87" t="s">
        <v>64</v>
      </c>
      <c r="CI111" s="87" t="s">
        <v>64</v>
      </c>
      <c r="CJ111" s="87" t="s">
        <v>64</v>
      </c>
      <c r="CK111" s="50"/>
      <c r="CO111" s="50"/>
      <c r="CP111" s="50"/>
      <c r="CQ111" s="50"/>
      <c r="CR111" s="50"/>
      <c r="CS111" s="50"/>
      <c r="CT111" s="50"/>
      <c r="CU111" s="50"/>
      <c r="CV111" s="50"/>
      <c r="CW111" s="50"/>
      <c r="CX111" s="50"/>
      <c r="CY111" s="50"/>
      <c r="DA111" s="53" t="s">
        <v>2609</v>
      </c>
      <c r="DC111" s="86">
        <v>2.0</v>
      </c>
      <c r="DD111" s="86">
        <v>2.0</v>
      </c>
      <c r="DE111" s="86">
        <v>2.0</v>
      </c>
      <c r="DF111" s="86">
        <v>2.0</v>
      </c>
      <c r="DG111" s="86">
        <v>2.0</v>
      </c>
      <c r="DH111" s="86">
        <v>2.0</v>
      </c>
      <c r="DI111" s="86">
        <v>2.0</v>
      </c>
      <c r="DJ111" s="87" t="s">
        <v>64</v>
      </c>
      <c r="DK111" s="87" t="s">
        <v>64</v>
      </c>
      <c r="DL111" s="87" t="s">
        <v>64</v>
      </c>
      <c r="DM111" s="50"/>
      <c r="DO111" s="59" t="s">
        <v>2610</v>
      </c>
      <c r="DQ111" s="86">
        <v>0.0</v>
      </c>
      <c r="DR111" s="86">
        <v>0.0</v>
      </c>
      <c r="DS111" s="86">
        <v>1.0</v>
      </c>
      <c r="DT111" s="86">
        <v>2.0</v>
      </c>
      <c r="DU111" s="86">
        <v>2.0</v>
      </c>
      <c r="DV111" s="86">
        <v>0.0</v>
      </c>
      <c r="DW111" s="86">
        <v>0.0</v>
      </c>
      <c r="DX111" s="87" t="s">
        <v>101</v>
      </c>
      <c r="DY111" s="87" t="s">
        <v>101</v>
      </c>
      <c r="DZ111" s="87" t="s">
        <v>101</v>
      </c>
      <c r="EA111" s="50" t="s">
        <v>326</v>
      </c>
    </row>
    <row r="112" ht="15.75" customHeight="1">
      <c r="A112" s="14">
        <v>14.0</v>
      </c>
      <c r="B112" s="14" t="s">
        <v>168</v>
      </c>
      <c r="C112" s="14" t="str">
        <f t="array" ref="C112">IFERROR(INDEX(DOCUMENTOS!$E:$E,MATCH($A112,DOCUMENTOS!$A:$A,0)),"")</f>
        <v/>
      </c>
      <c r="D112" s="14" t="str">
        <f t="array" ref="D112">IFERROR(INDEX('BANCO DE PERGUNTAS'!$D:$D,MATCH($B112,'BANCO DE PERGUNTAS'!$A:$A,0)),"")</f>
        <v>Qual é a data indicada para de assinatura de todos os membros da comissão da contratação?</v>
      </c>
      <c r="E112" s="14" t="str">
        <f t="array" ref="E112">IFERROR(INDEX('BANCO DE PERGUNTAS'!$B:$B,MATCH($B112,'BANCO DE PERGUNTAS'!$A:$A,0)),"")</f>
        <v>Localização</v>
      </c>
      <c r="F112" s="17">
        <f t="array" ref="F112">IFERROR(INDEX('BANCO DE PERGUNTAS'!$H:$H,MATCH($B112,'BANCO DE PERGUNTAS'!$A:$A,0)),"")</f>
        <v>1</v>
      </c>
      <c r="I112" s="50"/>
      <c r="J112" s="50"/>
      <c r="K112" s="50"/>
      <c r="L112" s="50"/>
      <c r="M112" s="50"/>
      <c r="N112" s="50"/>
      <c r="O112" s="50"/>
      <c r="P112" s="50"/>
      <c r="Q112" s="50"/>
      <c r="R112" s="50"/>
      <c r="S112" s="50"/>
      <c r="U112" s="101" t="s">
        <v>2381</v>
      </c>
      <c r="W112" s="86">
        <v>2.0</v>
      </c>
      <c r="X112" s="86">
        <v>2.0</v>
      </c>
      <c r="Y112" s="86">
        <v>2.0</v>
      </c>
      <c r="Z112" s="86">
        <v>2.0</v>
      </c>
      <c r="AA112" s="86">
        <v>2.0</v>
      </c>
      <c r="AB112" s="86">
        <v>2.0</v>
      </c>
      <c r="AC112" s="86">
        <v>2.0</v>
      </c>
      <c r="AD112" s="87" t="s">
        <v>64</v>
      </c>
      <c r="AE112" s="87" t="s">
        <v>64</v>
      </c>
      <c r="AF112" s="87" t="s">
        <v>64</v>
      </c>
      <c r="AG112" s="50"/>
      <c r="AI112" s="102" t="s">
        <v>2611</v>
      </c>
      <c r="AK112" s="86">
        <v>2.0</v>
      </c>
      <c r="AL112" s="86">
        <v>2.0</v>
      </c>
      <c r="AM112" s="86">
        <v>2.0</v>
      </c>
      <c r="AN112" s="86">
        <v>2.0</v>
      </c>
      <c r="AO112" s="86">
        <v>2.0</v>
      </c>
      <c r="AP112" s="86">
        <v>2.0</v>
      </c>
      <c r="AQ112" s="86">
        <v>2.0</v>
      </c>
      <c r="AR112" s="87" t="s">
        <v>64</v>
      </c>
      <c r="AS112" s="87" t="s">
        <v>64</v>
      </c>
      <c r="AT112" s="87" t="s">
        <v>64</v>
      </c>
      <c r="AU112" s="50"/>
      <c r="AY112" s="50"/>
      <c r="AZ112" s="50"/>
      <c r="BA112" s="50"/>
      <c r="BB112" s="50"/>
      <c r="BC112" s="50"/>
      <c r="BD112" s="50"/>
      <c r="BE112" s="50"/>
      <c r="BF112" s="50"/>
      <c r="BG112" s="50"/>
      <c r="BH112" s="50"/>
      <c r="BI112" s="50"/>
      <c r="BK112" s="53" t="s">
        <v>2612</v>
      </c>
      <c r="BM112" s="86">
        <v>2.0</v>
      </c>
      <c r="BN112" s="86">
        <v>2.0</v>
      </c>
      <c r="BO112" s="86">
        <v>2.0</v>
      </c>
      <c r="BP112" s="86">
        <v>2.0</v>
      </c>
      <c r="BQ112" s="86">
        <v>2.0</v>
      </c>
      <c r="BR112" s="86">
        <v>2.0</v>
      </c>
      <c r="BS112" s="86">
        <v>2.0</v>
      </c>
      <c r="BT112" s="87" t="s">
        <v>64</v>
      </c>
      <c r="BU112" s="87" t="s">
        <v>64</v>
      </c>
      <c r="BV112" s="87" t="s">
        <v>64</v>
      </c>
      <c r="BW112" s="50"/>
      <c r="BY112" s="53" t="s">
        <v>2613</v>
      </c>
      <c r="CA112" s="86">
        <v>2.0</v>
      </c>
      <c r="CB112" s="86">
        <v>2.0</v>
      </c>
      <c r="CC112" s="86">
        <v>2.0</v>
      </c>
      <c r="CD112" s="86">
        <v>2.0</v>
      </c>
      <c r="CE112" s="86">
        <v>2.0</v>
      </c>
      <c r="CF112" s="86">
        <v>2.0</v>
      </c>
      <c r="CG112" s="86">
        <v>2.0</v>
      </c>
      <c r="CH112" s="87" t="s">
        <v>64</v>
      </c>
      <c r="CI112" s="87" t="s">
        <v>64</v>
      </c>
      <c r="CJ112" s="87" t="s">
        <v>64</v>
      </c>
      <c r="CK112" s="50"/>
      <c r="CO112" s="50"/>
      <c r="CP112" s="50"/>
      <c r="CQ112" s="50"/>
      <c r="CR112" s="50"/>
      <c r="CS112" s="50"/>
      <c r="CT112" s="50"/>
      <c r="CU112" s="50"/>
      <c r="CV112" s="50"/>
      <c r="CW112" s="50"/>
      <c r="CX112" s="50"/>
      <c r="CY112" s="50"/>
      <c r="DA112" s="53" t="s">
        <v>2614</v>
      </c>
      <c r="DC112" s="86">
        <v>2.0</v>
      </c>
      <c r="DD112" s="86">
        <v>2.0</v>
      </c>
      <c r="DE112" s="86">
        <v>2.0</v>
      </c>
      <c r="DF112" s="86">
        <v>2.0</v>
      </c>
      <c r="DG112" s="86">
        <v>2.0</v>
      </c>
      <c r="DH112" s="86">
        <v>2.0</v>
      </c>
      <c r="DI112" s="86">
        <v>2.0</v>
      </c>
      <c r="DJ112" s="87" t="s">
        <v>64</v>
      </c>
      <c r="DK112" s="87" t="s">
        <v>64</v>
      </c>
      <c r="DL112" s="87" t="s">
        <v>64</v>
      </c>
      <c r="DM112" s="50"/>
      <c r="DO112" s="59" t="s">
        <v>2615</v>
      </c>
      <c r="DQ112" s="86">
        <v>0.0</v>
      </c>
      <c r="DR112" s="86">
        <v>0.0</v>
      </c>
      <c r="DS112" s="86">
        <v>1.0</v>
      </c>
      <c r="DT112" s="86">
        <v>2.0</v>
      </c>
      <c r="DU112" s="86">
        <v>2.0</v>
      </c>
      <c r="DV112" s="86">
        <v>0.0</v>
      </c>
      <c r="DW112" s="86">
        <v>0.0</v>
      </c>
      <c r="DX112" s="87" t="s">
        <v>101</v>
      </c>
      <c r="DY112" s="87" t="s">
        <v>101</v>
      </c>
      <c r="DZ112" s="87" t="s">
        <v>101</v>
      </c>
      <c r="EA112" s="50" t="s">
        <v>326</v>
      </c>
    </row>
    <row r="113" ht="15.75" customHeight="1">
      <c r="A113" s="11">
        <v>14.0</v>
      </c>
      <c r="B113" s="11" t="s">
        <v>172</v>
      </c>
      <c r="C113" s="11" t="str">
        <f t="array" ref="C113">IFERROR(INDEX(DOCUMENTOS!$E:$E,MATCH($A113,DOCUMENTOS!$A:$A,0)),"")</f>
        <v/>
      </c>
      <c r="D113" s="11" t="str">
        <f t="array" ref="D113">IFERROR(INDEX('BANCO DE PERGUNTAS'!$D:$D,MATCH($B113,'BANCO DE PERGUNTAS'!$A:$A,0)),"")</f>
        <v>Extraia os principais dados do documento em formato estruturado.</v>
      </c>
      <c r="E113" s="11" t="str">
        <f t="array" ref="E113">IFERROR(INDEX('BANCO DE PERGUNTAS'!$B:$B,MATCH($B113,'BANCO DE PERGUNTAS'!$A:$A,0)),"")</f>
        <v>Extração</v>
      </c>
      <c r="F113" s="12">
        <f t="array" ref="F113">IFERROR(INDEX('BANCO DE PERGUNTAS'!$H:$H,MATCH($B113,'BANCO DE PERGUNTAS'!$A:$A,0)),"")</f>
        <v>2</v>
      </c>
      <c r="I113" s="50"/>
      <c r="J113" s="50"/>
      <c r="K113" s="50"/>
      <c r="L113" s="50"/>
      <c r="M113" s="50"/>
      <c r="N113" s="50"/>
      <c r="O113" s="50"/>
      <c r="P113" s="50"/>
      <c r="Q113" s="50"/>
      <c r="R113" s="50"/>
      <c r="S113" s="50"/>
      <c r="U113" s="97" t="s">
        <v>2616</v>
      </c>
      <c r="W113" s="86">
        <v>2.0</v>
      </c>
      <c r="X113" s="86">
        <v>2.0</v>
      </c>
      <c r="Y113" s="86">
        <v>2.0</v>
      </c>
      <c r="Z113" s="86">
        <v>2.0</v>
      </c>
      <c r="AA113" s="86">
        <v>2.0</v>
      </c>
      <c r="AB113" s="86">
        <v>2.0</v>
      </c>
      <c r="AC113" s="86">
        <v>2.0</v>
      </c>
      <c r="AD113" s="87" t="s">
        <v>64</v>
      </c>
      <c r="AE113" s="87" t="s">
        <v>64</v>
      </c>
      <c r="AF113" s="87" t="s">
        <v>64</v>
      </c>
      <c r="AG113" s="50"/>
      <c r="AI113" s="102" t="s">
        <v>2617</v>
      </c>
      <c r="AK113" s="86">
        <v>2.0</v>
      </c>
      <c r="AL113" s="86">
        <v>2.0</v>
      </c>
      <c r="AM113" s="86">
        <v>2.0</v>
      </c>
      <c r="AN113" s="86">
        <v>2.0</v>
      </c>
      <c r="AO113" s="86">
        <v>2.0</v>
      </c>
      <c r="AP113" s="86">
        <v>2.0</v>
      </c>
      <c r="AQ113" s="86">
        <v>2.0</v>
      </c>
      <c r="AR113" s="87" t="s">
        <v>64</v>
      </c>
      <c r="AS113" s="87" t="s">
        <v>64</v>
      </c>
      <c r="AT113" s="87" t="s">
        <v>64</v>
      </c>
      <c r="AU113" s="50"/>
      <c r="AY113" s="50"/>
      <c r="AZ113" s="50"/>
      <c r="BA113" s="50"/>
      <c r="BB113" s="50"/>
      <c r="BC113" s="50"/>
      <c r="BD113" s="50"/>
      <c r="BE113" s="50"/>
      <c r="BF113" s="50"/>
      <c r="BG113" s="50"/>
      <c r="BH113" s="50"/>
      <c r="BI113" s="50"/>
      <c r="BK113" s="53" t="s">
        <v>2618</v>
      </c>
      <c r="BM113" s="86">
        <v>2.0</v>
      </c>
      <c r="BN113" s="86">
        <v>2.0</v>
      </c>
      <c r="BO113" s="86">
        <v>2.0</v>
      </c>
      <c r="BP113" s="86">
        <v>2.0</v>
      </c>
      <c r="BQ113" s="86">
        <v>2.0</v>
      </c>
      <c r="BR113" s="86">
        <v>2.0</v>
      </c>
      <c r="BS113" s="86">
        <v>2.0</v>
      </c>
      <c r="BT113" s="87" t="s">
        <v>64</v>
      </c>
      <c r="BU113" s="87" t="s">
        <v>64</v>
      </c>
      <c r="BV113" s="87" t="s">
        <v>64</v>
      </c>
      <c r="BW113" s="50"/>
      <c r="BY113" s="53" t="s">
        <v>2619</v>
      </c>
      <c r="CA113" s="86">
        <v>2.0</v>
      </c>
      <c r="CB113" s="86">
        <v>2.0</v>
      </c>
      <c r="CC113" s="86">
        <v>2.0</v>
      </c>
      <c r="CD113" s="86">
        <v>2.0</v>
      </c>
      <c r="CE113" s="86">
        <v>2.0</v>
      </c>
      <c r="CF113" s="86">
        <v>2.0</v>
      </c>
      <c r="CG113" s="86">
        <v>2.0</v>
      </c>
      <c r="CH113" s="87" t="s">
        <v>64</v>
      </c>
      <c r="CI113" s="87" t="s">
        <v>64</v>
      </c>
      <c r="CJ113" s="87" t="s">
        <v>64</v>
      </c>
      <c r="CK113" s="50"/>
      <c r="CO113" s="50"/>
      <c r="CP113" s="50"/>
      <c r="CQ113" s="50"/>
      <c r="CR113" s="50"/>
      <c r="CS113" s="50"/>
      <c r="CT113" s="50"/>
      <c r="CU113" s="50"/>
      <c r="CV113" s="50"/>
      <c r="CW113" s="50"/>
      <c r="CX113" s="50"/>
      <c r="CY113" s="50"/>
      <c r="DA113" s="53" t="s">
        <v>2620</v>
      </c>
      <c r="DC113" s="86">
        <v>2.0</v>
      </c>
      <c r="DD113" s="86">
        <v>2.0</v>
      </c>
      <c r="DE113" s="86">
        <v>2.0</v>
      </c>
      <c r="DF113" s="86">
        <v>2.0</v>
      </c>
      <c r="DG113" s="86">
        <v>2.0</v>
      </c>
      <c r="DH113" s="86">
        <v>2.0</v>
      </c>
      <c r="DI113" s="86">
        <v>2.0</v>
      </c>
      <c r="DJ113" s="87" t="s">
        <v>64</v>
      </c>
      <c r="DK113" s="87" t="s">
        <v>64</v>
      </c>
      <c r="DL113" s="87" t="s">
        <v>64</v>
      </c>
      <c r="DM113" s="50"/>
      <c r="DO113" s="59" t="s">
        <v>2621</v>
      </c>
      <c r="DQ113" s="86">
        <v>0.0</v>
      </c>
      <c r="DR113" s="86">
        <v>0.0</v>
      </c>
      <c r="DS113" s="86">
        <v>1.0</v>
      </c>
      <c r="DT113" s="86">
        <v>2.0</v>
      </c>
      <c r="DU113" s="86">
        <v>2.0</v>
      </c>
      <c r="DV113" s="86">
        <v>0.0</v>
      </c>
      <c r="DW113" s="86">
        <v>0.0</v>
      </c>
      <c r="DX113" s="87" t="s">
        <v>101</v>
      </c>
      <c r="DY113" s="87" t="s">
        <v>101</v>
      </c>
      <c r="DZ113" s="87" t="s">
        <v>101</v>
      </c>
      <c r="EA113" s="50" t="s">
        <v>326</v>
      </c>
    </row>
    <row r="114" ht="15.75" customHeight="1">
      <c r="A114" s="14">
        <v>14.0</v>
      </c>
      <c r="B114" s="14" t="s">
        <v>179</v>
      </c>
      <c r="C114" s="14" t="str">
        <f t="array" ref="C114">IFERROR(INDEX(DOCUMENTOS!$E:$E,MATCH($A114,DOCUMENTOS!$A:$A,0)),"")</f>
        <v/>
      </c>
      <c r="D114" s="14" t="str">
        <f t="array" ref="D114">IFERROR(INDEX('BANCO DE PERGUNTAS'!$D:$D,MATCH($B114,'BANCO DE PERGUNTAS'!$A:$A,0)),"")</f>
        <v>Liste os valores financeiros presentes no documento.</v>
      </c>
      <c r="E114" s="14" t="str">
        <f t="array" ref="E114">IFERROR(INDEX('BANCO DE PERGUNTAS'!$B:$B,MATCH($B114,'BANCO DE PERGUNTAS'!$A:$A,0)),"")</f>
        <v>Extração</v>
      </c>
      <c r="F114" s="17">
        <f t="array" ref="F114">IFERROR(INDEX('BANCO DE PERGUNTAS'!$H:$H,MATCH($B114,'BANCO DE PERGUNTAS'!$A:$A,0)),"")</f>
        <v>2</v>
      </c>
      <c r="I114" s="50"/>
      <c r="J114" s="50"/>
      <c r="K114" s="50"/>
      <c r="L114" s="50"/>
      <c r="M114" s="50"/>
      <c r="N114" s="50"/>
      <c r="O114" s="50"/>
      <c r="P114" s="50"/>
      <c r="Q114" s="50"/>
      <c r="R114" s="50"/>
      <c r="S114" s="50"/>
      <c r="U114" s="101" t="s">
        <v>2622</v>
      </c>
      <c r="W114" s="86">
        <v>2.0</v>
      </c>
      <c r="X114" s="86">
        <v>2.0</v>
      </c>
      <c r="Y114" s="86">
        <v>2.0</v>
      </c>
      <c r="Z114" s="86">
        <v>2.0</v>
      </c>
      <c r="AA114" s="86">
        <v>2.0</v>
      </c>
      <c r="AB114" s="86">
        <v>2.0</v>
      </c>
      <c r="AC114" s="86">
        <v>2.0</v>
      </c>
      <c r="AD114" s="87" t="s">
        <v>64</v>
      </c>
      <c r="AE114" s="87" t="s">
        <v>64</v>
      </c>
      <c r="AF114" s="87" t="s">
        <v>64</v>
      </c>
      <c r="AG114" s="50"/>
      <c r="AI114" s="102" t="s">
        <v>2623</v>
      </c>
      <c r="AK114" s="86">
        <v>2.0</v>
      </c>
      <c r="AL114" s="86">
        <v>2.0</v>
      </c>
      <c r="AM114" s="86">
        <v>2.0</v>
      </c>
      <c r="AN114" s="86">
        <v>2.0</v>
      </c>
      <c r="AO114" s="86">
        <v>2.0</v>
      </c>
      <c r="AP114" s="86">
        <v>2.0</v>
      </c>
      <c r="AQ114" s="86">
        <v>2.0</v>
      </c>
      <c r="AR114" s="87" t="s">
        <v>64</v>
      </c>
      <c r="AS114" s="87" t="s">
        <v>64</v>
      </c>
      <c r="AT114" s="87" t="s">
        <v>64</v>
      </c>
      <c r="AU114" s="50"/>
      <c r="AY114" s="50"/>
      <c r="AZ114" s="50"/>
      <c r="BA114" s="50"/>
      <c r="BB114" s="50"/>
      <c r="BC114" s="50"/>
      <c r="BD114" s="50"/>
      <c r="BE114" s="50"/>
      <c r="BF114" s="50"/>
      <c r="BG114" s="50"/>
      <c r="BH114" s="50"/>
      <c r="BI114" s="50"/>
      <c r="BK114" s="53" t="s">
        <v>2624</v>
      </c>
      <c r="BM114" s="86">
        <v>2.0</v>
      </c>
      <c r="BN114" s="86">
        <v>2.0</v>
      </c>
      <c r="BO114" s="86">
        <v>2.0</v>
      </c>
      <c r="BP114" s="86">
        <v>2.0</v>
      </c>
      <c r="BQ114" s="86">
        <v>2.0</v>
      </c>
      <c r="BR114" s="86">
        <v>2.0</v>
      </c>
      <c r="BS114" s="86">
        <v>2.0</v>
      </c>
      <c r="BT114" s="87" t="s">
        <v>64</v>
      </c>
      <c r="BU114" s="87" t="s">
        <v>64</v>
      </c>
      <c r="BV114" s="87" t="s">
        <v>64</v>
      </c>
      <c r="BW114" s="50"/>
      <c r="BY114" s="53" t="s">
        <v>2625</v>
      </c>
      <c r="CA114" s="86">
        <v>2.0</v>
      </c>
      <c r="CB114" s="86">
        <v>2.0</v>
      </c>
      <c r="CC114" s="86">
        <v>2.0</v>
      </c>
      <c r="CD114" s="86">
        <v>2.0</v>
      </c>
      <c r="CE114" s="86">
        <v>2.0</v>
      </c>
      <c r="CF114" s="86">
        <v>2.0</v>
      </c>
      <c r="CG114" s="86">
        <v>2.0</v>
      </c>
      <c r="CH114" s="87" t="s">
        <v>64</v>
      </c>
      <c r="CI114" s="87" t="s">
        <v>64</v>
      </c>
      <c r="CJ114" s="87" t="s">
        <v>64</v>
      </c>
      <c r="CK114" s="50"/>
      <c r="CO114" s="50"/>
      <c r="CP114" s="50"/>
      <c r="CQ114" s="50"/>
      <c r="CR114" s="50"/>
      <c r="CS114" s="50"/>
      <c r="CT114" s="50"/>
      <c r="CU114" s="50"/>
      <c r="CV114" s="50"/>
      <c r="CW114" s="50"/>
      <c r="CX114" s="50"/>
      <c r="CY114" s="50"/>
      <c r="DA114" s="53" t="s">
        <v>2626</v>
      </c>
      <c r="DC114" s="86">
        <v>2.0</v>
      </c>
      <c r="DD114" s="86">
        <v>2.0</v>
      </c>
      <c r="DE114" s="86">
        <v>2.0</v>
      </c>
      <c r="DF114" s="86">
        <v>2.0</v>
      </c>
      <c r="DG114" s="86">
        <v>2.0</v>
      </c>
      <c r="DH114" s="86">
        <v>2.0</v>
      </c>
      <c r="DI114" s="86">
        <v>2.0</v>
      </c>
      <c r="DJ114" s="87" t="s">
        <v>64</v>
      </c>
      <c r="DK114" s="87" t="s">
        <v>64</v>
      </c>
      <c r="DL114" s="87" t="s">
        <v>64</v>
      </c>
      <c r="DM114" s="50"/>
      <c r="DO114" s="59" t="s">
        <v>2627</v>
      </c>
      <c r="DQ114" s="86">
        <v>0.0</v>
      </c>
      <c r="DR114" s="86">
        <v>0.0</v>
      </c>
      <c r="DS114" s="86">
        <v>1.0</v>
      </c>
      <c r="DT114" s="86">
        <v>2.0</v>
      </c>
      <c r="DU114" s="86">
        <v>2.0</v>
      </c>
      <c r="DV114" s="86">
        <v>0.0</v>
      </c>
      <c r="DW114" s="86">
        <v>0.0</v>
      </c>
      <c r="DX114" s="87" t="s">
        <v>101</v>
      </c>
      <c r="DY114" s="87" t="s">
        <v>101</v>
      </c>
      <c r="DZ114" s="87" t="s">
        <v>101</v>
      </c>
      <c r="EA114" s="50" t="s">
        <v>326</v>
      </c>
    </row>
    <row r="115" ht="15.75" customHeight="1">
      <c r="A115" s="11">
        <v>14.0</v>
      </c>
      <c r="B115" s="11" t="s">
        <v>186</v>
      </c>
      <c r="C115" s="11" t="str">
        <f t="array" ref="C115">IFERROR(INDEX(DOCUMENTOS!$E:$E,MATCH($A115,DOCUMENTOS!$A:$A,0)),"")</f>
        <v/>
      </c>
      <c r="D115" s="11" t="str">
        <f t="array" ref="D115">IFERROR(INDEX('BANCO DE PERGUNTAS'!$D:$D,MATCH($B115,'BANCO DE PERGUNTAS'!$A:$A,0)),"")</f>
        <v>Liste as obrigações ou responsabilidades estabelecidas.</v>
      </c>
      <c r="E115" s="11" t="str">
        <f t="array" ref="E115">IFERROR(INDEX('BANCO DE PERGUNTAS'!$B:$B,MATCH($B115,'BANCO DE PERGUNTAS'!$A:$A,0)),"")</f>
        <v>Extração</v>
      </c>
      <c r="F115" s="12">
        <f t="array" ref="F115">IFERROR(INDEX('BANCO DE PERGUNTAS'!$H:$H,MATCH($B115,'BANCO DE PERGUNTAS'!$A:$A,0)),"")</f>
        <v>2</v>
      </c>
      <c r="I115" s="50"/>
      <c r="J115" s="50"/>
      <c r="K115" s="50"/>
      <c r="L115" s="50"/>
      <c r="M115" s="50"/>
      <c r="N115" s="50"/>
      <c r="O115" s="50"/>
      <c r="P115" s="50"/>
      <c r="Q115" s="50"/>
      <c r="R115" s="50"/>
      <c r="S115" s="50"/>
      <c r="U115" s="97" t="s">
        <v>2628</v>
      </c>
      <c r="W115" s="86">
        <v>2.0</v>
      </c>
      <c r="X115" s="86">
        <v>2.0</v>
      </c>
      <c r="Y115" s="86">
        <v>2.0</v>
      </c>
      <c r="Z115" s="86">
        <v>2.0</v>
      </c>
      <c r="AA115" s="86">
        <v>2.0</v>
      </c>
      <c r="AB115" s="86">
        <v>2.0</v>
      </c>
      <c r="AC115" s="86">
        <v>2.0</v>
      </c>
      <c r="AD115" s="87" t="s">
        <v>64</v>
      </c>
      <c r="AE115" s="87" t="s">
        <v>64</v>
      </c>
      <c r="AF115" s="87" t="s">
        <v>64</v>
      </c>
      <c r="AG115" s="50"/>
      <c r="AI115" s="102" t="s">
        <v>2629</v>
      </c>
      <c r="AK115" s="86">
        <v>1.0</v>
      </c>
      <c r="AL115" s="86">
        <v>1.0</v>
      </c>
      <c r="AM115" s="86">
        <v>1.0</v>
      </c>
      <c r="AN115" s="86">
        <v>2.0</v>
      </c>
      <c r="AO115" s="86">
        <v>2.0</v>
      </c>
      <c r="AP115" s="86">
        <v>1.0</v>
      </c>
      <c r="AQ115" s="86">
        <v>2.0</v>
      </c>
      <c r="AR115" s="87" t="s">
        <v>64</v>
      </c>
      <c r="AS115" s="87" t="s">
        <v>64</v>
      </c>
      <c r="AT115" s="87" t="s">
        <v>64</v>
      </c>
      <c r="AU115" s="50"/>
      <c r="AY115" s="50"/>
      <c r="AZ115" s="50"/>
      <c r="BA115" s="50"/>
      <c r="BB115" s="50"/>
      <c r="BC115" s="50"/>
      <c r="BD115" s="50"/>
      <c r="BE115" s="50"/>
      <c r="BF115" s="50"/>
      <c r="BG115" s="50"/>
      <c r="BH115" s="50"/>
      <c r="BI115" s="50"/>
      <c r="BK115" s="53" t="s">
        <v>2630</v>
      </c>
      <c r="BM115" s="86">
        <v>2.0</v>
      </c>
      <c r="BN115" s="86">
        <v>2.0</v>
      </c>
      <c r="BO115" s="86">
        <v>2.0</v>
      </c>
      <c r="BP115" s="86">
        <v>2.0</v>
      </c>
      <c r="BQ115" s="86">
        <v>2.0</v>
      </c>
      <c r="BR115" s="86">
        <v>2.0</v>
      </c>
      <c r="BS115" s="86">
        <v>2.0</v>
      </c>
      <c r="BT115" s="87" t="s">
        <v>64</v>
      </c>
      <c r="BU115" s="87" t="s">
        <v>64</v>
      </c>
      <c r="BV115" s="87" t="s">
        <v>64</v>
      </c>
      <c r="BW115" s="50"/>
      <c r="BY115" s="53" t="s">
        <v>2631</v>
      </c>
      <c r="CA115" s="86">
        <v>2.0</v>
      </c>
      <c r="CB115" s="86">
        <v>2.0</v>
      </c>
      <c r="CC115" s="86">
        <v>2.0</v>
      </c>
      <c r="CD115" s="86">
        <v>2.0</v>
      </c>
      <c r="CE115" s="86">
        <v>2.0</v>
      </c>
      <c r="CF115" s="86">
        <v>2.0</v>
      </c>
      <c r="CG115" s="86">
        <v>2.0</v>
      </c>
      <c r="CH115" s="87" t="s">
        <v>64</v>
      </c>
      <c r="CI115" s="87" t="s">
        <v>64</v>
      </c>
      <c r="CJ115" s="87" t="s">
        <v>64</v>
      </c>
      <c r="CK115" s="50"/>
      <c r="CO115" s="50"/>
      <c r="CP115" s="50"/>
      <c r="CQ115" s="50"/>
      <c r="CR115" s="50"/>
      <c r="CS115" s="50"/>
      <c r="CT115" s="50"/>
      <c r="CU115" s="50"/>
      <c r="CV115" s="50"/>
      <c r="CW115" s="50"/>
      <c r="CX115" s="50"/>
      <c r="CY115" s="50"/>
      <c r="DA115" s="53" t="s">
        <v>2632</v>
      </c>
      <c r="DC115" s="86">
        <v>2.0</v>
      </c>
      <c r="DD115" s="86">
        <v>2.0</v>
      </c>
      <c r="DE115" s="86">
        <v>2.0</v>
      </c>
      <c r="DF115" s="86">
        <v>2.0</v>
      </c>
      <c r="DG115" s="86">
        <v>2.0</v>
      </c>
      <c r="DH115" s="86">
        <v>2.0</v>
      </c>
      <c r="DI115" s="86">
        <v>2.0</v>
      </c>
      <c r="DJ115" s="87" t="s">
        <v>64</v>
      </c>
      <c r="DK115" s="87" t="s">
        <v>64</v>
      </c>
      <c r="DL115" s="87" t="s">
        <v>64</v>
      </c>
      <c r="DM115" s="50"/>
      <c r="DO115" s="59" t="s">
        <v>2633</v>
      </c>
      <c r="DQ115" s="86">
        <v>1.0</v>
      </c>
      <c r="DR115" s="86">
        <v>1.0</v>
      </c>
      <c r="DS115" s="86">
        <v>1.0</v>
      </c>
      <c r="DT115" s="86">
        <v>2.0</v>
      </c>
      <c r="DU115" s="86">
        <v>2.0</v>
      </c>
      <c r="DV115" s="86">
        <v>1.0</v>
      </c>
      <c r="DW115" s="86">
        <v>2.0</v>
      </c>
      <c r="DX115" s="87" t="s">
        <v>64</v>
      </c>
      <c r="DY115" s="87" t="s">
        <v>64</v>
      </c>
      <c r="DZ115" s="87" t="s">
        <v>64</v>
      </c>
      <c r="EA115" s="50"/>
    </row>
    <row r="116" ht="15.75" customHeight="1">
      <c r="A116" s="14">
        <v>14.0</v>
      </c>
      <c r="B116" s="14" t="s">
        <v>190</v>
      </c>
      <c r="C116" s="14" t="str">
        <f t="array" ref="C116">IFERROR(INDEX(DOCUMENTOS!$E:$E,MATCH($A116,DOCUMENTOS!$A:$A,0)),"")</f>
        <v/>
      </c>
      <c r="D116" s="14" t="str">
        <f t="array" ref="D116">IFERROR(INDEX('BANCO DE PERGUNTAS'!$D:$D,MATCH($B116,'BANCO DE PERGUNTAS'!$A:$A,0)),"")</f>
        <v>Explique o significado da cláusula/seção 4.1.4..</v>
      </c>
      <c r="E116" s="14" t="str">
        <f t="array" ref="E116">IFERROR(INDEX('BANCO DE PERGUNTAS'!$B:$B,MATCH($B116,'BANCO DE PERGUNTAS'!$A:$A,0)),"")</f>
        <v>Interpretação</v>
      </c>
      <c r="F116" s="17">
        <f t="array" ref="F116">IFERROR(INDEX('BANCO DE PERGUNTAS'!$H:$H,MATCH($B116,'BANCO DE PERGUNTAS'!$A:$A,0)),"")</f>
        <v>3</v>
      </c>
      <c r="I116" s="50"/>
      <c r="J116" s="50"/>
      <c r="K116" s="50"/>
      <c r="L116" s="50"/>
      <c r="M116" s="50"/>
      <c r="N116" s="50"/>
      <c r="O116" s="50"/>
      <c r="P116" s="50"/>
      <c r="Q116" s="50"/>
      <c r="R116" s="50"/>
      <c r="S116" s="50"/>
      <c r="U116" s="101" t="s">
        <v>2634</v>
      </c>
      <c r="W116" s="86">
        <v>2.0</v>
      </c>
      <c r="X116" s="86">
        <v>2.0</v>
      </c>
      <c r="Y116" s="86">
        <v>2.0</v>
      </c>
      <c r="Z116" s="86">
        <v>2.0</v>
      </c>
      <c r="AA116" s="86">
        <v>2.0</v>
      </c>
      <c r="AB116" s="86">
        <v>2.0</v>
      </c>
      <c r="AC116" s="86">
        <v>2.0</v>
      </c>
      <c r="AD116" s="87" t="s">
        <v>64</v>
      </c>
      <c r="AE116" s="87" t="s">
        <v>64</v>
      </c>
      <c r="AF116" s="87" t="s">
        <v>64</v>
      </c>
      <c r="AG116" s="50"/>
      <c r="AI116" s="102" t="s">
        <v>2635</v>
      </c>
      <c r="AK116" s="86">
        <v>2.0</v>
      </c>
      <c r="AL116" s="86">
        <v>2.0</v>
      </c>
      <c r="AM116" s="86">
        <v>2.0</v>
      </c>
      <c r="AN116" s="86">
        <v>2.0</v>
      </c>
      <c r="AO116" s="86">
        <v>2.0</v>
      </c>
      <c r="AP116" s="86">
        <v>2.0</v>
      </c>
      <c r="AQ116" s="86">
        <v>2.0</v>
      </c>
      <c r="AR116" s="87" t="s">
        <v>64</v>
      </c>
      <c r="AS116" s="87" t="s">
        <v>64</v>
      </c>
      <c r="AT116" s="87" t="s">
        <v>64</v>
      </c>
      <c r="AU116" s="50"/>
      <c r="AY116" s="50"/>
      <c r="AZ116" s="50"/>
      <c r="BA116" s="50"/>
      <c r="BB116" s="50"/>
      <c r="BC116" s="50"/>
      <c r="BD116" s="50"/>
      <c r="BE116" s="50"/>
      <c r="BF116" s="50"/>
      <c r="BG116" s="50"/>
      <c r="BH116" s="50"/>
      <c r="BI116" s="50"/>
      <c r="BK116" s="53" t="s">
        <v>2636</v>
      </c>
      <c r="BM116" s="86">
        <v>2.0</v>
      </c>
      <c r="BN116" s="86">
        <v>2.0</v>
      </c>
      <c r="BO116" s="86">
        <v>2.0</v>
      </c>
      <c r="BP116" s="86">
        <v>2.0</v>
      </c>
      <c r="BQ116" s="86">
        <v>2.0</v>
      </c>
      <c r="BR116" s="86">
        <v>2.0</v>
      </c>
      <c r="BS116" s="86">
        <v>2.0</v>
      </c>
      <c r="BT116" s="87" t="s">
        <v>64</v>
      </c>
      <c r="BU116" s="87" t="s">
        <v>64</v>
      </c>
      <c r="BV116" s="87" t="s">
        <v>64</v>
      </c>
      <c r="BW116" s="50"/>
      <c r="BY116" s="53" t="s">
        <v>2637</v>
      </c>
      <c r="CA116" s="86">
        <v>2.0</v>
      </c>
      <c r="CB116" s="86">
        <v>2.0</v>
      </c>
      <c r="CC116" s="86">
        <v>2.0</v>
      </c>
      <c r="CD116" s="86">
        <v>2.0</v>
      </c>
      <c r="CE116" s="86">
        <v>2.0</v>
      </c>
      <c r="CF116" s="86">
        <v>2.0</v>
      </c>
      <c r="CG116" s="86">
        <v>2.0</v>
      </c>
      <c r="CH116" s="87" t="s">
        <v>64</v>
      </c>
      <c r="CI116" s="87" t="s">
        <v>64</v>
      </c>
      <c r="CJ116" s="87" t="s">
        <v>64</v>
      </c>
      <c r="CK116" s="50"/>
      <c r="CO116" s="50"/>
      <c r="CP116" s="50"/>
      <c r="CQ116" s="50"/>
      <c r="CR116" s="50"/>
      <c r="CS116" s="50"/>
      <c r="CT116" s="50"/>
      <c r="CU116" s="50"/>
      <c r="CV116" s="50"/>
      <c r="CW116" s="50"/>
      <c r="CX116" s="50"/>
      <c r="CY116" s="50"/>
      <c r="DA116" s="53" t="s">
        <v>2638</v>
      </c>
      <c r="DC116" s="86">
        <v>2.0</v>
      </c>
      <c r="DD116" s="86">
        <v>2.0</v>
      </c>
      <c r="DE116" s="86">
        <v>2.0</v>
      </c>
      <c r="DF116" s="86">
        <v>2.0</v>
      </c>
      <c r="DG116" s="86">
        <v>2.0</v>
      </c>
      <c r="DH116" s="86">
        <v>2.0</v>
      </c>
      <c r="DI116" s="86">
        <v>2.0</v>
      </c>
      <c r="DJ116" s="87" t="s">
        <v>64</v>
      </c>
      <c r="DK116" s="87" t="s">
        <v>64</v>
      </c>
      <c r="DL116" s="87" t="s">
        <v>64</v>
      </c>
      <c r="DM116" s="50"/>
      <c r="DO116" s="59" t="s">
        <v>2639</v>
      </c>
      <c r="DQ116" s="86">
        <v>0.0</v>
      </c>
      <c r="DR116" s="86">
        <v>0.0</v>
      </c>
      <c r="DS116" s="86">
        <v>1.0</v>
      </c>
      <c r="DT116" s="86">
        <v>2.0</v>
      </c>
      <c r="DU116" s="86">
        <v>2.0</v>
      </c>
      <c r="DV116" s="86">
        <v>0.0</v>
      </c>
      <c r="DW116" s="86">
        <v>0.0</v>
      </c>
      <c r="DX116" s="87" t="s">
        <v>101</v>
      </c>
      <c r="DY116" s="87" t="s">
        <v>101</v>
      </c>
      <c r="DZ116" s="87" t="s">
        <v>101</v>
      </c>
      <c r="EA116" s="50" t="s">
        <v>326</v>
      </c>
    </row>
    <row r="117" ht="15.75" customHeight="1">
      <c r="A117" s="11">
        <v>14.0</v>
      </c>
      <c r="B117" s="11" t="s">
        <v>199</v>
      </c>
      <c r="C117" s="11" t="str">
        <f t="array" ref="C117">IFERROR(INDEX(DOCUMENTOS!$E:$E,MATCH($A117,DOCUMENTOS!$A:$A,0)),"")</f>
        <v/>
      </c>
      <c r="D117" s="11" t="str">
        <f t="array" ref="D117">IFERROR(INDEX('BANCO DE PERGUNTAS'!$D:$D,MATCH($B117,'BANCO DE PERGUNTAS'!$A:$A,0)),"")</f>
        <v>Qual é a finalidade administrativa deste documento?</v>
      </c>
      <c r="E117" s="11" t="str">
        <f t="array" ref="E117">IFERROR(INDEX('BANCO DE PERGUNTAS'!$B:$B,MATCH($B117,'BANCO DE PERGUNTAS'!$A:$A,0)),"")</f>
        <v>Interpretação</v>
      </c>
      <c r="F117" s="12">
        <f t="array" ref="F117">IFERROR(INDEX('BANCO DE PERGUNTAS'!$H:$H,MATCH($B117,'BANCO DE PERGUNTAS'!$A:$A,0)),"")</f>
        <v>3</v>
      </c>
      <c r="I117" s="50"/>
      <c r="J117" s="50"/>
      <c r="K117" s="50"/>
      <c r="L117" s="50"/>
      <c r="M117" s="50"/>
      <c r="N117" s="50"/>
      <c r="O117" s="50"/>
      <c r="P117" s="50"/>
      <c r="Q117" s="50"/>
      <c r="R117" s="50"/>
      <c r="S117" s="50"/>
      <c r="U117" s="97" t="s">
        <v>2640</v>
      </c>
      <c r="W117" s="86">
        <v>2.0</v>
      </c>
      <c r="X117" s="86">
        <v>2.0</v>
      </c>
      <c r="Y117" s="86">
        <v>2.0</v>
      </c>
      <c r="Z117" s="86">
        <v>2.0</v>
      </c>
      <c r="AA117" s="86">
        <v>2.0</v>
      </c>
      <c r="AB117" s="86">
        <v>2.0</v>
      </c>
      <c r="AC117" s="86">
        <v>2.0</v>
      </c>
      <c r="AD117" s="87" t="s">
        <v>64</v>
      </c>
      <c r="AE117" s="87" t="s">
        <v>64</v>
      </c>
      <c r="AF117" s="87" t="s">
        <v>64</v>
      </c>
      <c r="AG117" s="50"/>
      <c r="AI117" s="102" t="s">
        <v>2641</v>
      </c>
      <c r="AK117" s="86">
        <v>2.0</v>
      </c>
      <c r="AL117" s="86">
        <v>2.0</v>
      </c>
      <c r="AM117" s="86">
        <v>2.0</v>
      </c>
      <c r="AN117" s="86">
        <v>2.0</v>
      </c>
      <c r="AO117" s="86">
        <v>2.0</v>
      </c>
      <c r="AP117" s="86">
        <v>2.0</v>
      </c>
      <c r="AQ117" s="86">
        <v>2.0</v>
      </c>
      <c r="AR117" s="87" t="s">
        <v>64</v>
      </c>
      <c r="AS117" s="87" t="s">
        <v>64</v>
      </c>
      <c r="AT117" s="87" t="s">
        <v>64</v>
      </c>
      <c r="AU117" s="50"/>
      <c r="AY117" s="50"/>
      <c r="AZ117" s="50"/>
      <c r="BA117" s="50"/>
      <c r="BB117" s="50"/>
      <c r="BC117" s="50"/>
      <c r="BD117" s="50"/>
      <c r="BE117" s="50"/>
      <c r="BF117" s="50"/>
      <c r="BG117" s="50"/>
      <c r="BH117" s="50"/>
      <c r="BI117" s="50"/>
      <c r="BK117" s="53" t="s">
        <v>2642</v>
      </c>
      <c r="BM117" s="86">
        <v>2.0</v>
      </c>
      <c r="BN117" s="86">
        <v>2.0</v>
      </c>
      <c r="BO117" s="86">
        <v>2.0</v>
      </c>
      <c r="BP117" s="86">
        <v>2.0</v>
      </c>
      <c r="BQ117" s="86">
        <v>2.0</v>
      </c>
      <c r="BR117" s="86">
        <v>2.0</v>
      </c>
      <c r="BS117" s="86">
        <v>2.0</v>
      </c>
      <c r="BT117" s="87" t="s">
        <v>64</v>
      </c>
      <c r="BU117" s="87" t="s">
        <v>64</v>
      </c>
      <c r="BV117" s="87" t="s">
        <v>64</v>
      </c>
      <c r="BW117" s="50"/>
      <c r="BY117" s="53" t="s">
        <v>2643</v>
      </c>
      <c r="CA117" s="86">
        <v>2.0</v>
      </c>
      <c r="CB117" s="86">
        <v>2.0</v>
      </c>
      <c r="CC117" s="86">
        <v>2.0</v>
      </c>
      <c r="CD117" s="86">
        <v>2.0</v>
      </c>
      <c r="CE117" s="86">
        <v>2.0</v>
      </c>
      <c r="CF117" s="86">
        <v>2.0</v>
      </c>
      <c r="CG117" s="86">
        <v>2.0</v>
      </c>
      <c r="CH117" s="87" t="s">
        <v>64</v>
      </c>
      <c r="CI117" s="87" t="s">
        <v>64</v>
      </c>
      <c r="CJ117" s="87" t="s">
        <v>64</v>
      </c>
      <c r="CK117" s="50"/>
      <c r="CO117" s="50"/>
      <c r="CP117" s="50"/>
      <c r="CQ117" s="50"/>
      <c r="CR117" s="50"/>
      <c r="CS117" s="50"/>
      <c r="CT117" s="50"/>
      <c r="CU117" s="50"/>
      <c r="CV117" s="50"/>
      <c r="CW117" s="50"/>
      <c r="CX117" s="50"/>
      <c r="CY117" s="50"/>
      <c r="DA117" s="53" t="s">
        <v>2644</v>
      </c>
      <c r="DC117" s="86">
        <v>2.0</v>
      </c>
      <c r="DD117" s="86">
        <v>2.0</v>
      </c>
      <c r="DE117" s="86">
        <v>2.0</v>
      </c>
      <c r="DF117" s="86">
        <v>2.0</v>
      </c>
      <c r="DG117" s="86">
        <v>2.0</v>
      </c>
      <c r="DH117" s="86">
        <v>2.0</v>
      </c>
      <c r="DI117" s="86">
        <v>2.0</v>
      </c>
      <c r="DJ117" s="87" t="s">
        <v>64</v>
      </c>
      <c r="DK117" s="87" t="s">
        <v>64</v>
      </c>
      <c r="DL117" s="87" t="s">
        <v>64</v>
      </c>
      <c r="DM117" s="50"/>
      <c r="DO117" s="59" t="s">
        <v>2645</v>
      </c>
      <c r="DQ117" s="86">
        <v>1.0</v>
      </c>
      <c r="DR117" s="86">
        <v>1.0</v>
      </c>
      <c r="DS117" s="86">
        <v>1.0</v>
      </c>
      <c r="DT117" s="86">
        <v>2.0</v>
      </c>
      <c r="DU117" s="86">
        <v>2.0</v>
      </c>
      <c r="DV117" s="86">
        <v>1.0</v>
      </c>
      <c r="DW117" s="86">
        <v>2.0</v>
      </c>
      <c r="DX117" s="87" t="s">
        <v>64</v>
      </c>
      <c r="DY117" s="87" t="s">
        <v>64</v>
      </c>
      <c r="DZ117" s="87" t="s">
        <v>64</v>
      </c>
      <c r="EA117" s="50"/>
    </row>
    <row r="118" ht="15.75" customHeight="1">
      <c r="A118" s="14">
        <v>14.0</v>
      </c>
      <c r="B118" s="14" t="s">
        <v>203</v>
      </c>
      <c r="C118" s="14" t="str">
        <f t="array" ref="C118">IFERROR(INDEX(DOCUMENTOS!$E:$E,MATCH($A118,DOCUMENTOS!$A:$A,0)),"")</f>
        <v/>
      </c>
      <c r="D118" s="14" t="str">
        <f t="array" ref="D118">IFERROR(INDEX('BANCO DE PERGUNTAS'!$D:$D,MATCH($B118,'BANCO DE PERGUNTAS'!$A:$A,0)),"")</f>
        <v>Qual consequência decorre da informação estabelecida em 4.11?</v>
      </c>
      <c r="E118" s="14" t="str">
        <f t="array" ref="E118">IFERROR(INDEX('BANCO DE PERGUNTAS'!$B:$B,MATCH($B118,'BANCO DE PERGUNTAS'!$A:$A,0)),"")</f>
        <v>Interpretação</v>
      </c>
      <c r="F118" s="17">
        <f t="array" ref="F118">IFERROR(INDEX('BANCO DE PERGUNTAS'!$H:$H,MATCH($B118,'BANCO DE PERGUNTAS'!$A:$A,0)),"")</f>
        <v>3</v>
      </c>
      <c r="I118" s="50"/>
      <c r="J118" s="50"/>
      <c r="K118" s="50"/>
      <c r="L118" s="50"/>
      <c r="M118" s="50"/>
      <c r="N118" s="50"/>
      <c r="O118" s="50"/>
      <c r="P118" s="50"/>
      <c r="Q118" s="50"/>
      <c r="R118" s="50"/>
      <c r="S118" s="50"/>
      <c r="U118" s="101" t="s">
        <v>2646</v>
      </c>
      <c r="W118" s="86">
        <v>2.0</v>
      </c>
      <c r="X118" s="86">
        <v>2.0</v>
      </c>
      <c r="Y118" s="86">
        <v>2.0</v>
      </c>
      <c r="Z118" s="86">
        <v>2.0</v>
      </c>
      <c r="AA118" s="86">
        <v>2.0</v>
      </c>
      <c r="AB118" s="86">
        <v>2.0</v>
      </c>
      <c r="AC118" s="86">
        <v>2.0</v>
      </c>
      <c r="AD118" s="87" t="s">
        <v>64</v>
      </c>
      <c r="AE118" s="87" t="s">
        <v>64</v>
      </c>
      <c r="AF118" s="87" t="s">
        <v>64</v>
      </c>
      <c r="AG118" s="50"/>
      <c r="AI118" s="102" t="s">
        <v>2647</v>
      </c>
      <c r="AK118" s="86">
        <v>2.0</v>
      </c>
      <c r="AL118" s="86">
        <v>2.0</v>
      </c>
      <c r="AM118" s="86">
        <v>2.0</v>
      </c>
      <c r="AN118" s="86">
        <v>2.0</v>
      </c>
      <c r="AO118" s="86">
        <v>2.0</v>
      </c>
      <c r="AP118" s="86">
        <v>2.0</v>
      </c>
      <c r="AQ118" s="86">
        <v>2.0</v>
      </c>
      <c r="AR118" s="87" t="s">
        <v>64</v>
      </c>
      <c r="AS118" s="87" t="s">
        <v>64</v>
      </c>
      <c r="AT118" s="87" t="s">
        <v>64</v>
      </c>
      <c r="AU118" s="50"/>
      <c r="AY118" s="50"/>
      <c r="AZ118" s="50"/>
      <c r="BA118" s="50"/>
      <c r="BB118" s="50"/>
      <c r="BC118" s="50"/>
      <c r="BD118" s="50"/>
      <c r="BE118" s="50"/>
      <c r="BF118" s="50"/>
      <c r="BG118" s="50"/>
      <c r="BH118" s="50"/>
      <c r="BI118" s="50"/>
      <c r="BK118" s="53" t="s">
        <v>2648</v>
      </c>
      <c r="BM118" s="86">
        <v>2.0</v>
      </c>
      <c r="BN118" s="86">
        <v>2.0</v>
      </c>
      <c r="BO118" s="86">
        <v>2.0</v>
      </c>
      <c r="BP118" s="86">
        <v>2.0</v>
      </c>
      <c r="BQ118" s="86">
        <v>2.0</v>
      </c>
      <c r="BR118" s="86">
        <v>2.0</v>
      </c>
      <c r="BS118" s="86">
        <v>2.0</v>
      </c>
      <c r="BT118" s="87" t="s">
        <v>64</v>
      </c>
      <c r="BU118" s="87" t="s">
        <v>64</v>
      </c>
      <c r="BV118" s="87" t="s">
        <v>64</v>
      </c>
      <c r="BW118" s="50"/>
      <c r="BY118" s="53" t="s">
        <v>2649</v>
      </c>
      <c r="CA118" s="86">
        <v>2.0</v>
      </c>
      <c r="CB118" s="86">
        <v>2.0</v>
      </c>
      <c r="CC118" s="86">
        <v>2.0</v>
      </c>
      <c r="CD118" s="86">
        <v>2.0</v>
      </c>
      <c r="CE118" s="86">
        <v>2.0</v>
      </c>
      <c r="CF118" s="86">
        <v>2.0</v>
      </c>
      <c r="CG118" s="86">
        <v>2.0</v>
      </c>
      <c r="CH118" s="87" t="s">
        <v>64</v>
      </c>
      <c r="CI118" s="87" t="s">
        <v>64</v>
      </c>
      <c r="CJ118" s="87" t="s">
        <v>64</v>
      </c>
      <c r="CK118" s="50"/>
      <c r="CO118" s="50"/>
      <c r="CP118" s="50"/>
      <c r="CQ118" s="50"/>
      <c r="CR118" s="50"/>
      <c r="CS118" s="50"/>
      <c r="CT118" s="50"/>
      <c r="CU118" s="50"/>
      <c r="CV118" s="50"/>
      <c r="CW118" s="50"/>
      <c r="CX118" s="50"/>
      <c r="CY118" s="50"/>
      <c r="DA118" s="53" t="s">
        <v>2650</v>
      </c>
      <c r="DC118" s="86">
        <v>2.0</v>
      </c>
      <c r="DD118" s="86">
        <v>2.0</v>
      </c>
      <c r="DE118" s="86">
        <v>2.0</v>
      </c>
      <c r="DF118" s="86">
        <v>2.0</v>
      </c>
      <c r="DG118" s="86">
        <v>2.0</v>
      </c>
      <c r="DH118" s="86">
        <v>2.0</v>
      </c>
      <c r="DI118" s="86">
        <v>2.0</v>
      </c>
      <c r="DJ118" s="87" t="s">
        <v>64</v>
      </c>
      <c r="DK118" s="87" t="s">
        <v>64</v>
      </c>
      <c r="DL118" s="87" t="s">
        <v>64</v>
      </c>
      <c r="DM118" s="50"/>
      <c r="DO118" s="59" t="s">
        <v>2651</v>
      </c>
      <c r="DQ118" s="86">
        <v>2.0</v>
      </c>
      <c r="DR118" s="86">
        <v>2.0</v>
      </c>
      <c r="DS118" s="86">
        <v>2.0</v>
      </c>
      <c r="DT118" s="86">
        <v>2.0</v>
      </c>
      <c r="DU118" s="86">
        <v>2.0</v>
      </c>
      <c r="DV118" s="86">
        <v>2.0</v>
      </c>
      <c r="DW118" s="86">
        <v>2.0</v>
      </c>
      <c r="DX118" s="87" t="s">
        <v>64</v>
      </c>
      <c r="DY118" s="87" t="s">
        <v>64</v>
      </c>
      <c r="DZ118" s="87" t="s">
        <v>64</v>
      </c>
      <c r="EA118" s="50"/>
    </row>
    <row r="119" ht="15.75" customHeight="1">
      <c r="A119" s="11">
        <v>14.0</v>
      </c>
      <c r="B119" s="11" t="s">
        <v>208</v>
      </c>
      <c r="C119" s="11" t="str">
        <f t="array" ref="C119">IFERROR(INDEX(DOCUMENTOS!$E:$E,MATCH($A119,DOCUMENTOS!$A:$A,0)),"")</f>
        <v/>
      </c>
      <c r="D119" s="11" t="str">
        <f t="array" ref="D119">IFERROR(INDEX('BANCO DE PERGUNTAS'!$D:$D,MATCH($B119,'BANCO DE PERGUNTAS'!$A:$A,0)),"")</f>
        <v>Existem informações aparentemente inconsistentes dentro do documento?</v>
      </c>
      <c r="E119" s="11" t="str">
        <f t="array" ref="E119">IFERROR(INDEX('BANCO DE PERGUNTAS'!$B:$B,MATCH($B119,'BANCO DE PERGUNTAS'!$A:$A,0)),"")</f>
        <v>Identificação de Inconsistências</v>
      </c>
      <c r="F119" s="12">
        <f t="array" ref="F119">IFERROR(INDEX('BANCO DE PERGUNTAS'!$H:$H,MATCH($B119,'BANCO DE PERGUNTAS'!$A:$A,0)),"")</f>
        <v>4</v>
      </c>
      <c r="I119" s="50"/>
      <c r="J119" s="50"/>
      <c r="K119" s="50"/>
      <c r="L119" s="50"/>
      <c r="M119" s="50"/>
      <c r="N119" s="50"/>
      <c r="O119" s="50"/>
      <c r="P119" s="50"/>
      <c r="Q119" s="50"/>
      <c r="R119" s="50"/>
      <c r="S119" s="50"/>
      <c r="U119" s="97" t="s">
        <v>2652</v>
      </c>
      <c r="W119" s="86">
        <v>2.0</v>
      </c>
      <c r="X119" s="86">
        <v>2.0</v>
      </c>
      <c r="Y119" s="86">
        <v>2.0</v>
      </c>
      <c r="Z119" s="86">
        <v>2.0</v>
      </c>
      <c r="AA119" s="86">
        <v>2.0</v>
      </c>
      <c r="AB119" s="86">
        <v>2.0</v>
      </c>
      <c r="AC119" s="86">
        <v>2.0</v>
      </c>
      <c r="AD119" s="87" t="s">
        <v>64</v>
      </c>
      <c r="AE119" s="87" t="s">
        <v>64</v>
      </c>
      <c r="AF119" s="87" t="s">
        <v>64</v>
      </c>
      <c r="AG119" s="50"/>
      <c r="AI119" s="102" t="s">
        <v>2653</v>
      </c>
      <c r="AK119" s="86">
        <v>2.0</v>
      </c>
      <c r="AL119" s="86">
        <v>2.0</v>
      </c>
      <c r="AM119" s="86">
        <v>2.0</v>
      </c>
      <c r="AN119" s="86">
        <v>2.0</v>
      </c>
      <c r="AO119" s="86">
        <v>2.0</v>
      </c>
      <c r="AP119" s="86">
        <v>2.0</v>
      </c>
      <c r="AQ119" s="86">
        <v>2.0</v>
      </c>
      <c r="AR119" s="87" t="s">
        <v>64</v>
      </c>
      <c r="AS119" s="87" t="s">
        <v>64</v>
      </c>
      <c r="AT119" s="87" t="s">
        <v>64</v>
      </c>
      <c r="AU119" s="50"/>
      <c r="AY119" s="50"/>
      <c r="AZ119" s="50"/>
      <c r="BA119" s="50"/>
      <c r="BB119" s="50"/>
      <c r="BC119" s="50"/>
      <c r="BD119" s="50"/>
      <c r="BE119" s="50"/>
      <c r="BF119" s="50"/>
      <c r="BG119" s="50"/>
      <c r="BH119" s="50"/>
      <c r="BI119" s="50"/>
      <c r="BK119" s="53" t="s">
        <v>2654</v>
      </c>
      <c r="BM119" s="86">
        <v>2.0</v>
      </c>
      <c r="BN119" s="86">
        <v>2.0</v>
      </c>
      <c r="BO119" s="86">
        <v>2.0</v>
      </c>
      <c r="BP119" s="86">
        <v>2.0</v>
      </c>
      <c r="BQ119" s="86">
        <v>2.0</v>
      </c>
      <c r="BR119" s="86">
        <v>2.0</v>
      </c>
      <c r="BS119" s="86">
        <v>2.0</v>
      </c>
      <c r="BT119" s="87" t="s">
        <v>64</v>
      </c>
      <c r="BU119" s="87" t="s">
        <v>64</v>
      </c>
      <c r="BV119" s="87" t="s">
        <v>64</v>
      </c>
      <c r="BW119" s="50"/>
      <c r="BY119" s="53" t="s">
        <v>2655</v>
      </c>
      <c r="CA119" s="86">
        <v>2.0</v>
      </c>
      <c r="CB119" s="86">
        <v>2.0</v>
      </c>
      <c r="CC119" s="86">
        <v>2.0</v>
      </c>
      <c r="CD119" s="86">
        <v>2.0</v>
      </c>
      <c r="CE119" s="86">
        <v>2.0</v>
      </c>
      <c r="CF119" s="86">
        <v>2.0</v>
      </c>
      <c r="CG119" s="86">
        <v>2.0</v>
      </c>
      <c r="CH119" s="87" t="s">
        <v>64</v>
      </c>
      <c r="CI119" s="87" t="s">
        <v>64</v>
      </c>
      <c r="CJ119" s="87" t="s">
        <v>64</v>
      </c>
      <c r="CK119" s="50"/>
      <c r="CO119" s="50"/>
      <c r="CP119" s="50"/>
      <c r="CQ119" s="50"/>
      <c r="CR119" s="50"/>
      <c r="CS119" s="50"/>
      <c r="CT119" s="50"/>
      <c r="CU119" s="50"/>
      <c r="CV119" s="50"/>
      <c r="CW119" s="50"/>
      <c r="CX119" s="50"/>
      <c r="CY119" s="50"/>
      <c r="DA119" s="53" t="s">
        <v>2656</v>
      </c>
      <c r="DC119" s="86">
        <v>2.0</v>
      </c>
      <c r="DD119" s="86">
        <v>2.0</v>
      </c>
      <c r="DE119" s="86">
        <v>2.0</v>
      </c>
      <c r="DF119" s="86">
        <v>2.0</v>
      </c>
      <c r="DG119" s="86">
        <v>2.0</v>
      </c>
      <c r="DH119" s="86">
        <v>2.0</v>
      </c>
      <c r="DI119" s="86">
        <v>2.0</v>
      </c>
      <c r="DJ119" s="87" t="s">
        <v>64</v>
      </c>
      <c r="DK119" s="87" t="s">
        <v>64</v>
      </c>
      <c r="DL119" s="87" t="s">
        <v>64</v>
      </c>
      <c r="DM119" s="50"/>
      <c r="DO119" s="59" t="s">
        <v>2657</v>
      </c>
      <c r="DQ119" s="86">
        <v>0.0</v>
      </c>
      <c r="DR119" s="86">
        <v>0.0</v>
      </c>
      <c r="DS119" s="86">
        <v>1.0</v>
      </c>
      <c r="DT119" s="86">
        <v>2.0</v>
      </c>
      <c r="DU119" s="86">
        <v>2.0</v>
      </c>
      <c r="DV119" s="86">
        <v>0.0</v>
      </c>
      <c r="DW119" s="86">
        <v>0.0</v>
      </c>
      <c r="DX119" s="87" t="s">
        <v>64</v>
      </c>
      <c r="DY119" s="87" t="s">
        <v>101</v>
      </c>
      <c r="DZ119" s="87" t="s">
        <v>101</v>
      </c>
      <c r="EA119" s="50" t="s">
        <v>447</v>
      </c>
    </row>
    <row r="120" ht="15.75" customHeight="1">
      <c r="A120" s="14">
        <v>14.0</v>
      </c>
      <c r="B120" s="14" t="s">
        <v>215</v>
      </c>
      <c r="C120" s="14" t="str">
        <f t="array" ref="C120">IFERROR(INDEX(DOCUMENTOS!$E:$E,MATCH($A120,DOCUMENTOS!$A:$A,0)),"")</f>
        <v/>
      </c>
      <c r="D120" s="14" t="str">
        <f t="array" ref="D120">IFERROR(INDEX('BANCO DE PERGUNTAS'!$D:$D,MATCH($B120,'BANCO DE PERGUNTAS'!$A:$A,0)),"")</f>
        <v>Existem valores, datas, números ou informações aparentemente incompatíveis?</v>
      </c>
      <c r="E120" s="14" t="str">
        <f t="array" ref="E120">IFERROR(INDEX('BANCO DE PERGUNTAS'!$B:$B,MATCH($B120,'BANCO DE PERGUNTAS'!$A:$A,0)),"")</f>
        <v>Identificação de Inconsistências</v>
      </c>
      <c r="F120" s="17">
        <f t="array" ref="F120">IFERROR(INDEX('BANCO DE PERGUNTAS'!$H:$H,MATCH($B120,'BANCO DE PERGUNTAS'!$A:$A,0)),"")</f>
        <v>4</v>
      </c>
      <c r="I120" s="50"/>
      <c r="J120" s="50"/>
      <c r="K120" s="50"/>
      <c r="L120" s="50"/>
      <c r="M120" s="50"/>
      <c r="N120" s="50"/>
      <c r="O120" s="50"/>
      <c r="P120" s="50"/>
      <c r="Q120" s="50"/>
      <c r="R120" s="50"/>
      <c r="S120" s="50"/>
      <c r="U120" s="101" t="s">
        <v>2658</v>
      </c>
      <c r="W120" s="86">
        <v>2.0</v>
      </c>
      <c r="X120" s="86">
        <v>2.0</v>
      </c>
      <c r="Y120" s="86">
        <v>2.0</v>
      </c>
      <c r="Z120" s="86">
        <v>2.0</v>
      </c>
      <c r="AA120" s="86">
        <v>2.0</v>
      </c>
      <c r="AB120" s="86">
        <v>2.0</v>
      </c>
      <c r="AC120" s="86">
        <v>2.0</v>
      </c>
      <c r="AD120" s="87" t="s">
        <v>64</v>
      </c>
      <c r="AE120" s="87" t="s">
        <v>64</v>
      </c>
      <c r="AF120" s="87" t="s">
        <v>64</v>
      </c>
      <c r="AG120" s="50"/>
      <c r="AI120" s="102" t="s">
        <v>2659</v>
      </c>
      <c r="AK120" s="86">
        <v>2.0</v>
      </c>
      <c r="AL120" s="86">
        <v>2.0</v>
      </c>
      <c r="AM120" s="86">
        <v>2.0</v>
      </c>
      <c r="AN120" s="86">
        <v>2.0</v>
      </c>
      <c r="AO120" s="86">
        <v>2.0</v>
      </c>
      <c r="AP120" s="86">
        <v>2.0</v>
      </c>
      <c r="AQ120" s="86">
        <v>2.0</v>
      </c>
      <c r="AR120" s="87" t="s">
        <v>64</v>
      </c>
      <c r="AS120" s="87" t="s">
        <v>64</v>
      </c>
      <c r="AT120" s="87" t="s">
        <v>64</v>
      </c>
      <c r="AU120" s="50"/>
      <c r="AY120" s="50"/>
      <c r="AZ120" s="50"/>
      <c r="BA120" s="50"/>
      <c r="BB120" s="50"/>
      <c r="BC120" s="50"/>
      <c r="BD120" s="50"/>
      <c r="BE120" s="50"/>
      <c r="BF120" s="50"/>
      <c r="BG120" s="50"/>
      <c r="BH120" s="50"/>
      <c r="BI120" s="50"/>
      <c r="BK120" s="53" t="s">
        <v>2660</v>
      </c>
      <c r="BM120" s="86">
        <v>2.0</v>
      </c>
      <c r="BN120" s="86">
        <v>2.0</v>
      </c>
      <c r="BO120" s="86">
        <v>2.0</v>
      </c>
      <c r="BP120" s="86">
        <v>2.0</v>
      </c>
      <c r="BQ120" s="86">
        <v>2.0</v>
      </c>
      <c r="BR120" s="86">
        <v>2.0</v>
      </c>
      <c r="BS120" s="86">
        <v>2.0</v>
      </c>
      <c r="BT120" s="87" t="s">
        <v>64</v>
      </c>
      <c r="BU120" s="87" t="s">
        <v>64</v>
      </c>
      <c r="BV120" s="87" t="s">
        <v>64</v>
      </c>
      <c r="BW120" s="50"/>
      <c r="BY120" s="53" t="s">
        <v>2661</v>
      </c>
      <c r="CA120" s="86">
        <v>2.0</v>
      </c>
      <c r="CB120" s="86">
        <v>2.0</v>
      </c>
      <c r="CC120" s="86">
        <v>2.0</v>
      </c>
      <c r="CD120" s="86">
        <v>2.0</v>
      </c>
      <c r="CE120" s="86">
        <v>2.0</v>
      </c>
      <c r="CF120" s="86">
        <v>2.0</v>
      </c>
      <c r="CG120" s="86">
        <v>2.0</v>
      </c>
      <c r="CH120" s="87" t="s">
        <v>64</v>
      </c>
      <c r="CI120" s="87" t="s">
        <v>64</v>
      </c>
      <c r="CJ120" s="87" t="s">
        <v>64</v>
      </c>
      <c r="CK120" s="50"/>
      <c r="CO120" s="50"/>
      <c r="CP120" s="50"/>
      <c r="CQ120" s="50"/>
      <c r="CR120" s="50"/>
      <c r="CS120" s="50"/>
      <c r="CT120" s="50"/>
      <c r="CU120" s="50"/>
      <c r="CV120" s="50"/>
      <c r="CW120" s="50"/>
      <c r="CX120" s="50"/>
      <c r="CY120" s="50"/>
      <c r="DA120" s="53" t="s">
        <v>2662</v>
      </c>
      <c r="DC120" s="86">
        <v>2.0</v>
      </c>
      <c r="DD120" s="86">
        <v>2.0</v>
      </c>
      <c r="DE120" s="86">
        <v>1.0</v>
      </c>
      <c r="DF120" s="86">
        <v>2.0</v>
      </c>
      <c r="DG120" s="86">
        <v>2.0</v>
      </c>
      <c r="DH120" s="86">
        <v>1.0</v>
      </c>
      <c r="DI120" s="86">
        <v>2.0</v>
      </c>
      <c r="DJ120" s="87" t="s">
        <v>64</v>
      </c>
      <c r="DK120" s="87" t="s">
        <v>64</v>
      </c>
      <c r="DL120" s="87" t="s">
        <v>64</v>
      </c>
      <c r="DM120" s="50"/>
      <c r="DO120" s="59" t="s">
        <v>2663</v>
      </c>
      <c r="DQ120" s="86">
        <v>2.0</v>
      </c>
      <c r="DR120" s="86">
        <v>2.0</v>
      </c>
      <c r="DS120" s="86">
        <v>1.0</v>
      </c>
      <c r="DT120" s="86">
        <v>2.0</v>
      </c>
      <c r="DU120" s="86">
        <v>2.0</v>
      </c>
      <c r="DV120" s="86">
        <v>1.0</v>
      </c>
      <c r="DW120" s="86">
        <v>2.0</v>
      </c>
      <c r="DX120" s="87" t="s">
        <v>64</v>
      </c>
      <c r="DY120" s="87" t="s">
        <v>64</v>
      </c>
      <c r="DZ120" s="87" t="s">
        <v>64</v>
      </c>
      <c r="EA120" s="50"/>
    </row>
    <row r="121" ht="15.75" customHeight="1">
      <c r="A121" s="11">
        <v>14.0</v>
      </c>
      <c r="B121" s="11" t="s">
        <v>219</v>
      </c>
      <c r="C121" s="11" t="str">
        <f t="array" ref="C121">IFERROR(INDEX(DOCUMENTOS!$E:$E,MATCH($A121,DOCUMENTOS!$A:$A,0)),"")</f>
        <v/>
      </c>
      <c r="D121" s="11" t="str">
        <f t="array" ref="D121">IFERROR(INDEX('BANCO DE PERGUNTAS'!$D:$D,MATCH($B121,'BANCO DE PERGUNTAS'!$A:$A,0)),"")</f>
        <v>Existem informações relevantes ausentes?</v>
      </c>
      <c r="E121" s="11" t="str">
        <f t="array" ref="E121">IFERROR(INDEX('BANCO DE PERGUNTAS'!$B:$B,MATCH($B121,'BANCO DE PERGUNTAS'!$A:$A,0)),"")</f>
        <v>Identificação de Omissões</v>
      </c>
      <c r="F121" s="12">
        <f t="array" ref="F121">IFERROR(INDEX('BANCO DE PERGUNTAS'!$H:$H,MATCH($B121,'BANCO DE PERGUNTAS'!$A:$A,0)),"")</f>
        <v>4</v>
      </c>
      <c r="I121" s="50"/>
      <c r="J121" s="50"/>
      <c r="K121" s="50"/>
      <c r="L121" s="50"/>
      <c r="M121" s="50"/>
      <c r="N121" s="50"/>
      <c r="O121" s="50"/>
      <c r="P121" s="50"/>
      <c r="Q121" s="50"/>
      <c r="R121" s="50"/>
      <c r="S121" s="50"/>
      <c r="U121" s="97" t="s">
        <v>2664</v>
      </c>
      <c r="W121" s="86">
        <v>2.0</v>
      </c>
      <c r="X121" s="86">
        <v>2.0</v>
      </c>
      <c r="Y121" s="86">
        <v>2.0</v>
      </c>
      <c r="Z121" s="86">
        <v>2.0</v>
      </c>
      <c r="AA121" s="86">
        <v>2.0</v>
      </c>
      <c r="AB121" s="86">
        <v>2.0</v>
      </c>
      <c r="AC121" s="86">
        <v>2.0</v>
      </c>
      <c r="AD121" s="87" t="s">
        <v>64</v>
      </c>
      <c r="AE121" s="87" t="s">
        <v>64</v>
      </c>
      <c r="AF121" s="87" t="s">
        <v>64</v>
      </c>
      <c r="AG121" s="50"/>
      <c r="AI121" s="102" t="s">
        <v>2665</v>
      </c>
      <c r="AK121" s="86">
        <v>2.0</v>
      </c>
      <c r="AL121" s="86">
        <v>2.0</v>
      </c>
      <c r="AM121" s="86">
        <v>2.0</v>
      </c>
      <c r="AN121" s="86">
        <v>2.0</v>
      </c>
      <c r="AO121" s="86">
        <v>2.0</v>
      </c>
      <c r="AP121" s="86">
        <v>2.0</v>
      </c>
      <c r="AQ121" s="86">
        <v>2.0</v>
      </c>
      <c r="AR121" s="87" t="s">
        <v>64</v>
      </c>
      <c r="AS121" s="87" t="s">
        <v>64</v>
      </c>
      <c r="AT121" s="87" t="s">
        <v>64</v>
      </c>
      <c r="AU121" s="50"/>
      <c r="AY121" s="50"/>
      <c r="AZ121" s="50"/>
      <c r="BA121" s="50"/>
      <c r="BB121" s="50"/>
      <c r="BC121" s="50"/>
      <c r="BD121" s="50"/>
      <c r="BE121" s="50"/>
      <c r="BF121" s="50"/>
      <c r="BG121" s="50"/>
      <c r="BH121" s="50"/>
      <c r="BI121" s="50"/>
      <c r="BK121" s="53" t="s">
        <v>2666</v>
      </c>
      <c r="BM121" s="86">
        <v>2.0</v>
      </c>
      <c r="BN121" s="86">
        <v>2.0</v>
      </c>
      <c r="BO121" s="86">
        <v>2.0</v>
      </c>
      <c r="BP121" s="86">
        <v>2.0</v>
      </c>
      <c r="BQ121" s="86">
        <v>2.0</v>
      </c>
      <c r="BR121" s="86">
        <v>2.0</v>
      </c>
      <c r="BS121" s="86">
        <v>2.0</v>
      </c>
      <c r="BT121" s="87" t="s">
        <v>64</v>
      </c>
      <c r="BU121" s="87" t="s">
        <v>64</v>
      </c>
      <c r="BV121" s="87" t="s">
        <v>64</v>
      </c>
      <c r="BW121" s="50"/>
      <c r="BY121" s="53" t="s">
        <v>2667</v>
      </c>
      <c r="CA121" s="86">
        <v>2.0</v>
      </c>
      <c r="CB121" s="86">
        <v>2.0</v>
      </c>
      <c r="CC121" s="86">
        <v>2.0</v>
      </c>
      <c r="CD121" s="86">
        <v>2.0</v>
      </c>
      <c r="CE121" s="86">
        <v>2.0</v>
      </c>
      <c r="CF121" s="86">
        <v>2.0</v>
      </c>
      <c r="CG121" s="86">
        <v>2.0</v>
      </c>
      <c r="CH121" s="87" t="s">
        <v>64</v>
      </c>
      <c r="CI121" s="87" t="s">
        <v>64</v>
      </c>
      <c r="CJ121" s="87" t="s">
        <v>64</v>
      </c>
      <c r="CK121" s="50"/>
      <c r="CO121" s="50"/>
      <c r="CP121" s="50"/>
      <c r="CQ121" s="50"/>
      <c r="CR121" s="50"/>
      <c r="CS121" s="50"/>
      <c r="CT121" s="50"/>
      <c r="CU121" s="50"/>
      <c r="CV121" s="50"/>
      <c r="CW121" s="50"/>
      <c r="CX121" s="50"/>
      <c r="CY121" s="50"/>
      <c r="DA121" s="53" t="s">
        <v>2668</v>
      </c>
      <c r="DC121" s="86">
        <v>2.0</v>
      </c>
      <c r="DD121" s="86">
        <v>2.0</v>
      </c>
      <c r="DE121" s="86">
        <v>2.0</v>
      </c>
      <c r="DF121" s="86">
        <v>2.0</v>
      </c>
      <c r="DG121" s="86">
        <v>2.0</v>
      </c>
      <c r="DH121" s="86">
        <v>2.0</v>
      </c>
      <c r="DI121" s="86">
        <v>2.0</v>
      </c>
      <c r="DJ121" s="87" t="s">
        <v>64</v>
      </c>
      <c r="DK121" s="87" t="s">
        <v>64</v>
      </c>
      <c r="DL121" s="87" t="s">
        <v>64</v>
      </c>
      <c r="DM121" s="50"/>
      <c r="DO121" s="59" t="s">
        <v>2669</v>
      </c>
      <c r="DQ121" s="86">
        <v>2.0</v>
      </c>
      <c r="DR121" s="86">
        <v>2.0</v>
      </c>
      <c r="DS121" s="86">
        <v>1.0</v>
      </c>
      <c r="DT121" s="86">
        <v>2.0</v>
      </c>
      <c r="DU121" s="86">
        <v>2.0</v>
      </c>
      <c r="DV121" s="86">
        <v>1.0</v>
      </c>
      <c r="DW121" s="86">
        <v>2.0</v>
      </c>
      <c r="DX121" s="87" t="s">
        <v>64</v>
      </c>
      <c r="DY121" s="87" t="s">
        <v>64</v>
      </c>
      <c r="DZ121" s="87" t="s">
        <v>64</v>
      </c>
      <c r="EA121" s="50"/>
    </row>
    <row r="122" ht="15.75" customHeight="1">
      <c r="A122" s="14">
        <v>14.0</v>
      </c>
      <c r="B122" s="14" t="s">
        <v>226</v>
      </c>
      <c r="C122" s="14" t="str">
        <f t="array" ref="C122">IFERROR(INDEX(DOCUMENTOS!$E:$E,MATCH($A122,DOCUMENTOS!$A:$A,0)),"")</f>
        <v/>
      </c>
      <c r="D122" s="14" t="str">
        <f t="array" ref="D122">IFERROR(INDEX('BANCO DE PERGUNTAS'!$D:$D,MATCH($B122,'BANCO DE PERGUNTAS'!$A:$A,0)),"")</f>
        <v>Identifique possíveis erros materiais no documento.</v>
      </c>
      <c r="E122" s="14" t="str">
        <f t="array" ref="E122">IFERROR(INDEX('BANCO DE PERGUNTAS'!$B:$B,MATCH($B122,'BANCO DE PERGUNTAS'!$A:$A,0)),"")</f>
        <v>Detecção de Erros</v>
      </c>
      <c r="F122" s="17">
        <f t="array" ref="F122">IFERROR(INDEX('BANCO DE PERGUNTAS'!$H:$H,MATCH($B122,'BANCO DE PERGUNTAS'!$A:$A,0)),"")</f>
        <v>4</v>
      </c>
      <c r="I122" s="50"/>
      <c r="J122" s="50"/>
      <c r="K122" s="50"/>
      <c r="L122" s="50"/>
      <c r="M122" s="50"/>
      <c r="N122" s="50"/>
      <c r="O122" s="50"/>
      <c r="P122" s="50"/>
      <c r="Q122" s="50"/>
      <c r="R122" s="50"/>
      <c r="S122" s="50"/>
      <c r="U122" s="101" t="s">
        <v>2670</v>
      </c>
      <c r="W122" s="86">
        <v>2.0</v>
      </c>
      <c r="X122" s="86">
        <v>2.0</v>
      </c>
      <c r="Y122" s="86">
        <v>2.0</v>
      </c>
      <c r="Z122" s="86">
        <v>2.0</v>
      </c>
      <c r="AA122" s="86">
        <v>2.0</v>
      </c>
      <c r="AB122" s="86">
        <v>2.0</v>
      </c>
      <c r="AC122" s="86">
        <v>2.0</v>
      </c>
      <c r="AD122" s="87" t="s">
        <v>64</v>
      </c>
      <c r="AE122" s="87" t="s">
        <v>64</v>
      </c>
      <c r="AF122" s="87" t="s">
        <v>64</v>
      </c>
      <c r="AG122" s="50"/>
      <c r="AI122" s="102" t="s">
        <v>2671</v>
      </c>
      <c r="AK122" s="86">
        <v>2.0</v>
      </c>
      <c r="AL122" s="86">
        <v>2.0</v>
      </c>
      <c r="AM122" s="86">
        <v>2.0</v>
      </c>
      <c r="AN122" s="86">
        <v>2.0</v>
      </c>
      <c r="AO122" s="86">
        <v>2.0</v>
      </c>
      <c r="AP122" s="86">
        <v>2.0</v>
      </c>
      <c r="AQ122" s="86">
        <v>2.0</v>
      </c>
      <c r="AR122" s="87" t="s">
        <v>64</v>
      </c>
      <c r="AS122" s="87" t="s">
        <v>64</v>
      </c>
      <c r="AT122" s="87" t="s">
        <v>64</v>
      </c>
      <c r="AU122" s="50"/>
      <c r="AY122" s="50"/>
      <c r="AZ122" s="50"/>
      <c r="BA122" s="50"/>
      <c r="BB122" s="50"/>
      <c r="BC122" s="50"/>
      <c r="BD122" s="50"/>
      <c r="BE122" s="50"/>
      <c r="BF122" s="50"/>
      <c r="BG122" s="50"/>
      <c r="BH122" s="50"/>
      <c r="BI122" s="50"/>
      <c r="BK122" s="53" t="s">
        <v>2672</v>
      </c>
      <c r="BM122" s="86">
        <v>2.0</v>
      </c>
      <c r="BN122" s="86">
        <v>2.0</v>
      </c>
      <c r="BO122" s="86">
        <v>2.0</v>
      </c>
      <c r="BP122" s="86">
        <v>2.0</v>
      </c>
      <c r="BQ122" s="86">
        <v>2.0</v>
      </c>
      <c r="BR122" s="86">
        <v>2.0</v>
      </c>
      <c r="BS122" s="86">
        <v>2.0</v>
      </c>
      <c r="BT122" s="87" t="s">
        <v>64</v>
      </c>
      <c r="BU122" s="87" t="s">
        <v>64</v>
      </c>
      <c r="BV122" s="87" t="s">
        <v>64</v>
      </c>
      <c r="BW122" s="50"/>
      <c r="BY122" s="53" t="s">
        <v>2673</v>
      </c>
      <c r="CA122" s="86">
        <v>2.0</v>
      </c>
      <c r="CB122" s="86">
        <v>2.0</v>
      </c>
      <c r="CC122" s="86">
        <v>2.0</v>
      </c>
      <c r="CD122" s="86">
        <v>2.0</v>
      </c>
      <c r="CE122" s="86">
        <v>2.0</v>
      </c>
      <c r="CF122" s="86">
        <v>2.0</v>
      </c>
      <c r="CG122" s="86">
        <v>2.0</v>
      </c>
      <c r="CH122" s="87" t="s">
        <v>64</v>
      </c>
      <c r="CI122" s="87" t="s">
        <v>64</v>
      </c>
      <c r="CJ122" s="87" t="s">
        <v>64</v>
      </c>
      <c r="CK122" s="50"/>
      <c r="CO122" s="50"/>
      <c r="CP122" s="50"/>
      <c r="CQ122" s="50"/>
      <c r="CR122" s="50"/>
      <c r="CS122" s="50"/>
      <c r="CT122" s="50"/>
      <c r="CU122" s="50"/>
      <c r="CV122" s="50"/>
      <c r="CW122" s="50"/>
      <c r="CX122" s="50"/>
      <c r="CY122" s="50"/>
      <c r="DA122" s="53" t="s">
        <v>2674</v>
      </c>
      <c r="DC122" s="86">
        <v>2.0</v>
      </c>
      <c r="DD122" s="86">
        <v>2.0</v>
      </c>
      <c r="DE122" s="86">
        <v>2.0</v>
      </c>
      <c r="DF122" s="86">
        <v>2.0</v>
      </c>
      <c r="DG122" s="86">
        <v>2.0</v>
      </c>
      <c r="DH122" s="86">
        <v>2.0</v>
      </c>
      <c r="DI122" s="86">
        <v>2.0</v>
      </c>
      <c r="DJ122" s="87" t="s">
        <v>64</v>
      </c>
      <c r="DK122" s="87" t="s">
        <v>64</v>
      </c>
      <c r="DL122" s="87" t="s">
        <v>64</v>
      </c>
      <c r="DM122" s="50"/>
      <c r="DO122" s="59" t="s">
        <v>2675</v>
      </c>
      <c r="DQ122" s="86">
        <v>2.0</v>
      </c>
      <c r="DR122" s="86">
        <v>2.0</v>
      </c>
      <c r="DS122" s="86">
        <v>1.0</v>
      </c>
      <c r="DT122" s="86">
        <v>2.0</v>
      </c>
      <c r="DU122" s="86">
        <v>2.0</v>
      </c>
      <c r="DV122" s="86">
        <v>1.0</v>
      </c>
      <c r="DW122" s="86">
        <v>2.0</v>
      </c>
      <c r="DX122" s="87" t="s">
        <v>64</v>
      </c>
      <c r="DY122" s="87" t="s">
        <v>64</v>
      </c>
      <c r="DZ122" s="87" t="s">
        <v>64</v>
      </c>
      <c r="EA122" s="50"/>
    </row>
    <row r="123" ht="15.75" customHeight="1">
      <c r="A123" s="11">
        <v>14.0</v>
      </c>
      <c r="B123" s="11" t="s">
        <v>232</v>
      </c>
      <c r="C123" s="11" t="str">
        <f t="array" ref="C123">IFERROR(INDEX(DOCUMENTOS!$E:$E,MATCH($A123,DOCUMENTOS!$A:$A,0)),"")</f>
        <v/>
      </c>
      <c r="D123" s="11" t="str">
        <f t="array" ref="D123">IFERROR(INDEX('BANCO DE PERGUNTAS'!$D:$D,MATCH($B123,'BANCO DE PERGUNTAS'!$A:$A,0)),"")</f>
        <v>Existem informações que deveriam ser verificadas por um servidor antes da utilização do documento?</v>
      </c>
      <c r="E123" s="11" t="str">
        <f t="array" ref="E123">IFERROR(INDEX('BANCO DE PERGUNTAS'!$B:$B,MATCH($B123,'BANCO DE PERGUNTAS'!$A:$A,0)),"")</f>
        <v>Análise de Risco</v>
      </c>
      <c r="F123" s="12">
        <f t="array" ref="F123">IFERROR(INDEX('BANCO DE PERGUNTAS'!$H:$H,MATCH($B123,'BANCO DE PERGUNTAS'!$A:$A,0)),"")</f>
        <v>4</v>
      </c>
      <c r="I123" s="50"/>
      <c r="J123" s="50"/>
      <c r="K123" s="50"/>
      <c r="L123" s="50"/>
      <c r="M123" s="50"/>
      <c r="N123" s="50"/>
      <c r="O123" s="50"/>
      <c r="P123" s="50"/>
      <c r="Q123" s="50"/>
      <c r="R123" s="50"/>
      <c r="S123" s="50"/>
      <c r="U123" s="97" t="s">
        <v>2676</v>
      </c>
      <c r="W123" s="86">
        <v>2.0</v>
      </c>
      <c r="X123" s="86">
        <v>2.0</v>
      </c>
      <c r="Y123" s="86">
        <v>2.0</v>
      </c>
      <c r="Z123" s="86">
        <v>2.0</v>
      </c>
      <c r="AA123" s="86">
        <v>2.0</v>
      </c>
      <c r="AB123" s="86">
        <v>2.0</v>
      </c>
      <c r="AC123" s="86">
        <v>2.0</v>
      </c>
      <c r="AD123" s="87" t="s">
        <v>64</v>
      </c>
      <c r="AE123" s="87" t="s">
        <v>64</v>
      </c>
      <c r="AF123" s="87" t="s">
        <v>64</v>
      </c>
      <c r="AG123" s="50"/>
      <c r="AI123" s="102" t="s">
        <v>2677</v>
      </c>
      <c r="AK123" s="86">
        <v>2.0</v>
      </c>
      <c r="AL123" s="86">
        <v>2.0</v>
      </c>
      <c r="AM123" s="86">
        <v>2.0</v>
      </c>
      <c r="AN123" s="86">
        <v>2.0</v>
      </c>
      <c r="AO123" s="86">
        <v>2.0</v>
      </c>
      <c r="AP123" s="86">
        <v>2.0</v>
      </c>
      <c r="AQ123" s="86">
        <v>2.0</v>
      </c>
      <c r="AR123" s="87" t="s">
        <v>64</v>
      </c>
      <c r="AS123" s="87" t="s">
        <v>64</v>
      </c>
      <c r="AT123" s="87" t="s">
        <v>64</v>
      </c>
      <c r="AU123" s="50"/>
      <c r="AY123" s="50"/>
      <c r="AZ123" s="50"/>
      <c r="BA123" s="50"/>
      <c r="BB123" s="50"/>
      <c r="BC123" s="50"/>
      <c r="BD123" s="50"/>
      <c r="BE123" s="50"/>
      <c r="BF123" s="50"/>
      <c r="BG123" s="50"/>
      <c r="BH123" s="50"/>
      <c r="BI123" s="50"/>
      <c r="BK123" s="53" t="s">
        <v>2678</v>
      </c>
      <c r="BM123" s="86">
        <v>2.0</v>
      </c>
      <c r="BN123" s="86">
        <v>2.0</v>
      </c>
      <c r="BO123" s="86">
        <v>2.0</v>
      </c>
      <c r="BP123" s="86">
        <v>2.0</v>
      </c>
      <c r="BQ123" s="86">
        <v>2.0</v>
      </c>
      <c r="BR123" s="86">
        <v>2.0</v>
      </c>
      <c r="BS123" s="86">
        <v>2.0</v>
      </c>
      <c r="BT123" s="87" t="s">
        <v>64</v>
      </c>
      <c r="BU123" s="87" t="s">
        <v>64</v>
      </c>
      <c r="BV123" s="87" t="s">
        <v>64</v>
      </c>
      <c r="BW123" s="50"/>
      <c r="BY123" s="53" t="s">
        <v>2679</v>
      </c>
      <c r="CA123" s="86">
        <v>2.0</v>
      </c>
      <c r="CB123" s="86">
        <v>2.0</v>
      </c>
      <c r="CC123" s="86">
        <v>2.0</v>
      </c>
      <c r="CD123" s="86">
        <v>2.0</v>
      </c>
      <c r="CE123" s="86">
        <v>2.0</v>
      </c>
      <c r="CF123" s="86">
        <v>2.0</v>
      </c>
      <c r="CG123" s="86">
        <v>2.0</v>
      </c>
      <c r="CH123" s="87" t="s">
        <v>64</v>
      </c>
      <c r="CI123" s="87" t="s">
        <v>64</v>
      </c>
      <c r="CJ123" s="87" t="s">
        <v>64</v>
      </c>
      <c r="CK123" s="50"/>
      <c r="CO123" s="50"/>
      <c r="CP123" s="50"/>
      <c r="CQ123" s="50"/>
      <c r="CR123" s="50"/>
      <c r="CS123" s="50"/>
      <c r="CT123" s="50"/>
      <c r="CU123" s="50"/>
      <c r="CV123" s="50"/>
      <c r="CW123" s="50"/>
      <c r="CX123" s="50"/>
      <c r="CY123" s="50"/>
      <c r="DA123" s="53" t="s">
        <v>2680</v>
      </c>
      <c r="DC123" s="86">
        <v>2.0</v>
      </c>
      <c r="DD123" s="86">
        <v>2.0</v>
      </c>
      <c r="DE123" s="86">
        <v>2.0</v>
      </c>
      <c r="DF123" s="86">
        <v>2.0</v>
      </c>
      <c r="DG123" s="86">
        <v>2.0</v>
      </c>
      <c r="DH123" s="86">
        <v>2.0</v>
      </c>
      <c r="DI123" s="86">
        <v>2.0</v>
      </c>
      <c r="DJ123" s="87" t="s">
        <v>64</v>
      </c>
      <c r="DK123" s="87" t="s">
        <v>64</v>
      </c>
      <c r="DL123" s="87" t="s">
        <v>64</v>
      </c>
      <c r="DM123" s="50"/>
      <c r="DO123" s="59" t="s">
        <v>2681</v>
      </c>
      <c r="DQ123" s="86">
        <v>2.0</v>
      </c>
      <c r="DR123" s="86">
        <v>2.0</v>
      </c>
      <c r="DS123" s="86">
        <v>1.0</v>
      </c>
      <c r="DT123" s="86">
        <v>2.0</v>
      </c>
      <c r="DU123" s="86">
        <v>2.0</v>
      </c>
      <c r="DV123" s="86">
        <v>1.0</v>
      </c>
      <c r="DW123" s="86">
        <v>2.0</v>
      </c>
      <c r="DX123" s="87" t="s">
        <v>64</v>
      </c>
      <c r="DY123" s="87" t="s">
        <v>64</v>
      </c>
      <c r="DZ123" s="87" t="s">
        <v>64</v>
      </c>
      <c r="EA123" s="50"/>
    </row>
    <row r="124" ht="15.75" customHeight="1">
      <c r="A124" s="14">
        <v>14.0</v>
      </c>
      <c r="B124" s="14" t="s">
        <v>240</v>
      </c>
      <c r="C124" s="14" t="str">
        <f t="array" ref="C124">IFERROR(INDEX(DOCUMENTOS!$E:$E,MATCH($A124,DOCUMENTOS!$A:$A,0)),"")</f>
        <v/>
      </c>
      <c r="D124" s="14" t="str">
        <f t="array" ref="D124">IFERROR(INDEX('BANCO DE PERGUNTAS'!$D:$D,MATCH($B124,'BANCO DE PERGUNTAS'!$A:$A,0)),"")</f>
        <v>Existem elementos que indiquem possível desconformidade com os próprios requisitos apresentados no documento?</v>
      </c>
      <c r="E124" s="14" t="str">
        <f t="array" ref="E124">IFERROR(INDEX('BANCO DE PERGUNTAS'!$B:$B,MATCH($B124,'BANCO DE PERGUNTAS'!$A:$A,0)),"")</f>
        <v>Conformidade Documental</v>
      </c>
      <c r="F124" s="17">
        <f t="array" ref="F124">IFERROR(INDEX('BANCO DE PERGUNTAS'!$H:$H,MATCH($B124,'BANCO DE PERGUNTAS'!$A:$A,0)),"")</f>
        <v>4</v>
      </c>
      <c r="I124" s="50"/>
      <c r="J124" s="50"/>
      <c r="K124" s="50"/>
      <c r="L124" s="50"/>
      <c r="M124" s="50"/>
      <c r="N124" s="50"/>
      <c r="O124" s="50"/>
      <c r="P124" s="50"/>
      <c r="Q124" s="50"/>
      <c r="R124" s="50"/>
      <c r="S124" s="50"/>
      <c r="U124" s="101" t="s">
        <v>2682</v>
      </c>
      <c r="W124" s="86">
        <v>2.0</v>
      </c>
      <c r="X124" s="86">
        <v>2.0</v>
      </c>
      <c r="Y124" s="86">
        <v>2.0</v>
      </c>
      <c r="Z124" s="86">
        <v>2.0</v>
      </c>
      <c r="AA124" s="86">
        <v>2.0</v>
      </c>
      <c r="AB124" s="86">
        <v>2.0</v>
      </c>
      <c r="AC124" s="86">
        <v>2.0</v>
      </c>
      <c r="AD124" s="87" t="s">
        <v>64</v>
      </c>
      <c r="AE124" s="87" t="s">
        <v>64</v>
      </c>
      <c r="AF124" s="87" t="s">
        <v>64</v>
      </c>
      <c r="AG124" s="50"/>
      <c r="AI124" s="102" t="s">
        <v>2683</v>
      </c>
      <c r="AK124" s="86">
        <v>2.0</v>
      </c>
      <c r="AL124" s="86">
        <v>2.0</v>
      </c>
      <c r="AM124" s="86">
        <v>2.0</v>
      </c>
      <c r="AN124" s="86">
        <v>2.0</v>
      </c>
      <c r="AO124" s="86">
        <v>2.0</v>
      </c>
      <c r="AP124" s="86">
        <v>2.0</v>
      </c>
      <c r="AQ124" s="86">
        <v>2.0</v>
      </c>
      <c r="AR124" s="87" t="s">
        <v>64</v>
      </c>
      <c r="AS124" s="87" t="s">
        <v>64</v>
      </c>
      <c r="AT124" s="87" t="s">
        <v>64</v>
      </c>
      <c r="AU124" s="50"/>
      <c r="AY124" s="50"/>
      <c r="AZ124" s="50"/>
      <c r="BA124" s="50"/>
      <c r="BB124" s="50"/>
      <c r="BC124" s="50"/>
      <c r="BD124" s="50"/>
      <c r="BE124" s="50"/>
      <c r="BF124" s="50"/>
      <c r="BG124" s="50"/>
      <c r="BH124" s="50"/>
      <c r="BI124" s="50"/>
      <c r="BK124" s="53" t="s">
        <v>2684</v>
      </c>
      <c r="BM124" s="86">
        <v>2.0</v>
      </c>
      <c r="BN124" s="86">
        <v>2.0</v>
      </c>
      <c r="BO124" s="86">
        <v>2.0</v>
      </c>
      <c r="BP124" s="86">
        <v>2.0</v>
      </c>
      <c r="BQ124" s="86">
        <v>2.0</v>
      </c>
      <c r="BR124" s="86">
        <v>2.0</v>
      </c>
      <c r="BS124" s="86">
        <v>2.0</v>
      </c>
      <c r="BT124" s="87" t="s">
        <v>64</v>
      </c>
      <c r="BU124" s="87" t="s">
        <v>64</v>
      </c>
      <c r="BV124" s="87" t="s">
        <v>64</v>
      </c>
      <c r="BW124" s="50"/>
      <c r="BY124" s="53" t="s">
        <v>2685</v>
      </c>
      <c r="CA124" s="86">
        <v>2.0</v>
      </c>
      <c r="CB124" s="86">
        <v>2.0</v>
      </c>
      <c r="CC124" s="86">
        <v>2.0</v>
      </c>
      <c r="CD124" s="86">
        <v>2.0</v>
      </c>
      <c r="CE124" s="86">
        <v>2.0</v>
      </c>
      <c r="CF124" s="86">
        <v>2.0</v>
      </c>
      <c r="CG124" s="86">
        <v>2.0</v>
      </c>
      <c r="CH124" s="87" t="s">
        <v>64</v>
      </c>
      <c r="CI124" s="87" t="s">
        <v>64</v>
      </c>
      <c r="CJ124" s="87" t="s">
        <v>64</v>
      </c>
      <c r="CK124" s="50"/>
      <c r="CO124" s="50"/>
      <c r="CP124" s="50"/>
      <c r="CQ124" s="50"/>
      <c r="CR124" s="50"/>
      <c r="CS124" s="50"/>
      <c r="CT124" s="50"/>
      <c r="CU124" s="50"/>
      <c r="CV124" s="50"/>
      <c r="CW124" s="50"/>
      <c r="CX124" s="50"/>
      <c r="CY124" s="50"/>
      <c r="DA124" s="53" t="s">
        <v>2686</v>
      </c>
      <c r="DC124" s="86">
        <v>0.0</v>
      </c>
      <c r="DD124" s="86">
        <v>2.0</v>
      </c>
      <c r="DE124" s="86">
        <v>1.0</v>
      </c>
      <c r="DF124" s="86">
        <v>2.0</v>
      </c>
      <c r="DG124" s="86">
        <v>2.0</v>
      </c>
      <c r="DH124" s="86">
        <v>1.0</v>
      </c>
      <c r="DI124" s="86">
        <v>2.0</v>
      </c>
      <c r="DJ124" s="87" t="s">
        <v>64</v>
      </c>
      <c r="DK124" s="87" t="s">
        <v>64</v>
      </c>
      <c r="DL124" s="87" t="s">
        <v>64</v>
      </c>
      <c r="DM124" s="50"/>
      <c r="DO124" s="59" t="s">
        <v>2687</v>
      </c>
      <c r="DQ124" s="86">
        <v>0.0</v>
      </c>
      <c r="DR124" s="86">
        <v>2.0</v>
      </c>
      <c r="DS124" s="86">
        <v>1.0</v>
      </c>
      <c r="DT124" s="86">
        <v>2.0</v>
      </c>
      <c r="DU124" s="86">
        <v>2.0</v>
      </c>
      <c r="DV124" s="86">
        <v>1.0</v>
      </c>
      <c r="DW124" s="86">
        <v>2.0</v>
      </c>
      <c r="DX124" s="87" t="s">
        <v>64</v>
      </c>
      <c r="DY124" s="87" t="s">
        <v>64</v>
      </c>
      <c r="DZ124" s="87" t="s">
        <v>64</v>
      </c>
      <c r="EA124" s="50"/>
    </row>
    <row r="125" ht="15.75" customHeight="1">
      <c r="A125" s="11">
        <v>14.0</v>
      </c>
      <c r="B125" s="11" t="s">
        <v>247</v>
      </c>
      <c r="C125" s="11" t="str">
        <f t="array" ref="C125">IFERROR(INDEX(DOCUMENTOS!$E:$E,MATCH($A125,DOCUMENTOS!$A:$A,0)),"")</f>
        <v/>
      </c>
      <c r="D125" s="11" t="str">
        <f t="array" ref="D125">IFERROR(INDEX('BANCO DE PERGUNTAS'!$D:$D,MATCH($B125,'BANCO DE PERGUNTAS'!$A:$A,0)),"")</f>
        <v>Quais requisitos estão explicitamente presentes?</v>
      </c>
      <c r="E125" s="11" t="str">
        <f t="array" ref="E125">IFERROR(INDEX('BANCO DE PERGUNTAS'!$B:$B,MATCH($B125,'BANCO DE PERGUNTAS'!$A:$A,0)),"")</f>
        <v>Conformidade Documental</v>
      </c>
      <c r="F125" s="12">
        <f t="array" ref="F125">IFERROR(INDEX('BANCO DE PERGUNTAS'!$H:$H,MATCH($B125,'BANCO DE PERGUNTAS'!$A:$A,0)),"")</f>
        <v>2</v>
      </c>
      <c r="I125" s="50"/>
      <c r="J125" s="50"/>
      <c r="K125" s="50"/>
      <c r="L125" s="50"/>
      <c r="M125" s="50"/>
      <c r="N125" s="50"/>
      <c r="O125" s="50"/>
      <c r="P125" s="50"/>
      <c r="Q125" s="50"/>
      <c r="R125" s="50"/>
      <c r="S125" s="50"/>
      <c r="U125" s="97" t="s">
        <v>2688</v>
      </c>
      <c r="W125" s="86">
        <v>2.0</v>
      </c>
      <c r="X125" s="86">
        <v>2.0</v>
      </c>
      <c r="Y125" s="86">
        <v>2.0</v>
      </c>
      <c r="Z125" s="86">
        <v>2.0</v>
      </c>
      <c r="AA125" s="86">
        <v>2.0</v>
      </c>
      <c r="AB125" s="86">
        <v>2.0</v>
      </c>
      <c r="AC125" s="86">
        <v>2.0</v>
      </c>
      <c r="AD125" s="87" t="s">
        <v>64</v>
      </c>
      <c r="AE125" s="87" t="s">
        <v>64</v>
      </c>
      <c r="AF125" s="87" t="s">
        <v>64</v>
      </c>
      <c r="AG125" s="50"/>
      <c r="AI125" s="102" t="s">
        <v>2689</v>
      </c>
      <c r="AK125" s="86">
        <v>2.0</v>
      </c>
      <c r="AL125" s="86">
        <v>2.0</v>
      </c>
      <c r="AM125" s="86">
        <v>1.0</v>
      </c>
      <c r="AN125" s="86">
        <v>2.0</v>
      </c>
      <c r="AO125" s="86">
        <v>2.0</v>
      </c>
      <c r="AP125" s="86">
        <v>1.0</v>
      </c>
      <c r="AQ125" s="86">
        <v>2.0</v>
      </c>
      <c r="AR125" s="87" t="s">
        <v>64</v>
      </c>
      <c r="AS125" s="87" t="s">
        <v>64</v>
      </c>
      <c r="AT125" s="87" t="s">
        <v>64</v>
      </c>
      <c r="AU125" s="50"/>
      <c r="AY125" s="50"/>
      <c r="AZ125" s="50"/>
      <c r="BA125" s="50"/>
      <c r="BB125" s="50"/>
      <c r="BC125" s="50"/>
      <c r="BD125" s="50"/>
      <c r="BE125" s="50"/>
      <c r="BF125" s="50"/>
      <c r="BG125" s="50"/>
      <c r="BH125" s="50"/>
      <c r="BI125" s="50"/>
      <c r="BK125" s="53" t="s">
        <v>2690</v>
      </c>
      <c r="BM125" s="86">
        <v>2.0</v>
      </c>
      <c r="BN125" s="86">
        <v>2.0</v>
      </c>
      <c r="BO125" s="86">
        <v>2.0</v>
      </c>
      <c r="BP125" s="86">
        <v>2.0</v>
      </c>
      <c r="BQ125" s="86">
        <v>2.0</v>
      </c>
      <c r="BR125" s="86">
        <v>2.0</v>
      </c>
      <c r="BS125" s="86">
        <v>2.0</v>
      </c>
      <c r="BT125" s="87" t="s">
        <v>64</v>
      </c>
      <c r="BU125" s="87" t="s">
        <v>64</v>
      </c>
      <c r="BV125" s="87" t="s">
        <v>64</v>
      </c>
      <c r="BW125" s="50"/>
      <c r="BY125" s="53" t="s">
        <v>2691</v>
      </c>
      <c r="CA125" s="86">
        <v>2.0</v>
      </c>
      <c r="CB125" s="86">
        <v>2.0</v>
      </c>
      <c r="CC125" s="86">
        <v>1.0</v>
      </c>
      <c r="CD125" s="86">
        <v>2.0</v>
      </c>
      <c r="CE125" s="86">
        <v>2.0</v>
      </c>
      <c r="CF125" s="86">
        <v>1.0</v>
      </c>
      <c r="CG125" s="86">
        <v>2.0</v>
      </c>
      <c r="CH125" s="87" t="s">
        <v>64</v>
      </c>
      <c r="CI125" s="87" t="s">
        <v>64</v>
      </c>
      <c r="CJ125" s="87" t="s">
        <v>64</v>
      </c>
      <c r="CK125" s="50"/>
      <c r="CO125" s="50"/>
      <c r="CP125" s="50"/>
      <c r="CQ125" s="50"/>
      <c r="CR125" s="50"/>
      <c r="CS125" s="50"/>
      <c r="CT125" s="50"/>
      <c r="CU125" s="50"/>
      <c r="CV125" s="50"/>
      <c r="CW125" s="50"/>
      <c r="CX125" s="50"/>
      <c r="CY125" s="50"/>
      <c r="DA125" s="53" t="s">
        <v>2692</v>
      </c>
      <c r="DC125" s="86">
        <v>0.0</v>
      </c>
      <c r="DD125" s="86">
        <v>2.0</v>
      </c>
      <c r="DE125" s="86">
        <v>1.0</v>
      </c>
      <c r="DF125" s="86">
        <v>2.0</v>
      </c>
      <c r="DG125" s="86">
        <v>2.0</v>
      </c>
      <c r="DH125" s="86">
        <v>1.0</v>
      </c>
      <c r="DI125" s="86">
        <v>2.0</v>
      </c>
      <c r="DJ125" s="87" t="s">
        <v>64</v>
      </c>
      <c r="DK125" s="87" t="s">
        <v>64</v>
      </c>
      <c r="DL125" s="87" t="s">
        <v>64</v>
      </c>
      <c r="DM125" s="50"/>
      <c r="DO125" s="59" t="s">
        <v>2693</v>
      </c>
      <c r="DQ125" s="86">
        <v>0.0</v>
      </c>
      <c r="DR125" s="86">
        <v>2.0</v>
      </c>
      <c r="DS125" s="86">
        <v>1.0</v>
      </c>
      <c r="DT125" s="86">
        <v>2.0</v>
      </c>
      <c r="DU125" s="86">
        <v>2.0</v>
      </c>
      <c r="DV125" s="86">
        <v>1.0</v>
      </c>
      <c r="DW125" s="86">
        <v>2.0</v>
      </c>
      <c r="DX125" s="87" t="s">
        <v>64</v>
      </c>
      <c r="DY125" s="87" t="s">
        <v>64</v>
      </c>
      <c r="DZ125" s="87" t="s">
        <v>64</v>
      </c>
      <c r="EA125" s="50"/>
    </row>
    <row r="126" ht="15.75" customHeight="1">
      <c r="A126" s="14">
        <v>14.0</v>
      </c>
      <c r="B126" s="14" t="s">
        <v>252</v>
      </c>
      <c r="C126" s="14" t="str">
        <f t="array" ref="C126">IFERROR(INDEX(DOCUMENTOS!$E:$E,MATCH($A126,DOCUMENTOS!$A:$A,0)),"")</f>
        <v/>
      </c>
      <c r="D126" s="14" t="str">
        <f t="array" ref="D126">IFERROR(INDEX('BANCO DE PERGUNTAS'!$D:$D,MATCH($B126,'BANCO DE PERGUNTAS'!$A:$A,0)),"")</f>
        <v>Quais informações necessárias parecem estar ausentes?</v>
      </c>
      <c r="E126" s="14" t="str">
        <f t="array" ref="E126">IFERROR(INDEX('BANCO DE PERGUNTAS'!$B:$B,MATCH($B126,'BANCO DE PERGUNTAS'!$A:$A,0)),"")</f>
        <v>Identificação de Omissões</v>
      </c>
      <c r="F126" s="17">
        <f t="array" ref="F126">IFERROR(INDEX('BANCO DE PERGUNTAS'!$H:$H,MATCH($B126,'BANCO DE PERGUNTAS'!$A:$A,0)),"")</f>
        <v>4</v>
      </c>
      <c r="I126" s="50"/>
      <c r="J126" s="50"/>
      <c r="K126" s="50"/>
      <c r="L126" s="50"/>
      <c r="M126" s="50"/>
      <c r="N126" s="50"/>
      <c r="O126" s="50"/>
      <c r="P126" s="50"/>
      <c r="Q126" s="50"/>
      <c r="R126" s="50"/>
      <c r="S126" s="50"/>
      <c r="U126" s="101" t="s">
        <v>2694</v>
      </c>
      <c r="W126" s="86">
        <v>2.0</v>
      </c>
      <c r="X126" s="86">
        <v>2.0</v>
      </c>
      <c r="Y126" s="86">
        <v>1.0</v>
      </c>
      <c r="Z126" s="86">
        <v>2.0</v>
      </c>
      <c r="AA126" s="86">
        <v>2.0</v>
      </c>
      <c r="AB126" s="86">
        <v>1.0</v>
      </c>
      <c r="AC126" s="86">
        <v>2.0</v>
      </c>
      <c r="AD126" s="87" t="s">
        <v>64</v>
      </c>
      <c r="AE126" s="87" t="s">
        <v>64</v>
      </c>
      <c r="AF126" s="87" t="s">
        <v>64</v>
      </c>
      <c r="AG126" s="50"/>
      <c r="AI126" s="102" t="s">
        <v>2695</v>
      </c>
      <c r="AK126" s="86">
        <v>0.0</v>
      </c>
      <c r="AL126" s="86">
        <v>2.0</v>
      </c>
      <c r="AM126" s="86">
        <v>1.0</v>
      </c>
      <c r="AN126" s="86">
        <v>2.0</v>
      </c>
      <c r="AO126" s="86">
        <v>2.0</v>
      </c>
      <c r="AP126" s="86">
        <v>1.0</v>
      </c>
      <c r="AQ126" s="86">
        <v>2.0</v>
      </c>
      <c r="AR126" s="87" t="s">
        <v>64</v>
      </c>
      <c r="AS126" s="87" t="s">
        <v>64</v>
      </c>
      <c r="AT126" s="87" t="s">
        <v>64</v>
      </c>
      <c r="AU126" s="50"/>
      <c r="AY126" s="50"/>
      <c r="AZ126" s="50"/>
      <c r="BA126" s="50"/>
      <c r="BB126" s="50"/>
      <c r="BC126" s="50"/>
      <c r="BD126" s="50"/>
      <c r="BE126" s="50"/>
      <c r="BF126" s="50"/>
      <c r="BG126" s="50"/>
      <c r="BH126" s="50"/>
      <c r="BI126" s="50"/>
      <c r="BK126" s="53" t="s">
        <v>2696</v>
      </c>
      <c r="BM126" s="86">
        <v>0.0</v>
      </c>
      <c r="BN126" s="86">
        <v>2.0</v>
      </c>
      <c r="BO126" s="86">
        <v>1.0</v>
      </c>
      <c r="BP126" s="86">
        <v>2.0</v>
      </c>
      <c r="BQ126" s="86">
        <v>2.0</v>
      </c>
      <c r="BR126" s="86">
        <v>1.0</v>
      </c>
      <c r="BS126" s="86">
        <v>2.0</v>
      </c>
      <c r="BT126" s="87" t="s">
        <v>64</v>
      </c>
      <c r="BU126" s="87" t="s">
        <v>64</v>
      </c>
      <c r="BV126" s="87" t="s">
        <v>64</v>
      </c>
      <c r="BW126" s="50"/>
      <c r="BY126" s="53" t="s">
        <v>2697</v>
      </c>
      <c r="CA126" s="86">
        <v>2.0</v>
      </c>
      <c r="CB126" s="86">
        <v>2.0</v>
      </c>
      <c r="CC126" s="86">
        <v>2.0</v>
      </c>
      <c r="CD126" s="86">
        <v>2.0</v>
      </c>
      <c r="CE126" s="86">
        <v>2.0</v>
      </c>
      <c r="CF126" s="86">
        <v>2.0</v>
      </c>
      <c r="CG126" s="86">
        <v>2.0</v>
      </c>
      <c r="CH126" s="87" t="s">
        <v>64</v>
      </c>
      <c r="CI126" s="87" t="s">
        <v>64</v>
      </c>
      <c r="CJ126" s="87" t="s">
        <v>64</v>
      </c>
      <c r="CK126" s="50"/>
      <c r="CO126" s="50"/>
      <c r="CP126" s="50"/>
      <c r="CQ126" s="50"/>
      <c r="CR126" s="50"/>
      <c r="CS126" s="50"/>
      <c r="CT126" s="50"/>
      <c r="CU126" s="50"/>
      <c r="CV126" s="50"/>
      <c r="CW126" s="50"/>
      <c r="CX126" s="50"/>
      <c r="CY126" s="50"/>
      <c r="DA126" s="53" t="s">
        <v>2698</v>
      </c>
      <c r="DC126" s="86">
        <v>2.0</v>
      </c>
      <c r="DD126" s="86">
        <v>2.0</v>
      </c>
      <c r="DE126" s="86">
        <v>1.0</v>
      </c>
      <c r="DF126" s="86">
        <v>2.0</v>
      </c>
      <c r="DG126" s="86">
        <v>2.0</v>
      </c>
      <c r="DH126" s="86">
        <v>1.0</v>
      </c>
      <c r="DI126" s="86">
        <v>2.0</v>
      </c>
      <c r="DJ126" s="87" t="s">
        <v>64</v>
      </c>
      <c r="DK126" s="87" t="s">
        <v>64</v>
      </c>
      <c r="DL126" s="87" t="s">
        <v>64</v>
      </c>
      <c r="DM126" s="50"/>
      <c r="DO126" s="59" t="s">
        <v>2699</v>
      </c>
      <c r="DQ126" s="86">
        <v>0.0</v>
      </c>
      <c r="DR126" s="86">
        <v>2.0</v>
      </c>
      <c r="DS126" s="86">
        <v>1.0</v>
      </c>
      <c r="DT126" s="86">
        <v>2.0</v>
      </c>
      <c r="DU126" s="86">
        <v>2.0</v>
      </c>
      <c r="DV126" s="86">
        <v>1.0</v>
      </c>
      <c r="DW126" s="86">
        <v>2.0</v>
      </c>
      <c r="DX126" s="87" t="s">
        <v>64</v>
      </c>
      <c r="DY126" s="87" t="s">
        <v>64</v>
      </c>
      <c r="DZ126" s="87" t="s">
        <v>64</v>
      </c>
      <c r="EA126" s="50"/>
    </row>
    <row r="127" ht="15.75" customHeight="1">
      <c r="A127" s="11">
        <v>14.0</v>
      </c>
      <c r="B127" s="11" t="s">
        <v>257</v>
      </c>
      <c r="C127" s="11" t="str">
        <f t="array" ref="C127">IFERROR(INDEX(DOCUMENTOS!$E:$E,MATCH($A127,DOCUMENTOS!$A:$A,0)),"")</f>
        <v/>
      </c>
      <c r="D127" s="11" t="str">
        <f t="array" ref="D127">IFERROR(INDEX('BANCO DE PERGUNTAS'!$D:$D,MATCH($B127,'BANCO DE PERGUNTAS'!$A:$A,0)),"")</f>
        <v>Existem informações conflitantes com outro documento relacionado?</v>
      </c>
      <c r="E127" s="11" t="str">
        <f t="array" ref="E127">IFERROR(INDEX('BANCO DE PERGUNTAS'!$B:$B,MATCH($B127,'BANCO DE PERGUNTAS'!$A:$A,0)),"")</f>
        <v>Comparação</v>
      </c>
      <c r="F127" s="12">
        <f t="array" ref="F127">IFERROR(INDEX('BANCO DE PERGUNTAS'!$H:$H,MATCH($B127,'BANCO DE PERGUNTAS'!$A:$A,0)),"")</f>
        <v>5</v>
      </c>
      <c r="I127" s="50"/>
      <c r="J127" s="50"/>
      <c r="K127" s="50"/>
      <c r="L127" s="50"/>
      <c r="M127" s="50"/>
      <c r="N127" s="50"/>
      <c r="O127" s="50"/>
      <c r="P127" s="50"/>
      <c r="Q127" s="50"/>
      <c r="R127" s="50"/>
      <c r="S127" s="50"/>
      <c r="U127" s="97" t="s">
        <v>2700</v>
      </c>
      <c r="W127" s="86">
        <v>2.0</v>
      </c>
      <c r="X127" s="86">
        <v>2.0</v>
      </c>
      <c r="Y127" s="86">
        <v>2.0</v>
      </c>
      <c r="Z127" s="86">
        <v>2.0</v>
      </c>
      <c r="AA127" s="86">
        <v>2.0</v>
      </c>
      <c r="AB127" s="86">
        <v>2.0</v>
      </c>
      <c r="AC127" s="86">
        <v>2.0</v>
      </c>
      <c r="AD127" s="87" t="s">
        <v>64</v>
      </c>
      <c r="AE127" s="87" t="s">
        <v>64</v>
      </c>
      <c r="AF127" s="87" t="s">
        <v>64</v>
      </c>
      <c r="AG127" s="50"/>
      <c r="AI127" s="102" t="s">
        <v>2701</v>
      </c>
      <c r="AK127" s="86">
        <v>2.0</v>
      </c>
      <c r="AL127" s="86">
        <v>2.0</v>
      </c>
      <c r="AM127" s="86">
        <v>2.0</v>
      </c>
      <c r="AN127" s="86">
        <v>2.0</v>
      </c>
      <c r="AO127" s="86">
        <v>2.0</v>
      </c>
      <c r="AP127" s="86">
        <v>2.0</v>
      </c>
      <c r="AQ127" s="86">
        <v>2.0</v>
      </c>
      <c r="AR127" s="87" t="s">
        <v>64</v>
      </c>
      <c r="AS127" s="87" t="s">
        <v>64</v>
      </c>
      <c r="AT127" s="87" t="s">
        <v>64</v>
      </c>
      <c r="AU127" s="50"/>
      <c r="AY127" s="50"/>
      <c r="AZ127" s="50"/>
      <c r="BA127" s="50"/>
      <c r="BB127" s="50"/>
      <c r="BC127" s="50"/>
      <c r="BD127" s="50"/>
      <c r="BE127" s="50"/>
      <c r="BF127" s="50"/>
      <c r="BG127" s="50"/>
      <c r="BH127" s="50"/>
      <c r="BI127" s="50"/>
      <c r="BK127" s="53" t="s">
        <v>2702</v>
      </c>
      <c r="BM127" s="86">
        <v>2.0</v>
      </c>
      <c r="BN127" s="86">
        <v>2.0</v>
      </c>
      <c r="BO127" s="86">
        <v>2.0</v>
      </c>
      <c r="BP127" s="86">
        <v>2.0</v>
      </c>
      <c r="BQ127" s="86">
        <v>2.0</v>
      </c>
      <c r="BR127" s="86">
        <v>2.0</v>
      </c>
      <c r="BS127" s="86">
        <v>2.0</v>
      </c>
      <c r="BT127" s="87" t="s">
        <v>64</v>
      </c>
      <c r="BU127" s="87" t="s">
        <v>64</v>
      </c>
      <c r="BV127" s="87" t="s">
        <v>64</v>
      </c>
      <c r="BW127" s="50"/>
      <c r="BY127" s="53" t="s">
        <v>2703</v>
      </c>
      <c r="CA127" s="86">
        <v>2.0</v>
      </c>
      <c r="CB127" s="86">
        <v>2.0</v>
      </c>
      <c r="CC127" s="86">
        <v>2.0</v>
      </c>
      <c r="CD127" s="86">
        <v>2.0</v>
      </c>
      <c r="CE127" s="86">
        <v>2.0</v>
      </c>
      <c r="CF127" s="86">
        <v>2.0</v>
      </c>
      <c r="CG127" s="86">
        <v>2.0</v>
      </c>
      <c r="CH127" s="87" t="s">
        <v>64</v>
      </c>
      <c r="CI127" s="87" t="s">
        <v>64</v>
      </c>
      <c r="CJ127" s="87" t="s">
        <v>64</v>
      </c>
      <c r="CK127" s="50"/>
      <c r="CO127" s="50"/>
      <c r="CP127" s="50"/>
      <c r="CQ127" s="50"/>
      <c r="CR127" s="50"/>
      <c r="CS127" s="50"/>
      <c r="CT127" s="50"/>
      <c r="CU127" s="50"/>
      <c r="CV127" s="50"/>
      <c r="CW127" s="50"/>
      <c r="CX127" s="50"/>
      <c r="CY127" s="50"/>
      <c r="DA127" s="53" t="s">
        <v>2704</v>
      </c>
      <c r="DC127" s="86">
        <v>2.0</v>
      </c>
      <c r="DD127" s="86">
        <v>2.0</v>
      </c>
      <c r="DE127" s="86">
        <v>2.0</v>
      </c>
      <c r="DF127" s="86">
        <v>2.0</v>
      </c>
      <c r="DG127" s="86">
        <v>2.0</v>
      </c>
      <c r="DH127" s="86">
        <v>2.0</v>
      </c>
      <c r="DI127" s="86">
        <v>2.0</v>
      </c>
      <c r="DJ127" s="87" t="s">
        <v>64</v>
      </c>
      <c r="DK127" s="87" t="s">
        <v>64</v>
      </c>
      <c r="DL127" s="87" t="s">
        <v>64</v>
      </c>
      <c r="DM127" s="50"/>
      <c r="DO127" s="59" t="s">
        <v>2705</v>
      </c>
      <c r="DQ127" s="86">
        <v>2.0</v>
      </c>
      <c r="DR127" s="86">
        <v>2.0</v>
      </c>
      <c r="DS127" s="86">
        <v>2.0</v>
      </c>
      <c r="DT127" s="86">
        <v>2.0</v>
      </c>
      <c r="DU127" s="86">
        <v>2.0</v>
      </c>
      <c r="DV127" s="86">
        <v>2.0</v>
      </c>
      <c r="DW127" s="86">
        <v>2.0</v>
      </c>
      <c r="DX127" s="87" t="s">
        <v>64</v>
      </c>
      <c r="DY127" s="87" t="s">
        <v>64</v>
      </c>
      <c r="DZ127" s="87" t="s">
        <v>64</v>
      </c>
      <c r="EA127" s="50"/>
    </row>
    <row r="128" ht="15.75" customHeight="1">
      <c r="A128" s="14">
        <v>14.0</v>
      </c>
      <c r="B128" s="14" t="s">
        <v>264</v>
      </c>
      <c r="C128" s="14" t="str">
        <f t="array" ref="C128">IFERROR(INDEX(DOCUMENTOS!$E:$E,MATCH($A128,DOCUMENTOS!$A:$A,0)),"")</f>
        <v/>
      </c>
      <c r="D128" s="14" t="str">
        <f t="array" ref="D128">IFERROR(INDEX('BANCO DE PERGUNTAS'!$D:$D,MATCH($B128,'BANCO DE PERGUNTAS'!$A:$A,0)),"")</f>
        <v>Quais diferenças existem entre os documentos?</v>
      </c>
      <c r="E128" s="14" t="str">
        <f t="array" ref="E128">IFERROR(INDEX('BANCO DE PERGUNTAS'!$B:$B,MATCH($B128,'BANCO DE PERGUNTAS'!$A:$A,0)),"")</f>
        <v>Comparação</v>
      </c>
      <c r="F128" s="17">
        <f t="array" ref="F128">IFERROR(INDEX('BANCO DE PERGUNTAS'!$H:$H,MATCH($B128,'BANCO DE PERGUNTAS'!$A:$A,0)),"")</f>
        <v>5</v>
      </c>
      <c r="I128" s="50"/>
      <c r="J128" s="50"/>
      <c r="K128" s="50"/>
      <c r="L128" s="50"/>
      <c r="M128" s="50"/>
      <c r="N128" s="50"/>
      <c r="O128" s="50"/>
      <c r="P128" s="50"/>
      <c r="Q128" s="50"/>
      <c r="R128" s="50"/>
      <c r="S128" s="50"/>
      <c r="U128" s="101" t="s">
        <v>2512</v>
      </c>
      <c r="W128" s="86">
        <v>2.0</v>
      </c>
      <c r="X128" s="86">
        <v>2.0</v>
      </c>
      <c r="Y128" s="86">
        <v>2.0</v>
      </c>
      <c r="Z128" s="86">
        <v>2.0</v>
      </c>
      <c r="AA128" s="86">
        <v>2.0</v>
      </c>
      <c r="AB128" s="86">
        <v>2.0</v>
      </c>
      <c r="AC128" s="86">
        <v>2.0</v>
      </c>
      <c r="AD128" s="87" t="s">
        <v>64</v>
      </c>
      <c r="AE128" s="87" t="s">
        <v>64</v>
      </c>
      <c r="AF128" s="87" t="s">
        <v>64</v>
      </c>
      <c r="AG128" s="50"/>
      <c r="AI128" s="102" t="s">
        <v>2706</v>
      </c>
      <c r="AK128" s="86">
        <v>2.0</v>
      </c>
      <c r="AL128" s="86">
        <v>2.0</v>
      </c>
      <c r="AM128" s="86">
        <v>2.0</v>
      </c>
      <c r="AN128" s="86">
        <v>2.0</v>
      </c>
      <c r="AO128" s="86">
        <v>2.0</v>
      </c>
      <c r="AP128" s="86">
        <v>2.0</v>
      </c>
      <c r="AQ128" s="86">
        <v>2.0</v>
      </c>
      <c r="AR128" s="87" t="s">
        <v>64</v>
      </c>
      <c r="AS128" s="87" t="s">
        <v>64</v>
      </c>
      <c r="AT128" s="87" t="s">
        <v>64</v>
      </c>
      <c r="AU128" s="50"/>
      <c r="AY128" s="50"/>
      <c r="AZ128" s="50"/>
      <c r="BA128" s="50"/>
      <c r="BB128" s="50"/>
      <c r="BC128" s="50"/>
      <c r="BD128" s="50"/>
      <c r="BE128" s="50"/>
      <c r="BF128" s="50"/>
      <c r="BG128" s="50"/>
      <c r="BH128" s="50"/>
      <c r="BI128" s="50"/>
      <c r="BK128" s="53" t="s">
        <v>2707</v>
      </c>
      <c r="BM128" s="86">
        <v>2.0</v>
      </c>
      <c r="BN128" s="86">
        <v>2.0</v>
      </c>
      <c r="BO128" s="86">
        <v>2.0</v>
      </c>
      <c r="BP128" s="86">
        <v>2.0</v>
      </c>
      <c r="BQ128" s="86">
        <v>2.0</v>
      </c>
      <c r="BR128" s="86">
        <v>2.0</v>
      </c>
      <c r="BS128" s="86">
        <v>2.0</v>
      </c>
      <c r="BT128" s="87" t="s">
        <v>64</v>
      </c>
      <c r="BU128" s="87" t="s">
        <v>64</v>
      </c>
      <c r="BV128" s="87" t="s">
        <v>64</v>
      </c>
      <c r="BW128" s="50"/>
      <c r="BY128" s="53" t="s">
        <v>2708</v>
      </c>
      <c r="CA128" s="86">
        <v>2.0</v>
      </c>
      <c r="CB128" s="86">
        <v>2.0</v>
      </c>
      <c r="CC128" s="86">
        <v>2.0</v>
      </c>
      <c r="CD128" s="86">
        <v>2.0</v>
      </c>
      <c r="CE128" s="86">
        <v>2.0</v>
      </c>
      <c r="CF128" s="86">
        <v>2.0</v>
      </c>
      <c r="CG128" s="86">
        <v>2.0</v>
      </c>
      <c r="CH128" s="87" t="s">
        <v>64</v>
      </c>
      <c r="CI128" s="87" t="s">
        <v>64</v>
      </c>
      <c r="CJ128" s="87" t="s">
        <v>64</v>
      </c>
      <c r="CK128" s="50"/>
      <c r="CO128" s="50"/>
      <c r="CP128" s="50"/>
      <c r="CQ128" s="50"/>
      <c r="CR128" s="50"/>
      <c r="CS128" s="50"/>
      <c r="CT128" s="50"/>
      <c r="CU128" s="50"/>
      <c r="CV128" s="50"/>
      <c r="CW128" s="50"/>
      <c r="CX128" s="50"/>
      <c r="CY128" s="50"/>
      <c r="DA128" s="53" t="s">
        <v>2709</v>
      </c>
      <c r="DC128" s="86">
        <v>2.0</v>
      </c>
      <c r="DD128" s="86">
        <v>2.0</v>
      </c>
      <c r="DE128" s="86">
        <v>2.0</v>
      </c>
      <c r="DF128" s="86">
        <v>2.0</v>
      </c>
      <c r="DG128" s="86">
        <v>2.0</v>
      </c>
      <c r="DH128" s="86">
        <v>2.0</v>
      </c>
      <c r="DI128" s="86">
        <v>2.0</v>
      </c>
      <c r="DJ128" s="87" t="s">
        <v>64</v>
      </c>
      <c r="DK128" s="87" t="s">
        <v>64</v>
      </c>
      <c r="DL128" s="87" t="s">
        <v>64</v>
      </c>
      <c r="DM128" s="50"/>
      <c r="DO128" s="59" t="s">
        <v>2710</v>
      </c>
      <c r="DQ128" s="86">
        <v>2.0</v>
      </c>
      <c r="DR128" s="86">
        <v>2.0</v>
      </c>
      <c r="DS128" s="86">
        <v>2.0</v>
      </c>
      <c r="DT128" s="86">
        <v>2.0</v>
      </c>
      <c r="DU128" s="86">
        <v>2.0</v>
      </c>
      <c r="DV128" s="86">
        <v>2.0</v>
      </c>
      <c r="DW128" s="86">
        <v>2.0</v>
      </c>
      <c r="DX128" s="87" t="s">
        <v>64</v>
      </c>
      <c r="DY128" s="87" t="s">
        <v>64</v>
      </c>
      <c r="DZ128" s="87" t="s">
        <v>64</v>
      </c>
      <c r="EA128" s="50"/>
    </row>
    <row r="129" ht="15.75" customHeight="1">
      <c r="A129" s="11">
        <v>14.0</v>
      </c>
      <c r="B129" s="11" t="s">
        <v>269</v>
      </c>
      <c r="C129" s="11" t="str">
        <f t="array" ref="C129">IFERROR(INDEX(DOCUMENTOS!$E:$E,MATCH($A129,DOCUMENTOS!$A:$A,0)),"")</f>
        <v/>
      </c>
      <c r="D129" s="11" t="str">
        <f t="array" ref="D129">IFERROR(INDEX('BANCO DE PERGUNTAS'!$D:$D,MATCH($B129,'BANCO DE PERGUNTAS'!$A:$A,0)),"")</f>
        <v>Quais informações foram alteradas?</v>
      </c>
      <c r="E129" s="11" t="str">
        <f t="array" ref="E129">IFERROR(INDEX('BANCO DE PERGUNTAS'!$B:$B,MATCH($B129,'BANCO DE PERGUNTAS'!$A:$A,0)),"")</f>
        <v>Análise de Relações entre Informações</v>
      </c>
      <c r="F129" s="12">
        <f t="array" ref="F129">IFERROR(INDEX('BANCO DE PERGUNTAS'!$H:$H,MATCH($B129,'BANCO DE PERGUNTAS'!$A:$A,0)),"")</f>
        <v>5</v>
      </c>
      <c r="I129" s="50"/>
      <c r="J129" s="50"/>
      <c r="K129" s="50"/>
      <c r="L129" s="50"/>
      <c r="M129" s="50"/>
      <c r="N129" s="50"/>
      <c r="O129" s="50"/>
      <c r="P129" s="50"/>
      <c r="Q129" s="50"/>
      <c r="R129" s="50"/>
      <c r="S129" s="50"/>
      <c r="U129" s="97" t="s">
        <v>2711</v>
      </c>
      <c r="W129" s="86">
        <v>2.0</v>
      </c>
      <c r="X129" s="86">
        <v>2.0</v>
      </c>
      <c r="Y129" s="86">
        <v>2.0</v>
      </c>
      <c r="Z129" s="86">
        <v>2.0</v>
      </c>
      <c r="AA129" s="86">
        <v>2.0</v>
      </c>
      <c r="AB129" s="86">
        <v>2.0</v>
      </c>
      <c r="AC129" s="86">
        <v>2.0</v>
      </c>
      <c r="AD129" s="87" t="s">
        <v>64</v>
      </c>
      <c r="AE129" s="87" t="s">
        <v>64</v>
      </c>
      <c r="AF129" s="87" t="s">
        <v>64</v>
      </c>
      <c r="AG129" s="50"/>
      <c r="AI129" s="102" t="s">
        <v>2712</v>
      </c>
      <c r="AK129" s="86">
        <v>2.0</v>
      </c>
      <c r="AL129" s="86">
        <v>2.0</v>
      </c>
      <c r="AM129" s="86">
        <v>2.0</v>
      </c>
      <c r="AN129" s="86">
        <v>2.0</v>
      </c>
      <c r="AO129" s="86">
        <v>2.0</v>
      </c>
      <c r="AP129" s="86">
        <v>2.0</v>
      </c>
      <c r="AQ129" s="86">
        <v>2.0</v>
      </c>
      <c r="AR129" s="87" t="s">
        <v>64</v>
      </c>
      <c r="AS129" s="87" t="s">
        <v>64</v>
      </c>
      <c r="AT129" s="87" t="s">
        <v>64</v>
      </c>
      <c r="AU129" s="50"/>
      <c r="AY129" s="50"/>
      <c r="AZ129" s="50"/>
      <c r="BA129" s="50"/>
      <c r="BB129" s="50"/>
      <c r="BC129" s="50"/>
      <c r="BD129" s="50"/>
      <c r="BE129" s="50"/>
      <c r="BF129" s="50"/>
      <c r="BG129" s="50"/>
      <c r="BH129" s="50"/>
      <c r="BI129" s="50"/>
      <c r="BK129" s="53" t="s">
        <v>2713</v>
      </c>
      <c r="BM129" s="86">
        <v>2.0</v>
      </c>
      <c r="BN129" s="86">
        <v>2.0</v>
      </c>
      <c r="BO129" s="86">
        <v>2.0</v>
      </c>
      <c r="BP129" s="86">
        <v>2.0</v>
      </c>
      <c r="BQ129" s="86">
        <v>2.0</v>
      </c>
      <c r="BR129" s="86">
        <v>2.0</v>
      </c>
      <c r="BS129" s="86">
        <v>2.0</v>
      </c>
      <c r="BT129" s="87" t="s">
        <v>64</v>
      </c>
      <c r="BU129" s="87" t="s">
        <v>64</v>
      </c>
      <c r="BV129" s="87" t="s">
        <v>64</v>
      </c>
      <c r="BW129" s="50"/>
      <c r="BY129" s="53" t="s">
        <v>2714</v>
      </c>
      <c r="CA129" s="86">
        <v>2.0</v>
      </c>
      <c r="CB129" s="86">
        <v>2.0</v>
      </c>
      <c r="CC129" s="86">
        <v>2.0</v>
      </c>
      <c r="CD129" s="86">
        <v>2.0</v>
      </c>
      <c r="CE129" s="86">
        <v>2.0</v>
      </c>
      <c r="CF129" s="86">
        <v>2.0</v>
      </c>
      <c r="CG129" s="86">
        <v>2.0</v>
      </c>
      <c r="CH129" s="87" t="s">
        <v>64</v>
      </c>
      <c r="CI129" s="87" t="s">
        <v>64</v>
      </c>
      <c r="CJ129" s="87" t="s">
        <v>64</v>
      </c>
      <c r="CK129" s="50"/>
      <c r="CO129" s="50"/>
      <c r="CP129" s="50"/>
      <c r="CQ129" s="50"/>
      <c r="CR129" s="50"/>
      <c r="CS129" s="50"/>
      <c r="CT129" s="50"/>
      <c r="CU129" s="50"/>
      <c r="CV129" s="50"/>
      <c r="CW129" s="50"/>
      <c r="CX129" s="50"/>
      <c r="CY129" s="50"/>
      <c r="DA129" s="53" t="s">
        <v>2715</v>
      </c>
      <c r="DC129" s="86">
        <v>2.0</v>
      </c>
      <c r="DD129" s="86">
        <v>2.0</v>
      </c>
      <c r="DE129" s="86">
        <v>2.0</v>
      </c>
      <c r="DF129" s="86">
        <v>2.0</v>
      </c>
      <c r="DG129" s="86">
        <v>2.0</v>
      </c>
      <c r="DH129" s="86">
        <v>2.0</v>
      </c>
      <c r="DI129" s="86">
        <v>2.0</v>
      </c>
      <c r="DJ129" s="87" t="s">
        <v>64</v>
      </c>
      <c r="DK129" s="87" t="s">
        <v>64</v>
      </c>
      <c r="DL129" s="87" t="s">
        <v>64</v>
      </c>
      <c r="DM129" s="50"/>
      <c r="DO129" s="59" t="s">
        <v>2716</v>
      </c>
      <c r="DQ129" s="86">
        <v>2.0</v>
      </c>
      <c r="DR129" s="86">
        <v>2.0</v>
      </c>
      <c r="DS129" s="86">
        <v>2.0</v>
      </c>
      <c r="DT129" s="86">
        <v>2.0</v>
      </c>
      <c r="DU129" s="86">
        <v>2.0</v>
      </c>
      <c r="DV129" s="86">
        <v>2.0</v>
      </c>
      <c r="DW129" s="86">
        <v>2.0</v>
      </c>
      <c r="DX129" s="87" t="s">
        <v>64</v>
      </c>
      <c r="DY129" s="87" t="s">
        <v>64</v>
      </c>
      <c r="DZ129" s="87" t="s">
        <v>64</v>
      </c>
      <c r="EA129" s="50"/>
    </row>
    <row r="130" ht="15.75" customHeight="1">
      <c r="A130" s="14">
        <v>14.0</v>
      </c>
      <c r="B130" s="14" t="s">
        <v>276</v>
      </c>
      <c r="C130" s="14" t="str">
        <f t="array" ref="C130">IFERROR(INDEX(DOCUMENTOS!$E:$E,MATCH($A130,DOCUMENTOS!$A:$A,0)),"")</f>
        <v/>
      </c>
      <c r="D130" s="14" t="str">
        <f t="array" ref="D130">IFERROR(INDEX('BANCO DE PERGUNTAS'!$D:$D,MATCH($B130,'BANCO DE PERGUNTAS'!$A:$A,0)),"")</f>
        <v>Identifique possíveis pontos de atenção administrativa.</v>
      </c>
      <c r="E130" s="14" t="str">
        <f t="array" ref="E130">IFERROR(INDEX('BANCO DE PERGUNTAS'!$B:$B,MATCH($B130,'BANCO DE PERGUNTAS'!$A:$A,0)),"")</f>
        <v>Análise de Risco</v>
      </c>
      <c r="F130" s="17">
        <f t="array" ref="F130">IFERROR(INDEX('BANCO DE PERGUNTAS'!$H:$H,MATCH($B130,'BANCO DE PERGUNTAS'!$A:$A,0)),"")</f>
        <v>4</v>
      </c>
      <c r="I130" s="50"/>
      <c r="J130" s="50"/>
      <c r="K130" s="50"/>
      <c r="L130" s="50"/>
      <c r="M130" s="50"/>
      <c r="N130" s="50"/>
      <c r="O130" s="50"/>
      <c r="P130" s="50"/>
      <c r="Q130" s="50"/>
      <c r="R130" s="50"/>
      <c r="S130" s="50"/>
      <c r="U130" s="101" t="s">
        <v>2717</v>
      </c>
      <c r="W130" s="86">
        <v>2.0</v>
      </c>
      <c r="X130" s="86">
        <v>2.0</v>
      </c>
      <c r="Y130" s="86">
        <v>2.0</v>
      </c>
      <c r="Z130" s="86">
        <v>2.0</v>
      </c>
      <c r="AA130" s="86">
        <v>2.0</v>
      </c>
      <c r="AB130" s="86">
        <v>2.0</v>
      </c>
      <c r="AC130" s="86">
        <v>2.0</v>
      </c>
      <c r="AD130" s="87" t="s">
        <v>64</v>
      </c>
      <c r="AE130" s="87" t="s">
        <v>64</v>
      </c>
      <c r="AF130" s="87" t="s">
        <v>64</v>
      </c>
      <c r="AG130" s="50"/>
      <c r="AI130" s="102" t="s">
        <v>2718</v>
      </c>
      <c r="AK130" s="86">
        <v>2.0</v>
      </c>
      <c r="AL130" s="86">
        <v>2.0</v>
      </c>
      <c r="AM130" s="86">
        <v>2.0</v>
      </c>
      <c r="AN130" s="86">
        <v>2.0</v>
      </c>
      <c r="AO130" s="86">
        <v>2.0</v>
      </c>
      <c r="AP130" s="86">
        <v>2.0</v>
      </c>
      <c r="AQ130" s="86">
        <v>2.0</v>
      </c>
      <c r="AR130" s="87" t="s">
        <v>64</v>
      </c>
      <c r="AS130" s="87" t="s">
        <v>64</v>
      </c>
      <c r="AT130" s="87" t="s">
        <v>64</v>
      </c>
      <c r="AU130" s="50"/>
      <c r="AY130" s="50"/>
      <c r="AZ130" s="50"/>
      <c r="BA130" s="50"/>
      <c r="BB130" s="50"/>
      <c r="BC130" s="50"/>
      <c r="BD130" s="50"/>
      <c r="BE130" s="50"/>
      <c r="BF130" s="50"/>
      <c r="BG130" s="50"/>
      <c r="BH130" s="50"/>
      <c r="BI130" s="50"/>
      <c r="BK130" s="53" t="s">
        <v>2719</v>
      </c>
      <c r="BM130" s="86">
        <v>2.0</v>
      </c>
      <c r="BN130" s="86">
        <v>2.0</v>
      </c>
      <c r="BO130" s="86">
        <v>2.0</v>
      </c>
      <c r="BP130" s="86">
        <v>2.0</v>
      </c>
      <c r="BQ130" s="86">
        <v>2.0</v>
      </c>
      <c r="BR130" s="86">
        <v>2.0</v>
      </c>
      <c r="BS130" s="86">
        <v>2.0</v>
      </c>
      <c r="BT130" s="87" t="s">
        <v>64</v>
      </c>
      <c r="BU130" s="87" t="s">
        <v>64</v>
      </c>
      <c r="BV130" s="87" t="s">
        <v>64</v>
      </c>
      <c r="BW130" s="50"/>
      <c r="BY130" s="53" t="s">
        <v>2720</v>
      </c>
      <c r="CA130" s="86">
        <v>2.0</v>
      </c>
      <c r="CB130" s="86">
        <v>2.0</v>
      </c>
      <c r="CC130" s="86">
        <v>2.0</v>
      </c>
      <c r="CD130" s="86">
        <v>2.0</v>
      </c>
      <c r="CE130" s="86">
        <v>2.0</v>
      </c>
      <c r="CF130" s="86">
        <v>2.0</v>
      </c>
      <c r="CG130" s="86">
        <v>2.0</v>
      </c>
      <c r="CH130" s="87" t="s">
        <v>64</v>
      </c>
      <c r="CI130" s="87" t="s">
        <v>64</v>
      </c>
      <c r="CJ130" s="87" t="s">
        <v>64</v>
      </c>
      <c r="CK130" s="50"/>
      <c r="CO130" s="50"/>
      <c r="CP130" s="50"/>
      <c r="CQ130" s="50"/>
      <c r="CR130" s="50"/>
      <c r="CS130" s="50"/>
      <c r="CT130" s="50"/>
      <c r="CU130" s="50"/>
      <c r="CV130" s="50"/>
      <c r="CW130" s="50"/>
      <c r="CX130" s="50"/>
      <c r="CY130" s="50"/>
      <c r="DA130" s="53" t="s">
        <v>2721</v>
      </c>
      <c r="DC130" s="86">
        <v>2.0</v>
      </c>
      <c r="DD130" s="86">
        <v>2.0</v>
      </c>
      <c r="DE130" s="86">
        <v>2.0</v>
      </c>
      <c r="DF130" s="86">
        <v>2.0</v>
      </c>
      <c r="DG130" s="86">
        <v>2.0</v>
      </c>
      <c r="DH130" s="86">
        <v>2.0</v>
      </c>
      <c r="DI130" s="86">
        <v>2.0</v>
      </c>
      <c r="DJ130" s="87" t="s">
        <v>64</v>
      </c>
      <c r="DK130" s="87" t="s">
        <v>64</v>
      </c>
      <c r="DL130" s="87" t="s">
        <v>64</v>
      </c>
      <c r="DM130" s="50"/>
      <c r="DO130" s="59" t="s">
        <v>2722</v>
      </c>
      <c r="DQ130" s="86">
        <v>2.0</v>
      </c>
      <c r="DR130" s="86">
        <v>2.0</v>
      </c>
      <c r="DS130" s="86">
        <v>2.0</v>
      </c>
      <c r="DT130" s="86">
        <v>2.0</v>
      </c>
      <c r="DU130" s="86">
        <v>2.0</v>
      </c>
      <c r="DV130" s="86">
        <v>2.0</v>
      </c>
      <c r="DW130" s="86">
        <v>2.0</v>
      </c>
      <c r="DX130" s="87" t="s">
        <v>64</v>
      </c>
      <c r="DY130" s="87" t="s">
        <v>64</v>
      </c>
      <c r="DZ130" s="87" t="s">
        <v>64</v>
      </c>
      <c r="EA130" s="50"/>
    </row>
    <row r="131" ht="15.75" customHeight="1">
      <c r="A131" s="11">
        <v>14.0</v>
      </c>
      <c r="B131" s="11" t="s">
        <v>284</v>
      </c>
      <c r="C131" s="11" t="str">
        <f t="array" ref="C131">IFERROR(INDEX(DOCUMENTOS!$E:$E,MATCH($A131,DOCUMENTOS!$A:$A,0)),"")</f>
        <v/>
      </c>
      <c r="D131" s="11" t="str">
        <f t="array" ref="D131">IFERROR(INDEX('BANCO DE PERGUNTAS'!$D:$D,MATCH($B131,'BANCO DE PERGUNTAS'!$A:$A,0)),"")</f>
        <v>Quais informações deveriam ser verificadas antes de uma decisão administrativa?</v>
      </c>
      <c r="E131" s="11" t="str">
        <f t="array" ref="E131">IFERROR(INDEX('BANCO DE PERGUNTAS'!$B:$B,MATCH($B131,'BANCO DE PERGUNTAS'!$A:$A,0)),"")</f>
        <v>Análise de Risco</v>
      </c>
      <c r="F131" s="12">
        <f t="array" ref="F131">IFERROR(INDEX('BANCO DE PERGUNTAS'!$H:$H,MATCH($B131,'BANCO DE PERGUNTAS'!$A:$A,0)),"")</f>
        <v>4</v>
      </c>
      <c r="I131" s="50"/>
      <c r="J131" s="50"/>
      <c r="K131" s="50"/>
      <c r="L131" s="50"/>
      <c r="M131" s="50"/>
      <c r="N131" s="50"/>
      <c r="O131" s="50"/>
      <c r="P131" s="50"/>
      <c r="Q131" s="50"/>
      <c r="R131" s="50"/>
      <c r="S131" s="50"/>
      <c r="U131" s="97" t="s">
        <v>2723</v>
      </c>
      <c r="W131" s="86">
        <v>2.0</v>
      </c>
      <c r="X131" s="86">
        <v>2.0</v>
      </c>
      <c r="Y131" s="86">
        <v>2.0</v>
      </c>
      <c r="Z131" s="86">
        <v>2.0</v>
      </c>
      <c r="AA131" s="86">
        <v>2.0</v>
      </c>
      <c r="AB131" s="86">
        <v>2.0</v>
      </c>
      <c r="AC131" s="86">
        <v>2.0</v>
      </c>
      <c r="AD131" s="87" t="s">
        <v>64</v>
      </c>
      <c r="AE131" s="87" t="s">
        <v>64</v>
      </c>
      <c r="AF131" s="87" t="s">
        <v>64</v>
      </c>
      <c r="AG131" s="50"/>
      <c r="AI131" s="102" t="s">
        <v>2724</v>
      </c>
      <c r="AK131" s="86">
        <v>2.0</v>
      </c>
      <c r="AL131" s="86">
        <v>2.0</v>
      </c>
      <c r="AM131" s="86">
        <v>2.0</v>
      </c>
      <c r="AN131" s="86">
        <v>2.0</v>
      </c>
      <c r="AO131" s="86">
        <v>2.0</v>
      </c>
      <c r="AP131" s="86">
        <v>2.0</v>
      </c>
      <c r="AQ131" s="86">
        <v>2.0</v>
      </c>
      <c r="AR131" s="87" t="s">
        <v>64</v>
      </c>
      <c r="AS131" s="87" t="s">
        <v>64</v>
      </c>
      <c r="AT131" s="87" t="s">
        <v>64</v>
      </c>
      <c r="AU131" s="50"/>
      <c r="AY131" s="50"/>
      <c r="AZ131" s="50"/>
      <c r="BA131" s="50"/>
      <c r="BB131" s="50"/>
      <c r="BC131" s="50"/>
      <c r="BD131" s="50"/>
      <c r="BE131" s="50"/>
      <c r="BF131" s="50"/>
      <c r="BG131" s="50"/>
      <c r="BH131" s="50"/>
      <c r="BI131" s="50"/>
      <c r="BK131" s="53" t="s">
        <v>2725</v>
      </c>
      <c r="BM131" s="86">
        <v>2.0</v>
      </c>
      <c r="BN131" s="86">
        <v>2.0</v>
      </c>
      <c r="BO131" s="86">
        <v>2.0</v>
      </c>
      <c r="BP131" s="86">
        <v>2.0</v>
      </c>
      <c r="BQ131" s="86">
        <v>2.0</v>
      </c>
      <c r="BR131" s="86">
        <v>2.0</v>
      </c>
      <c r="BS131" s="86">
        <v>2.0</v>
      </c>
      <c r="BT131" s="87" t="s">
        <v>64</v>
      </c>
      <c r="BU131" s="87" t="s">
        <v>64</v>
      </c>
      <c r="BV131" s="87" t="s">
        <v>64</v>
      </c>
      <c r="BW131" s="50"/>
      <c r="BY131" s="53" t="s">
        <v>2726</v>
      </c>
      <c r="CA131" s="86">
        <v>2.0</v>
      </c>
      <c r="CB131" s="86">
        <v>2.0</v>
      </c>
      <c r="CC131" s="86">
        <v>2.0</v>
      </c>
      <c r="CD131" s="86">
        <v>2.0</v>
      </c>
      <c r="CE131" s="86">
        <v>2.0</v>
      </c>
      <c r="CF131" s="86">
        <v>2.0</v>
      </c>
      <c r="CG131" s="86">
        <v>2.0</v>
      </c>
      <c r="CH131" s="87" t="s">
        <v>64</v>
      </c>
      <c r="CI131" s="87" t="s">
        <v>64</v>
      </c>
      <c r="CJ131" s="87" t="s">
        <v>64</v>
      </c>
      <c r="CK131" s="50"/>
      <c r="CO131" s="50"/>
      <c r="CP131" s="50"/>
      <c r="CQ131" s="50"/>
      <c r="CR131" s="50"/>
      <c r="CS131" s="50"/>
      <c r="CT131" s="50"/>
      <c r="CU131" s="50"/>
      <c r="CV131" s="50"/>
      <c r="CW131" s="50"/>
      <c r="CX131" s="50"/>
      <c r="CY131" s="50"/>
      <c r="DA131" s="53" t="s">
        <v>2727</v>
      </c>
      <c r="DC131" s="86">
        <v>2.0</v>
      </c>
      <c r="DD131" s="86">
        <v>2.0</v>
      </c>
      <c r="DE131" s="86">
        <v>1.0</v>
      </c>
      <c r="DF131" s="86">
        <v>2.0</v>
      </c>
      <c r="DG131" s="86">
        <v>2.0</v>
      </c>
      <c r="DH131" s="86">
        <v>1.0</v>
      </c>
      <c r="DI131" s="86">
        <v>2.0</v>
      </c>
      <c r="DJ131" s="87" t="s">
        <v>64</v>
      </c>
      <c r="DK131" s="87" t="s">
        <v>64</v>
      </c>
      <c r="DL131" s="87" t="s">
        <v>64</v>
      </c>
      <c r="DM131" s="50"/>
      <c r="DO131" s="59" t="s">
        <v>2728</v>
      </c>
      <c r="DQ131" s="86">
        <v>2.0</v>
      </c>
      <c r="DR131" s="86">
        <v>2.0</v>
      </c>
      <c r="DS131" s="86">
        <v>1.0</v>
      </c>
      <c r="DT131" s="86">
        <v>2.0</v>
      </c>
      <c r="DU131" s="86">
        <v>2.0</v>
      </c>
      <c r="DV131" s="86">
        <v>1.0</v>
      </c>
      <c r="DW131" s="86">
        <v>2.0</v>
      </c>
      <c r="DX131" s="87" t="s">
        <v>64</v>
      </c>
      <c r="DY131" s="87" t="s">
        <v>64</v>
      </c>
      <c r="DZ131" s="87" t="s">
        <v>64</v>
      </c>
      <c r="EA131" s="50"/>
    </row>
    <row r="132" ht="15.75" customHeight="1">
      <c r="A132" s="14">
        <v>14.0</v>
      </c>
      <c r="B132" s="14" t="s">
        <v>288</v>
      </c>
      <c r="C132" s="14" t="str">
        <f t="array" ref="C132">IFERROR(INDEX(DOCUMENTOS!$E:$E,MATCH($A132,DOCUMENTOS!$A:$A,0)),"")</f>
        <v/>
      </c>
      <c r="D132" s="14" t="str">
        <f t="array" ref="D132">IFERROR(INDEX('BANCO DE PERGUNTAS'!$D:$D,MATCH($B132,'BANCO DE PERGUNTAS'!$A:$A,0)),"")</f>
        <v>Identifique situações que possam representar risco administrativo.</v>
      </c>
      <c r="E132" s="14" t="str">
        <f t="array" ref="E132">IFERROR(INDEX('BANCO DE PERGUNTAS'!$B:$B,MATCH($B132,'BANCO DE PERGUNTAS'!$A:$A,0)),"")</f>
        <v>Análise de Risco</v>
      </c>
      <c r="F132" s="17">
        <f t="array" ref="F132">IFERROR(INDEX('BANCO DE PERGUNTAS'!$H:$H,MATCH($B132,'BANCO DE PERGUNTAS'!$A:$A,0)),"")</f>
        <v>4</v>
      </c>
      <c r="I132" s="50"/>
      <c r="J132" s="50"/>
      <c r="K132" s="50"/>
      <c r="L132" s="50"/>
      <c r="M132" s="50"/>
      <c r="N132" s="50"/>
      <c r="O132" s="50"/>
      <c r="P132" s="50"/>
      <c r="Q132" s="50"/>
      <c r="R132" s="50"/>
      <c r="S132" s="50"/>
      <c r="U132" s="101" t="s">
        <v>2729</v>
      </c>
      <c r="W132" s="86">
        <v>2.0</v>
      </c>
      <c r="X132" s="86">
        <v>2.0</v>
      </c>
      <c r="Y132" s="86">
        <v>2.0</v>
      </c>
      <c r="Z132" s="86">
        <v>2.0</v>
      </c>
      <c r="AA132" s="86">
        <v>2.0</v>
      </c>
      <c r="AB132" s="86">
        <v>2.0</v>
      </c>
      <c r="AC132" s="86">
        <v>2.0</v>
      </c>
      <c r="AD132" s="87" t="s">
        <v>64</v>
      </c>
      <c r="AE132" s="87" t="s">
        <v>64</v>
      </c>
      <c r="AF132" s="87" t="s">
        <v>64</v>
      </c>
      <c r="AG132" s="50"/>
      <c r="AI132" s="102" t="s">
        <v>2730</v>
      </c>
      <c r="AK132" s="86">
        <v>2.0</v>
      </c>
      <c r="AL132" s="86">
        <v>2.0</v>
      </c>
      <c r="AM132" s="86">
        <v>2.0</v>
      </c>
      <c r="AN132" s="86">
        <v>2.0</v>
      </c>
      <c r="AO132" s="86">
        <v>2.0</v>
      </c>
      <c r="AP132" s="86">
        <v>2.0</v>
      </c>
      <c r="AQ132" s="86">
        <v>2.0</v>
      </c>
      <c r="AR132" s="87" t="s">
        <v>64</v>
      </c>
      <c r="AS132" s="87" t="s">
        <v>64</v>
      </c>
      <c r="AT132" s="87" t="s">
        <v>64</v>
      </c>
      <c r="AU132" s="50"/>
      <c r="AY132" s="50"/>
      <c r="AZ132" s="50"/>
      <c r="BA132" s="50"/>
      <c r="BB132" s="50"/>
      <c r="BC132" s="50"/>
      <c r="BD132" s="50"/>
      <c r="BE132" s="50"/>
      <c r="BF132" s="50"/>
      <c r="BG132" s="50"/>
      <c r="BH132" s="50"/>
      <c r="BI132" s="50"/>
      <c r="BK132" s="53" t="s">
        <v>2731</v>
      </c>
      <c r="BM132" s="86">
        <v>2.0</v>
      </c>
      <c r="BN132" s="86">
        <v>2.0</v>
      </c>
      <c r="BO132" s="86">
        <v>2.0</v>
      </c>
      <c r="BP132" s="86">
        <v>2.0</v>
      </c>
      <c r="BQ132" s="86">
        <v>2.0</v>
      </c>
      <c r="BR132" s="86">
        <v>2.0</v>
      </c>
      <c r="BS132" s="86">
        <v>2.0</v>
      </c>
      <c r="BT132" s="87" t="s">
        <v>64</v>
      </c>
      <c r="BU132" s="87" t="s">
        <v>64</v>
      </c>
      <c r="BV132" s="87" t="s">
        <v>64</v>
      </c>
      <c r="BW132" s="50"/>
      <c r="BY132" s="53" t="s">
        <v>2732</v>
      </c>
      <c r="CA132" s="86">
        <v>2.0</v>
      </c>
      <c r="CB132" s="86">
        <v>2.0</v>
      </c>
      <c r="CC132" s="86">
        <v>2.0</v>
      </c>
      <c r="CD132" s="86">
        <v>2.0</v>
      </c>
      <c r="CE132" s="86">
        <v>2.0</v>
      </c>
      <c r="CF132" s="86">
        <v>2.0</v>
      </c>
      <c r="CG132" s="86">
        <v>2.0</v>
      </c>
      <c r="CH132" s="87" t="s">
        <v>64</v>
      </c>
      <c r="CI132" s="87" t="s">
        <v>64</v>
      </c>
      <c r="CJ132" s="87" t="s">
        <v>64</v>
      </c>
      <c r="CK132" s="50"/>
      <c r="CO132" s="50"/>
      <c r="CP132" s="50"/>
      <c r="CQ132" s="50"/>
      <c r="CR132" s="50"/>
      <c r="CS132" s="50"/>
      <c r="CT132" s="50"/>
      <c r="CU132" s="50"/>
      <c r="CV132" s="50"/>
      <c r="CW132" s="50"/>
      <c r="CX132" s="50"/>
      <c r="CY132" s="50"/>
      <c r="DA132" s="53" t="s">
        <v>2733</v>
      </c>
      <c r="DC132" s="86">
        <v>2.0</v>
      </c>
      <c r="DD132" s="86">
        <v>2.0</v>
      </c>
      <c r="DE132" s="86">
        <v>2.0</v>
      </c>
      <c r="DF132" s="86">
        <v>2.0</v>
      </c>
      <c r="DG132" s="86">
        <v>2.0</v>
      </c>
      <c r="DH132" s="86">
        <v>2.0</v>
      </c>
      <c r="DI132" s="86">
        <v>2.0</v>
      </c>
      <c r="DJ132" s="87" t="s">
        <v>64</v>
      </c>
      <c r="DK132" s="87" t="s">
        <v>64</v>
      </c>
      <c r="DL132" s="87" t="s">
        <v>64</v>
      </c>
      <c r="DM132" s="50"/>
      <c r="DO132" s="59" t="s">
        <v>2734</v>
      </c>
      <c r="DQ132" s="86">
        <v>2.0</v>
      </c>
      <c r="DR132" s="86">
        <v>2.0</v>
      </c>
      <c r="DS132" s="86">
        <v>1.0</v>
      </c>
      <c r="DT132" s="86">
        <v>2.0</v>
      </c>
      <c r="DU132" s="86">
        <v>2.0</v>
      </c>
      <c r="DV132" s="86">
        <v>1.0</v>
      </c>
      <c r="DW132" s="86">
        <v>2.0</v>
      </c>
      <c r="DX132" s="87" t="s">
        <v>64</v>
      </c>
      <c r="DY132" s="87" t="s">
        <v>64</v>
      </c>
      <c r="DZ132" s="87" t="s">
        <v>64</v>
      </c>
      <c r="EA132" s="50"/>
    </row>
    <row r="133" ht="15.75" customHeight="1">
      <c r="A133" s="11">
        <v>14.0</v>
      </c>
      <c r="B133" s="11" t="s">
        <v>294</v>
      </c>
      <c r="C133" s="11" t="str">
        <f t="array" ref="C133">IFERROR(INDEX(DOCUMENTOS!$E:$E,MATCH($A133,DOCUMENTOS!$A:$A,0)),"")</f>
        <v/>
      </c>
      <c r="D133" s="11" t="str">
        <f t="array" ref="D133">IFERROR(INDEX('BANCO DE PERGUNTAS'!$D:$D,MATCH($B133,'BANCO DE PERGUNTAS'!$A:$A,0)),"")</f>
        <v>Resuma o documento em até cinco pontos objetivos.</v>
      </c>
      <c r="E133" s="11" t="str">
        <f t="array" ref="E133">IFERROR(INDEX('BANCO DE PERGUNTAS'!$B:$B,MATCH($B133,'BANCO DE PERGUNTAS'!$A:$A,0)),"")</f>
        <v>Síntese</v>
      </c>
      <c r="F133" s="12">
        <f t="array" ref="F133">IFERROR(INDEX('BANCO DE PERGUNTAS'!$H:$H,MATCH($B133,'BANCO DE PERGUNTAS'!$A:$A,0)),"")</f>
        <v>3</v>
      </c>
      <c r="I133" s="50"/>
      <c r="J133" s="50"/>
      <c r="K133" s="50"/>
      <c r="L133" s="50"/>
      <c r="M133" s="50"/>
      <c r="N133" s="50"/>
      <c r="O133" s="50"/>
      <c r="P133" s="50"/>
      <c r="Q133" s="50"/>
      <c r="R133" s="50"/>
      <c r="S133" s="50"/>
      <c r="U133" s="97" t="s">
        <v>2735</v>
      </c>
      <c r="W133" s="86">
        <v>2.0</v>
      </c>
      <c r="X133" s="86">
        <v>2.0</v>
      </c>
      <c r="Y133" s="86">
        <v>2.0</v>
      </c>
      <c r="Z133" s="86">
        <v>2.0</v>
      </c>
      <c r="AA133" s="86">
        <v>2.0</v>
      </c>
      <c r="AB133" s="86">
        <v>2.0</v>
      </c>
      <c r="AC133" s="86">
        <v>2.0</v>
      </c>
      <c r="AD133" s="87" t="s">
        <v>64</v>
      </c>
      <c r="AE133" s="87" t="s">
        <v>64</v>
      </c>
      <c r="AF133" s="87" t="s">
        <v>64</v>
      </c>
      <c r="AG133" s="50"/>
      <c r="AI133" s="102" t="s">
        <v>2736</v>
      </c>
      <c r="AK133" s="86">
        <v>2.0</v>
      </c>
      <c r="AL133" s="86">
        <v>2.0</v>
      </c>
      <c r="AM133" s="86">
        <v>2.0</v>
      </c>
      <c r="AN133" s="86">
        <v>2.0</v>
      </c>
      <c r="AO133" s="86">
        <v>2.0</v>
      </c>
      <c r="AP133" s="86">
        <v>2.0</v>
      </c>
      <c r="AQ133" s="86">
        <v>2.0</v>
      </c>
      <c r="AR133" s="87" t="s">
        <v>64</v>
      </c>
      <c r="AS133" s="87" t="s">
        <v>64</v>
      </c>
      <c r="AT133" s="87" t="s">
        <v>64</v>
      </c>
      <c r="AU133" s="50"/>
      <c r="AY133" s="50"/>
      <c r="AZ133" s="50"/>
      <c r="BA133" s="50"/>
      <c r="BB133" s="50"/>
      <c r="BC133" s="50"/>
      <c r="BD133" s="50"/>
      <c r="BE133" s="50"/>
      <c r="BF133" s="50"/>
      <c r="BG133" s="50"/>
      <c r="BH133" s="50"/>
      <c r="BI133" s="50"/>
      <c r="BK133" s="53" t="s">
        <v>2737</v>
      </c>
      <c r="BM133" s="86">
        <v>2.0</v>
      </c>
      <c r="BN133" s="86">
        <v>2.0</v>
      </c>
      <c r="BO133" s="86">
        <v>2.0</v>
      </c>
      <c r="BP133" s="86">
        <v>2.0</v>
      </c>
      <c r="BQ133" s="86">
        <v>2.0</v>
      </c>
      <c r="BR133" s="86">
        <v>2.0</v>
      </c>
      <c r="BS133" s="86">
        <v>2.0</v>
      </c>
      <c r="BT133" s="87" t="s">
        <v>64</v>
      </c>
      <c r="BU133" s="87" t="s">
        <v>64</v>
      </c>
      <c r="BV133" s="87" t="s">
        <v>64</v>
      </c>
      <c r="BW133" s="50"/>
      <c r="BY133" s="53" t="s">
        <v>2738</v>
      </c>
      <c r="CA133" s="86">
        <v>2.0</v>
      </c>
      <c r="CB133" s="86">
        <v>2.0</v>
      </c>
      <c r="CC133" s="86">
        <v>2.0</v>
      </c>
      <c r="CD133" s="86">
        <v>2.0</v>
      </c>
      <c r="CE133" s="86">
        <v>2.0</v>
      </c>
      <c r="CF133" s="86">
        <v>2.0</v>
      </c>
      <c r="CG133" s="86">
        <v>2.0</v>
      </c>
      <c r="CH133" s="87" t="s">
        <v>64</v>
      </c>
      <c r="CI133" s="87" t="s">
        <v>64</v>
      </c>
      <c r="CJ133" s="87" t="s">
        <v>64</v>
      </c>
      <c r="CK133" s="50"/>
      <c r="CO133" s="50"/>
      <c r="CP133" s="50"/>
      <c r="CQ133" s="50"/>
      <c r="CR133" s="50"/>
      <c r="CS133" s="50"/>
      <c r="CT133" s="50"/>
      <c r="CU133" s="50"/>
      <c r="CV133" s="50"/>
      <c r="CW133" s="50"/>
      <c r="CX133" s="50"/>
      <c r="CY133" s="50"/>
      <c r="DA133" s="53" t="s">
        <v>2739</v>
      </c>
      <c r="DC133" s="86">
        <v>2.0</v>
      </c>
      <c r="DD133" s="86">
        <v>2.0</v>
      </c>
      <c r="DE133" s="86">
        <v>2.0</v>
      </c>
      <c r="DF133" s="86">
        <v>2.0</v>
      </c>
      <c r="DG133" s="86">
        <v>2.0</v>
      </c>
      <c r="DH133" s="86">
        <v>2.0</v>
      </c>
      <c r="DI133" s="86">
        <v>2.0</v>
      </c>
      <c r="DJ133" s="87" t="s">
        <v>64</v>
      </c>
      <c r="DK133" s="87" t="s">
        <v>64</v>
      </c>
      <c r="DL133" s="87" t="s">
        <v>64</v>
      </c>
      <c r="DM133" s="50"/>
      <c r="DO133" s="59" t="s">
        <v>2740</v>
      </c>
      <c r="DQ133" s="86">
        <v>0.0</v>
      </c>
      <c r="DR133" s="86">
        <v>2.0</v>
      </c>
      <c r="DS133" s="86">
        <v>1.0</v>
      </c>
      <c r="DT133" s="86">
        <v>2.0</v>
      </c>
      <c r="DU133" s="86">
        <v>2.0</v>
      </c>
      <c r="DV133" s="86">
        <v>1.0</v>
      </c>
      <c r="DW133" s="86">
        <v>2.0</v>
      </c>
      <c r="DX133" s="87" t="s">
        <v>64</v>
      </c>
      <c r="DY133" s="87" t="s">
        <v>64</v>
      </c>
      <c r="DZ133" s="87" t="s">
        <v>64</v>
      </c>
      <c r="EA133" s="50"/>
    </row>
    <row r="134" ht="15.75" customHeight="1">
      <c r="A134" s="14">
        <v>14.0</v>
      </c>
      <c r="B134" s="14" t="s">
        <v>302</v>
      </c>
      <c r="C134" s="14" t="str">
        <f t="array" ref="C134">IFERROR(INDEX(DOCUMENTOS!$E:$E,MATCH($A134,DOCUMENTOS!$A:$A,0)),"")</f>
        <v/>
      </c>
      <c r="D134" s="14" t="str">
        <f t="array" ref="D134">IFERROR(INDEX('BANCO DE PERGUNTAS'!$D:$D,MATCH($B134,'BANCO DE PERGUNTAS'!$A:$A,0)),"")</f>
        <v>Qual é a principal finalidade do documento?</v>
      </c>
      <c r="E134" s="14" t="str">
        <f t="array" ref="E134">IFERROR(INDEX('BANCO DE PERGUNTAS'!$B:$B,MATCH($B134,'BANCO DE PERGUNTAS'!$A:$A,0)),"")</f>
        <v>Síntese</v>
      </c>
      <c r="F134" s="17">
        <f t="array" ref="F134">IFERROR(INDEX('BANCO DE PERGUNTAS'!$H:$H,MATCH($B134,'BANCO DE PERGUNTAS'!$A:$A,0)),"")</f>
        <v>2</v>
      </c>
      <c r="I134" s="50"/>
      <c r="J134" s="50"/>
      <c r="K134" s="50"/>
      <c r="L134" s="50"/>
      <c r="M134" s="50"/>
      <c r="N134" s="50"/>
      <c r="O134" s="50"/>
      <c r="P134" s="50"/>
      <c r="Q134" s="50"/>
      <c r="R134" s="50"/>
      <c r="S134" s="50"/>
      <c r="U134" s="101" t="s">
        <v>2741</v>
      </c>
      <c r="W134" s="86">
        <v>2.0</v>
      </c>
      <c r="X134" s="86">
        <v>2.0</v>
      </c>
      <c r="Y134" s="86">
        <v>2.0</v>
      </c>
      <c r="Z134" s="86">
        <v>2.0</v>
      </c>
      <c r="AA134" s="86">
        <v>2.0</v>
      </c>
      <c r="AB134" s="86">
        <v>2.0</v>
      </c>
      <c r="AC134" s="86">
        <v>2.0</v>
      </c>
      <c r="AD134" s="87" t="s">
        <v>64</v>
      </c>
      <c r="AE134" s="87" t="s">
        <v>64</v>
      </c>
      <c r="AF134" s="87" t="s">
        <v>64</v>
      </c>
      <c r="AG134" s="50"/>
      <c r="AI134" s="102" t="s">
        <v>2742</v>
      </c>
      <c r="AK134" s="86">
        <v>2.0</v>
      </c>
      <c r="AL134" s="86">
        <v>2.0</v>
      </c>
      <c r="AM134" s="86">
        <v>2.0</v>
      </c>
      <c r="AN134" s="86">
        <v>2.0</v>
      </c>
      <c r="AO134" s="86">
        <v>2.0</v>
      </c>
      <c r="AP134" s="86">
        <v>2.0</v>
      </c>
      <c r="AQ134" s="86">
        <v>2.0</v>
      </c>
      <c r="AR134" s="87" t="s">
        <v>64</v>
      </c>
      <c r="AS134" s="87" t="s">
        <v>64</v>
      </c>
      <c r="AT134" s="87" t="s">
        <v>64</v>
      </c>
      <c r="AU134" s="50"/>
      <c r="AY134" s="50"/>
      <c r="AZ134" s="50"/>
      <c r="BA134" s="50"/>
      <c r="BB134" s="50"/>
      <c r="BC134" s="50"/>
      <c r="BD134" s="50"/>
      <c r="BE134" s="50"/>
      <c r="BF134" s="50"/>
      <c r="BG134" s="50"/>
      <c r="BH134" s="50"/>
      <c r="BI134" s="50"/>
      <c r="BK134" s="53" t="s">
        <v>2743</v>
      </c>
      <c r="BM134" s="86">
        <v>2.0</v>
      </c>
      <c r="BN134" s="86">
        <v>2.0</v>
      </c>
      <c r="BO134" s="86">
        <v>2.0</v>
      </c>
      <c r="BP134" s="86">
        <v>2.0</v>
      </c>
      <c r="BQ134" s="86">
        <v>2.0</v>
      </c>
      <c r="BR134" s="86">
        <v>2.0</v>
      </c>
      <c r="BS134" s="86">
        <v>2.0</v>
      </c>
      <c r="BT134" s="87" t="s">
        <v>64</v>
      </c>
      <c r="BU134" s="87" t="s">
        <v>64</v>
      </c>
      <c r="BV134" s="87" t="s">
        <v>64</v>
      </c>
      <c r="BW134" s="50"/>
      <c r="BY134" s="53" t="s">
        <v>2744</v>
      </c>
      <c r="CA134" s="86">
        <v>2.0</v>
      </c>
      <c r="CB134" s="86">
        <v>2.0</v>
      </c>
      <c r="CC134" s="86">
        <v>2.0</v>
      </c>
      <c r="CD134" s="86">
        <v>2.0</v>
      </c>
      <c r="CE134" s="86">
        <v>2.0</v>
      </c>
      <c r="CF134" s="86">
        <v>2.0</v>
      </c>
      <c r="CG134" s="86">
        <v>2.0</v>
      </c>
      <c r="CH134" s="87" t="s">
        <v>64</v>
      </c>
      <c r="CI134" s="87" t="s">
        <v>64</v>
      </c>
      <c r="CJ134" s="87" t="s">
        <v>64</v>
      </c>
      <c r="CK134" s="50"/>
      <c r="CO134" s="50"/>
      <c r="CP134" s="50"/>
      <c r="CQ134" s="50"/>
      <c r="CR134" s="50"/>
      <c r="CS134" s="50"/>
      <c r="CT134" s="50"/>
      <c r="CU134" s="50"/>
      <c r="CV134" s="50"/>
      <c r="CW134" s="50"/>
      <c r="CX134" s="50"/>
      <c r="CY134" s="50"/>
      <c r="DA134" s="53" t="s">
        <v>2745</v>
      </c>
      <c r="DC134" s="86">
        <v>2.0</v>
      </c>
      <c r="DD134" s="86">
        <v>2.0</v>
      </c>
      <c r="DE134" s="86">
        <v>2.0</v>
      </c>
      <c r="DF134" s="86">
        <v>2.0</v>
      </c>
      <c r="DG134" s="86">
        <v>2.0</v>
      </c>
      <c r="DH134" s="86">
        <v>2.0</v>
      </c>
      <c r="DI134" s="86">
        <v>2.0</v>
      </c>
      <c r="DJ134" s="87" t="s">
        <v>64</v>
      </c>
      <c r="DK134" s="87" t="s">
        <v>64</v>
      </c>
      <c r="DL134" s="87" t="s">
        <v>64</v>
      </c>
      <c r="DM134" s="50"/>
      <c r="DO134" s="59" t="s">
        <v>2746</v>
      </c>
      <c r="DQ134" s="86">
        <v>0.0</v>
      </c>
      <c r="DR134" s="86">
        <v>2.0</v>
      </c>
      <c r="DS134" s="86">
        <v>1.0</v>
      </c>
      <c r="DT134" s="86">
        <v>2.0</v>
      </c>
      <c r="DU134" s="86">
        <v>2.0</v>
      </c>
      <c r="DV134" s="86">
        <v>1.0</v>
      </c>
      <c r="DW134" s="86">
        <v>2.0</v>
      </c>
      <c r="DX134" s="87" t="s">
        <v>64</v>
      </c>
      <c r="DY134" s="87" t="s">
        <v>64</v>
      </c>
      <c r="DZ134" s="87" t="s">
        <v>64</v>
      </c>
      <c r="EA134" s="50"/>
    </row>
    <row r="135" ht="15.75" customHeight="1">
      <c r="A135" s="11">
        <v>14.0</v>
      </c>
      <c r="B135" s="11" t="s">
        <v>307</v>
      </c>
      <c r="C135" s="11" t="str">
        <f t="array" ref="C135">IFERROR(INDEX(DOCUMENTOS!$E:$E,MATCH($A135,DOCUMENTOS!$A:$A,0)),"")</f>
        <v/>
      </c>
      <c r="D135" s="11" t="str">
        <f t="array" ref="D135">IFERROR(INDEX('BANCO DE PERGUNTAS'!$D:$D,MATCH($B135,'BANCO DE PERGUNTAS'!$A:$A,0)),"")</f>
        <v>Quais são as três informações mais importantes para um servidor responsável pela análise?</v>
      </c>
      <c r="E135" s="11" t="str">
        <f t="array" ref="E135">IFERROR(INDEX('BANCO DE PERGUNTAS'!$B:$B,MATCH($B135,'BANCO DE PERGUNTAS'!$A:$A,0)),"")</f>
        <v>Síntese</v>
      </c>
      <c r="F135" s="12">
        <f t="array" ref="F135">IFERROR(INDEX('BANCO DE PERGUNTAS'!$H:$H,MATCH($B135,'BANCO DE PERGUNTAS'!$A:$A,0)),"")</f>
        <v>3</v>
      </c>
      <c r="I135" s="50"/>
      <c r="J135" s="50"/>
      <c r="K135" s="50"/>
      <c r="L135" s="50"/>
      <c r="M135" s="50"/>
      <c r="N135" s="50"/>
      <c r="O135" s="50"/>
      <c r="P135" s="50"/>
      <c r="Q135" s="50"/>
      <c r="R135" s="50"/>
      <c r="S135" s="50"/>
      <c r="U135" s="97" t="s">
        <v>2747</v>
      </c>
      <c r="W135" s="86">
        <v>2.0</v>
      </c>
      <c r="X135" s="86">
        <v>2.0</v>
      </c>
      <c r="Y135" s="86">
        <v>2.0</v>
      </c>
      <c r="Z135" s="86">
        <v>2.0</v>
      </c>
      <c r="AA135" s="86">
        <v>2.0</v>
      </c>
      <c r="AB135" s="86">
        <v>2.0</v>
      </c>
      <c r="AC135" s="86">
        <v>2.0</v>
      </c>
      <c r="AD135" s="87" t="s">
        <v>64</v>
      </c>
      <c r="AE135" s="87" t="s">
        <v>64</v>
      </c>
      <c r="AF135" s="87" t="s">
        <v>64</v>
      </c>
      <c r="AG135" s="50"/>
      <c r="AI135" s="102" t="s">
        <v>2748</v>
      </c>
      <c r="AK135" s="86">
        <v>2.0</v>
      </c>
      <c r="AL135" s="86">
        <v>2.0</v>
      </c>
      <c r="AM135" s="86">
        <v>2.0</v>
      </c>
      <c r="AN135" s="86">
        <v>2.0</v>
      </c>
      <c r="AO135" s="86">
        <v>2.0</v>
      </c>
      <c r="AP135" s="86">
        <v>2.0</v>
      </c>
      <c r="AQ135" s="86">
        <v>2.0</v>
      </c>
      <c r="AR135" s="87" t="s">
        <v>64</v>
      </c>
      <c r="AS135" s="87" t="s">
        <v>64</v>
      </c>
      <c r="AT135" s="87" t="s">
        <v>64</v>
      </c>
      <c r="AU135" s="50"/>
      <c r="AY135" s="50"/>
      <c r="AZ135" s="50"/>
      <c r="BA135" s="50"/>
      <c r="BB135" s="50"/>
      <c r="BC135" s="50"/>
      <c r="BD135" s="50"/>
      <c r="BE135" s="50"/>
      <c r="BF135" s="50"/>
      <c r="BG135" s="50"/>
      <c r="BH135" s="50"/>
      <c r="BI135" s="50"/>
      <c r="BK135" s="53" t="s">
        <v>2749</v>
      </c>
      <c r="BM135" s="86">
        <v>2.0</v>
      </c>
      <c r="BN135" s="86">
        <v>2.0</v>
      </c>
      <c r="BO135" s="86">
        <v>2.0</v>
      </c>
      <c r="BP135" s="86">
        <v>2.0</v>
      </c>
      <c r="BQ135" s="86">
        <v>2.0</v>
      </c>
      <c r="BR135" s="86">
        <v>2.0</v>
      </c>
      <c r="BS135" s="86">
        <v>2.0</v>
      </c>
      <c r="BT135" s="87" t="s">
        <v>64</v>
      </c>
      <c r="BU135" s="87" t="s">
        <v>64</v>
      </c>
      <c r="BV135" s="87" t="s">
        <v>64</v>
      </c>
      <c r="BW135" s="50"/>
      <c r="BY135" s="53" t="s">
        <v>2750</v>
      </c>
      <c r="CA135" s="86">
        <v>2.0</v>
      </c>
      <c r="CB135" s="86">
        <v>2.0</v>
      </c>
      <c r="CC135" s="86">
        <v>2.0</v>
      </c>
      <c r="CD135" s="86">
        <v>2.0</v>
      </c>
      <c r="CE135" s="86">
        <v>2.0</v>
      </c>
      <c r="CF135" s="86">
        <v>2.0</v>
      </c>
      <c r="CG135" s="86">
        <v>2.0</v>
      </c>
      <c r="CH135" s="87" t="s">
        <v>64</v>
      </c>
      <c r="CI135" s="87" t="s">
        <v>64</v>
      </c>
      <c r="CJ135" s="87" t="s">
        <v>64</v>
      </c>
      <c r="CK135" s="50"/>
      <c r="CO135" s="50"/>
      <c r="CP135" s="50"/>
      <c r="CQ135" s="50"/>
      <c r="CR135" s="50"/>
      <c r="CS135" s="50"/>
      <c r="CT135" s="50"/>
      <c r="CU135" s="50"/>
      <c r="CV135" s="50"/>
      <c r="CW135" s="50"/>
      <c r="CX135" s="50"/>
      <c r="CY135" s="50"/>
      <c r="DA135" s="53" t="s">
        <v>2751</v>
      </c>
      <c r="DC135" s="86">
        <v>2.0</v>
      </c>
      <c r="DD135" s="86">
        <v>2.0</v>
      </c>
      <c r="DE135" s="86">
        <v>2.0</v>
      </c>
      <c r="DF135" s="86">
        <v>2.0</v>
      </c>
      <c r="DG135" s="86">
        <v>2.0</v>
      </c>
      <c r="DH135" s="86">
        <v>2.0</v>
      </c>
      <c r="DI135" s="86">
        <v>2.0</v>
      </c>
      <c r="DJ135" s="87" t="s">
        <v>64</v>
      </c>
      <c r="DK135" s="87" t="s">
        <v>64</v>
      </c>
      <c r="DL135" s="87" t="s">
        <v>64</v>
      </c>
      <c r="DM135" s="50"/>
      <c r="DO135" s="59" t="s">
        <v>2752</v>
      </c>
      <c r="DQ135" s="86">
        <v>1.0</v>
      </c>
      <c r="DR135" s="86">
        <v>2.0</v>
      </c>
      <c r="DS135" s="86">
        <v>1.0</v>
      </c>
      <c r="DT135" s="86">
        <v>2.0</v>
      </c>
      <c r="DU135" s="86">
        <v>2.0</v>
      </c>
      <c r="DV135" s="86">
        <v>1.0</v>
      </c>
      <c r="DW135" s="86">
        <v>2.0</v>
      </c>
      <c r="DX135" s="87" t="s">
        <v>64</v>
      </c>
      <c r="DY135" s="87" t="s">
        <v>64</v>
      </c>
      <c r="DZ135" s="87" t="s">
        <v>64</v>
      </c>
      <c r="EA135" s="50"/>
    </row>
    <row r="136" ht="15.75" customHeight="1">
      <c r="A136" s="14">
        <v>15.0</v>
      </c>
      <c r="B136" s="14" t="s">
        <v>33</v>
      </c>
      <c r="C136" s="14" t="str">
        <f t="array" ref="C136">IFERROR(INDEX(DOCUMENTOS!$E:$E,MATCH($A136,DOCUMENTOS!$A:$A,0)),"")</f>
        <v/>
      </c>
      <c r="D136" s="14" t="str">
        <f t="array" ref="D136">IFERROR(INDEX('BANCO DE PERGUNTAS'!$D:$D,MATCH($B136,'BANCO DE PERGUNTAS'!$A:$A,0)),"")</f>
        <v>Qual é o objeto principal deste documento?</v>
      </c>
      <c r="E136" s="14" t="str">
        <f t="array" ref="E136">IFERROR(INDEX('BANCO DE PERGUNTAS'!$B:$B,MATCH($B136,'BANCO DE PERGUNTAS'!$A:$A,0)),"")</f>
        <v>Identificação</v>
      </c>
      <c r="F136" s="17">
        <f t="array" ref="F136">IFERROR(INDEX('BANCO DE PERGUNTAS'!$H:$H,MATCH($B136,'BANCO DE PERGUNTAS'!$A:$A,0)),"")</f>
        <v>1</v>
      </c>
      <c r="I136" s="50"/>
      <c r="J136" s="50"/>
      <c r="K136" s="50"/>
      <c r="L136" s="50"/>
      <c r="M136" s="50"/>
      <c r="N136" s="50"/>
      <c r="O136" s="50"/>
      <c r="P136" s="50"/>
      <c r="Q136" s="50"/>
      <c r="R136" s="50"/>
      <c r="S136" s="50"/>
      <c r="U136" s="97" t="s">
        <v>2753</v>
      </c>
      <c r="W136" s="86">
        <v>2.0</v>
      </c>
      <c r="X136" s="86">
        <v>2.0</v>
      </c>
      <c r="Y136" s="86">
        <v>2.0</v>
      </c>
      <c r="Z136" s="86">
        <v>2.0</v>
      </c>
      <c r="AA136" s="86">
        <v>2.0</v>
      </c>
      <c r="AB136" s="86">
        <v>2.0</v>
      </c>
      <c r="AC136" s="86">
        <v>2.0</v>
      </c>
      <c r="AD136" s="87" t="s">
        <v>64</v>
      </c>
      <c r="AE136" s="87" t="s">
        <v>64</v>
      </c>
      <c r="AF136" s="87" t="s">
        <v>64</v>
      </c>
      <c r="AG136" s="50"/>
      <c r="AI136" s="103" t="s">
        <v>2754</v>
      </c>
      <c r="AK136" s="86">
        <v>2.0</v>
      </c>
      <c r="AL136" s="86">
        <v>2.0</v>
      </c>
      <c r="AM136" s="86">
        <v>2.0</v>
      </c>
      <c r="AN136" s="86">
        <v>2.0</v>
      </c>
      <c r="AO136" s="86">
        <v>2.0</v>
      </c>
      <c r="AP136" s="86">
        <v>2.0</v>
      </c>
      <c r="AQ136" s="86">
        <v>2.0</v>
      </c>
      <c r="AR136" s="87" t="s">
        <v>64</v>
      </c>
      <c r="AS136" s="87" t="s">
        <v>64</v>
      </c>
      <c r="AT136" s="87" t="s">
        <v>64</v>
      </c>
      <c r="AU136" s="50"/>
      <c r="AY136" s="50"/>
      <c r="AZ136" s="50"/>
      <c r="BA136" s="50"/>
      <c r="BB136" s="50"/>
      <c r="BC136" s="50"/>
      <c r="BD136" s="50"/>
      <c r="BE136" s="50"/>
      <c r="BF136" s="50"/>
      <c r="BG136" s="50"/>
      <c r="BH136" s="50"/>
      <c r="BI136" s="50"/>
      <c r="BK136" s="104" t="s">
        <v>2755</v>
      </c>
      <c r="BM136" s="86">
        <v>2.0</v>
      </c>
      <c r="BN136" s="86">
        <v>2.0</v>
      </c>
      <c r="BO136" s="86">
        <v>2.0</v>
      </c>
      <c r="BP136" s="86">
        <v>2.0</v>
      </c>
      <c r="BQ136" s="86">
        <v>2.0</v>
      </c>
      <c r="BR136" s="86">
        <v>2.0</v>
      </c>
      <c r="BS136" s="86">
        <v>2.0</v>
      </c>
      <c r="BT136" s="87" t="s">
        <v>64</v>
      </c>
      <c r="BU136" s="87" t="s">
        <v>64</v>
      </c>
      <c r="BV136" s="87" t="s">
        <v>64</v>
      </c>
      <c r="BW136" s="50"/>
      <c r="BY136" s="53" t="s">
        <v>2756</v>
      </c>
      <c r="CA136" s="86">
        <v>2.0</v>
      </c>
      <c r="CB136" s="86">
        <v>2.0</v>
      </c>
      <c r="CC136" s="86">
        <v>2.0</v>
      </c>
      <c r="CD136" s="86">
        <v>2.0</v>
      </c>
      <c r="CE136" s="86">
        <v>2.0</v>
      </c>
      <c r="CF136" s="86">
        <v>2.0</v>
      </c>
      <c r="CG136" s="86">
        <v>2.0</v>
      </c>
      <c r="CH136" s="87" t="s">
        <v>64</v>
      </c>
      <c r="CI136" s="87" t="s">
        <v>64</v>
      </c>
      <c r="CJ136" s="87" t="s">
        <v>64</v>
      </c>
      <c r="CK136" s="50"/>
      <c r="CO136" s="50"/>
      <c r="CP136" s="50"/>
      <c r="CQ136" s="50"/>
      <c r="CR136" s="50"/>
      <c r="CS136" s="50"/>
      <c r="CT136" s="50"/>
      <c r="CU136" s="50"/>
      <c r="CV136" s="50"/>
      <c r="CW136" s="50"/>
      <c r="CX136" s="50"/>
      <c r="CY136" s="50"/>
      <c r="DA136" s="53" t="s">
        <v>2757</v>
      </c>
      <c r="DC136" s="86">
        <v>2.0</v>
      </c>
      <c r="DD136" s="86">
        <v>2.0</v>
      </c>
      <c r="DE136" s="86">
        <v>2.0</v>
      </c>
      <c r="DF136" s="86">
        <v>2.0</v>
      </c>
      <c r="DG136" s="86">
        <v>2.0</v>
      </c>
      <c r="DH136" s="86">
        <v>2.0</v>
      </c>
      <c r="DI136" s="86">
        <v>2.0</v>
      </c>
      <c r="DJ136" s="87" t="s">
        <v>64</v>
      </c>
      <c r="DK136" s="87" t="s">
        <v>64</v>
      </c>
      <c r="DL136" s="87" t="s">
        <v>64</v>
      </c>
      <c r="DM136" s="50"/>
      <c r="DO136" s="59" t="s">
        <v>2758</v>
      </c>
      <c r="DQ136" s="86">
        <v>2.0</v>
      </c>
      <c r="DR136" s="86">
        <v>2.0</v>
      </c>
      <c r="DS136" s="86">
        <v>2.0</v>
      </c>
      <c r="DT136" s="86">
        <v>2.0</v>
      </c>
      <c r="DU136" s="86">
        <v>2.0</v>
      </c>
      <c r="DV136" s="86">
        <v>2.0</v>
      </c>
      <c r="DW136" s="86">
        <v>2.0</v>
      </c>
      <c r="DX136" s="87" t="s">
        <v>64</v>
      </c>
      <c r="DY136" s="87" t="s">
        <v>64</v>
      </c>
      <c r="DZ136" s="87" t="s">
        <v>64</v>
      </c>
      <c r="EA136" s="50"/>
    </row>
    <row r="137" ht="15.75" customHeight="1">
      <c r="A137" s="11">
        <v>15.0</v>
      </c>
      <c r="B137" s="11" t="s">
        <v>68</v>
      </c>
      <c r="C137" s="11" t="str">
        <f t="array" ref="C137">IFERROR(INDEX(DOCUMENTOS!$E:$E,MATCH($A137,DOCUMENTOS!$A:$A,0)),"")</f>
        <v/>
      </c>
      <c r="D137" s="11" t="str">
        <f t="array" ref="D137">IFERROR(INDEX('BANCO DE PERGUNTAS'!$D:$D,MATCH($B137,'BANCO DE PERGUNTAS'!$A:$A,0)),"")</f>
        <v>Qual é o número ou identificação do documento?</v>
      </c>
      <c r="E137" s="11" t="str">
        <f t="array" ref="E137">IFERROR(INDEX('BANCO DE PERGUNTAS'!$B:$B,MATCH($B137,'BANCO DE PERGUNTAS'!$A:$A,0)),"")</f>
        <v>Identificação</v>
      </c>
      <c r="F137" s="12">
        <f t="array" ref="F137">IFERROR(INDEX('BANCO DE PERGUNTAS'!$H:$H,MATCH($B137,'BANCO DE PERGUNTAS'!$A:$A,0)),"")</f>
        <v>1</v>
      </c>
      <c r="I137" s="50"/>
      <c r="J137" s="50"/>
      <c r="K137" s="50"/>
      <c r="L137" s="50"/>
      <c r="M137" s="50"/>
      <c r="N137" s="50"/>
      <c r="O137" s="50"/>
      <c r="P137" s="50"/>
      <c r="Q137" s="50"/>
      <c r="R137" s="50"/>
      <c r="S137" s="50"/>
      <c r="U137" s="101" t="s">
        <v>2759</v>
      </c>
      <c r="W137" s="86">
        <v>2.0</v>
      </c>
      <c r="X137" s="86">
        <v>2.0</v>
      </c>
      <c r="Y137" s="86">
        <v>2.0</v>
      </c>
      <c r="Z137" s="86">
        <v>2.0</v>
      </c>
      <c r="AA137" s="86">
        <v>2.0</v>
      </c>
      <c r="AB137" s="86">
        <v>2.0</v>
      </c>
      <c r="AC137" s="86">
        <v>2.0</v>
      </c>
      <c r="AD137" s="87" t="s">
        <v>64</v>
      </c>
      <c r="AE137" s="87" t="s">
        <v>64</v>
      </c>
      <c r="AF137" s="87" t="s">
        <v>64</v>
      </c>
      <c r="AG137" s="50"/>
      <c r="AI137" s="103" t="s">
        <v>2760</v>
      </c>
      <c r="AK137" s="86">
        <v>2.0</v>
      </c>
      <c r="AL137" s="86">
        <v>2.0</v>
      </c>
      <c r="AM137" s="86">
        <v>2.0</v>
      </c>
      <c r="AN137" s="86">
        <v>2.0</v>
      </c>
      <c r="AO137" s="86">
        <v>2.0</v>
      </c>
      <c r="AP137" s="86">
        <v>2.0</v>
      </c>
      <c r="AQ137" s="86">
        <v>2.0</v>
      </c>
      <c r="AR137" s="87" t="s">
        <v>64</v>
      </c>
      <c r="AS137" s="87" t="s">
        <v>64</v>
      </c>
      <c r="AT137" s="87" t="s">
        <v>64</v>
      </c>
      <c r="AU137" s="50"/>
      <c r="AY137" s="50"/>
      <c r="AZ137" s="50"/>
      <c r="BA137" s="50"/>
      <c r="BB137" s="50"/>
      <c r="BC137" s="50"/>
      <c r="BD137" s="50"/>
      <c r="BE137" s="50"/>
      <c r="BF137" s="50"/>
      <c r="BG137" s="50"/>
      <c r="BH137" s="50"/>
      <c r="BI137" s="50"/>
      <c r="BK137" s="104" t="s">
        <v>2761</v>
      </c>
      <c r="BM137" s="86">
        <v>2.0</v>
      </c>
      <c r="BN137" s="86">
        <v>2.0</v>
      </c>
      <c r="BO137" s="86">
        <v>2.0</v>
      </c>
      <c r="BP137" s="86">
        <v>2.0</v>
      </c>
      <c r="BQ137" s="86">
        <v>2.0</v>
      </c>
      <c r="BR137" s="86">
        <v>2.0</v>
      </c>
      <c r="BS137" s="86">
        <v>2.0</v>
      </c>
      <c r="BT137" s="87" t="s">
        <v>64</v>
      </c>
      <c r="BU137" s="87" t="s">
        <v>64</v>
      </c>
      <c r="BV137" s="87" t="s">
        <v>64</v>
      </c>
      <c r="BW137" s="50"/>
      <c r="BY137" s="53" t="s">
        <v>2762</v>
      </c>
      <c r="CA137" s="86">
        <v>2.0</v>
      </c>
      <c r="CB137" s="86">
        <v>2.0</v>
      </c>
      <c r="CC137" s="86">
        <v>2.0</v>
      </c>
      <c r="CD137" s="86">
        <v>2.0</v>
      </c>
      <c r="CE137" s="86">
        <v>2.0</v>
      </c>
      <c r="CF137" s="86">
        <v>2.0</v>
      </c>
      <c r="CG137" s="86">
        <v>2.0</v>
      </c>
      <c r="CH137" s="87" t="s">
        <v>64</v>
      </c>
      <c r="CI137" s="87" t="s">
        <v>64</v>
      </c>
      <c r="CJ137" s="87" t="s">
        <v>64</v>
      </c>
      <c r="CK137" s="50"/>
      <c r="CO137" s="50"/>
      <c r="CP137" s="50"/>
      <c r="CQ137" s="50"/>
      <c r="CR137" s="50"/>
      <c r="CS137" s="50"/>
      <c r="CT137" s="50"/>
      <c r="CU137" s="50"/>
      <c r="CV137" s="50"/>
      <c r="CW137" s="50"/>
      <c r="CX137" s="50"/>
      <c r="CY137" s="50"/>
      <c r="DA137" s="53" t="s">
        <v>2763</v>
      </c>
      <c r="DC137" s="86">
        <v>2.0</v>
      </c>
      <c r="DD137" s="86">
        <v>2.0</v>
      </c>
      <c r="DE137" s="86">
        <v>2.0</v>
      </c>
      <c r="DF137" s="86">
        <v>2.0</v>
      </c>
      <c r="DG137" s="86">
        <v>2.0</v>
      </c>
      <c r="DH137" s="86">
        <v>2.0</v>
      </c>
      <c r="DI137" s="86">
        <v>2.0</v>
      </c>
      <c r="DJ137" s="87" t="s">
        <v>64</v>
      </c>
      <c r="DK137" s="87" t="s">
        <v>64</v>
      </c>
      <c r="DL137" s="87" t="s">
        <v>64</v>
      </c>
      <c r="DM137" s="50"/>
      <c r="DO137" s="59" t="s">
        <v>2764</v>
      </c>
      <c r="DQ137" s="86">
        <v>2.0</v>
      </c>
      <c r="DR137" s="86">
        <v>2.0</v>
      </c>
      <c r="DS137" s="86">
        <v>2.0</v>
      </c>
      <c r="DT137" s="86">
        <v>2.0</v>
      </c>
      <c r="DU137" s="86">
        <v>2.0</v>
      </c>
      <c r="DV137" s="86">
        <v>2.0</v>
      </c>
      <c r="DW137" s="86">
        <v>2.0</v>
      </c>
      <c r="DX137" s="87" t="s">
        <v>64</v>
      </c>
      <c r="DY137" s="87" t="s">
        <v>64</v>
      </c>
      <c r="DZ137" s="87" t="s">
        <v>64</v>
      </c>
      <c r="EA137" s="50"/>
    </row>
    <row r="138" ht="15.75" customHeight="1">
      <c r="A138" s="14">
        <v>15.0</v>
      </c>
      <c r="B138" s="14" t="s">
        <v>90</v>
      </c>
      <c r="C138" s="14" t="str">
        <f t="array" ref="C138">IFERROR(INDEX(DOCUMENTOS!$E:$E,MATCH($A138,DOCUMENTOS!$A:$A,0)),"")</f>
        <v/>
      </c>
      <c r="D138" s="14" t="str">
        <f t="array" ref="D138">IFERROR(INDEX('BANCO DE PERGUNTAS'!$D:$D,MATCH($B138,'BANCO DE PERGUNTAS'!$A:$A,0)),"")</f>
        <v>Qual é o número do processo relacionado?</v>
      </c>
      <c r="E138" s="14" t="str">
        <f t="array" ref="E138">IFERROR(INDEX('BANCO DE PERGUNTAS'!$B:$B,MATCH($B138,'BANCO DE PERGUNTAS'!$A:$A,0)),"")</f>
        <v>Identificação</v>
      </c>
      <c r="F138" s="17">
        <f t="array" ref="F138">IFERROR(INDEX('BANCO DE PERGUNTAS'!$H:$H,MATCH($B138,'BANCO DE PERGUNTAS'!$A:$A,0)),"")</f>
        <v>1</v>
      </c>
      <c r="I138" s="50"/>
      <c r="J138" s="50"/>
      <c r="K138" s="50"/>
      <c r="L138" s="50"/>
      <c r="M138" s="50"/>
      <c r="N138" s="50"/>
      <c r="O138" s="50"/>
      <c r="P138" s="50"/>
      <c r="Q138" s="50"/>
      <c r="R138" s="50"/>
      <c r="S138" s="50"/>
      <c r="U138" s="97" t="s">
        <v>2765</v>
      </c>
      <c r="W138" s="86">
        <v>2.0</v>
      </c>
      <c r="X138" s="86">
        <v>2.0</v>
      </c>
      <c r="Y138" s="86">
        <v>2.0</v>
      </c>
      <c r="Z138" s="86">
        <v>2.0</v>
      </c>
      <c r="AA138" s="86">
        <v>2.0</v>
      </c>
      <c r="AB138" s="86">
        <v>2.0</v>
      </c>
      <c r="AC138" s="86">
        <v>2.0</v>
      </c>
      <c r="AD138" s="87" t="s">
        <v>64</v>
      </c>
      <c r="AE138" s="87" t="s">
        <v>64</v>
      </c>
      <c r="AF138" s="87" t="s">
        <v>64</v>
      </c>
      <c r="AG138" s="50"/>
      <c r="AI138" s="103" t="s">
        <v>2766</v>
      </c>
      <c r="AK138" s="86">
        <v>2.0</v>
      </c>
      <c r="AL138" s="86">
        <v>2.0</v>
      </c>
      <c r="AM138" s="86">
        <v>2.0</v>
      </c>
      <c r="AN138" s="86">
        <v>2.0</v>
      </c>
      <c r="AO138" s="86">
        <v>2.0</v>
      </c>
      <c r="AP138" s="86">
        <v>2.0</v>
      </c>
      <c r="AQ138" s="86">
        <v>2.0</v>
      </c>
      <c r="AR138" s="87" t="s">
        <v>64</v>
      </c>
      <c r="AS138" s="87" t="s">
        <v>64</v>
      </c>
      <c r="AT138" s="87" t="s">
        <v>64</v>
      </c>
      <c r="AU138" s="50"/>
      <c r="AY138" s="50"/>
      <c r="AZ138" s="50"/>
      <c r="BA138" s="50"/>
      <c r="BB138" s="50"/>
      <c r="BC138" s="50"/>
      <c r="BD138" s="50"/>
      <c r="BE138" s="50"/>
      <c r="BF138" s="50"/>
      <c r="BG138" s="50"/>
      <c r="BH138" s="50"/>
      <c r="BI138" s="50"/>
      <c r="BK138" s="104" t="s">
        <v>2767</v>
      </c>
      <c r="BM138" s="86">
        <v>2.0</v>
      </c>
      <c r="BN138" s="86">
        <v>2.0</v>
      </c>
      <c r="BO138" s="86">
        <v>2.0</v>
      </c>
      <c r="BP138" s="86">
        <v>2.0</v>
      </c>
      <c r="BQ138" s="86">
        <v>2.0</v>
      </c>
      <c r="BR138" s="86">
        <v>2.0</v>
      </c>
      <c r="BS138" s="86">
        <v>2.0</v>
      </c>
      <c r="BT138" s="87" t="s">
        <v>64</v>
      </c>
      <c r="BU138" s="87" t="s">
        <v>64</v>
      </c>
      <c r="BV138" s="87" t="s">
        <v>64</v>
      </c>
      <c r="BW138" s="50"/>
      <c r="BY138" s="53" t="s">
        <v>2768</v>
      </c>
      <c r="CA138" s="86">
        <v>2.0</v>
      </c>
      <c r="CB138" s="86">
        <v>2.0</v>
      </c>
      <c r="CC138" s="86">
        <v>2.0</v>
      </c>
      <c r="CD138" s="86">
        <v>2.0</v>
      </c>
      <c r="CE138" s="86">
        <v>2.0</v>
      </c>
      <c r="CF138" s="86">
        <v>2.0</v>
      </c>
      <c r="CG138" s="86">
        <v>2.0</v>
      </c>
      <c r="CH138" s="87" t="s">
        <v>64</v>
      </c>
      <c r="CI138" s="87" t="s">
        <v>64</v>
      </c>
      <c r="CJ138" s="87" t="s">
        <v>64</v>
      </c>
      <c r="CK138" s="50"/>
      <c r="CO138" s="50"/>
      <c r="CP138" s="50"/>
      <c r="CQ138" s="50"/>
      <c r="CR138" s="50"/>
      <c r="CS138" s="50"/>
      <c r="CT138" s="50"/>
      <c r="CU138" s="50"/>
      <c r="CV138" s="50"/>
      <c r="CW138" s="50"/>
      <c r="CX138" s="50"/>
      <c r="CY138" s="50"/>
      <c r="DA138" s="53" t="s">
        <v>2766</v>
      </c>
      <c r="DC138" s="86">
        <v>2.0</v>
      </c>
      <c r="DD138" s="86">
        <v>2.0</v>
      </c>
      <c r="DE138" s="86">
        <v>2.0</v>
      </c>
      <c r="DF138" s="86">
        <v>2.0</v>
      </c>
      <c r="DG138" s="86">
        <v>2.0</v>
      </c>
      <c r="DH138" s="86">
        <v>2.0</v>
      </c>
      <c r="DI138" s="86">
        <v>2.0</v>
      </c>
      <c r="DJ138" s="87" t="s">
        <v>64</v>
      </c>
      <c r="DK138" s="87" t="s">
        <v>64</v>
      </c>
      <c r="DL138" s="87" t="s">
        <v>64</v>
      </c>
      <c r="DM138" s="50"/>
      <c r="DO138" s="59" t="s">
        <v>2766</v>
      </c>
      <c r="DQ138" s="86">
        <v>2.0</v>
      </c>
      <c r="DR138" s="86">
        <v>2.0</v>
      </c>
      <c r="DS138" s="86">
        <v>2.0</v>
      </c>
      <c r="DT138" s="86">
        <v>2.0</v>
      </c>
      <c r="DU138" s="86">
        <v>2.0</v>
      </c>
      <c r="DV138" s="86">
        <v>2.0</v>
      </c>
      <c r="DW138" s="86">
        <v>2.0</v>
      </c>
      <c r="DX138" s="87" t="s">
        <v>64</v>
      </c>
      <c r="DY138" s="87" t="s">
        <v>64</v>
      </c>
      <c r="DZ138" s="87" t="s">
        <v>64</v>
      </c>
      <c r="EA138" s="50"/>
    </row>
    <row r="139" ht="15.75" customHeight="1">
      <c r="A139" s="11">
        <v>15.0</v>
      </c>
      <c r="B139" s="11" t="s">
        <v>103</v>
      </c>
      <c r="C139" s="11" t="str">
        <f t="array" ref="C139">IFERROR(INDEX(DOCUMENTOS!$E:$E,MATCH($A139,DOCUMENTOS!$A:$A,0)),"")</f>
        <v/>
      </c>
      <c r="D139" s="11" t="str">
        <f t="array" ref="D139">IFERROR(INDEX('BANCO DE PERGUNTAS'!$D:$D,MATCH($B139,'BANCO DE PERGUNTAS'!$A:$A,0)),"")</f>
        <v>Qual é a data do documento?</v>
      </c>
      <c r="E139" s="11" t="str">
        <f t="array" ref="E139">IFERROR(INDEX('BANCO DE PERGUNTAS'!$B:$B,MATCH($B139,'BANCO DE PERGUNTAS'!$A:$A,0)),"")</f>
        <v>Identificação</v>
      </c>
      <c r="F139" s="12">
        <f t="array" ref="F139">IFERROR(INDEX('BANCO DE PERGUNTAS'!$H:$H,MATCH($B139,'BANCO DE PERGUNTAS'!$A:$A,0)),"")</f>
        <v>1</v>
      </c>
      <c r="I139" s="50"/>
      <c r="J139" s="50"/>
      <c r="K139" s="50"/>
      <c r="L139" s="50"/>
      <c r="M139" s="50"/>
      <c r="N139" s="50"/>
      <c r="O139" s="50"/>
      <c r="P139" s="50"/>
      <c r="Q139" s="50"/>
      <c r="R139" s="50"/>
      <c r="S139" s="50"/>
      <c r="U139" s="101" t="s">
        <v>2769</v>
      </c>
      <c r="W139" s="86">
        <v>2.0</v>
      </c>
      <c r="X139" s="86">
        <v>2.0</v>
      </c>
      <c r="Y139" s="86">
        <v>2.0</v>
      </c>
      <c r="Z139" s="86">
        <v>2.0</v>
      </c>
      <c r="AA139" s="86">
        <v>2.0</v>
      </c>
      <c r="AB139" s="86">
        <v>2.0</v>
      </c>
      <c r="AC139" s="86">
        <v>2.0</v>
      </c>
      <c r="AD139" s="87" t="s">
        <v>64</v>
      </c>
      <c r="AE139" s="87" t="s">
        <v>64</v>
      </c>
      <c r="AF139" s="87" t="s">
        <v>64</v>
      </c>
      <c r="AG139" s="50"/>
      <c r="AI139" s="103" t="s">
        <v>2770</v>
      </c>
      <c r="AK139" s="86">
        <v>2.0</v>
      </c>
      <c r="AL139" s="86">
        <v>2.0</v>
      </c>
      <c r="AM139" s="86">
        <v>2.0</v>
      </c>
      <c r="AN139" s="86">
        <v>2.0</v>
      </c>
      <c r="AO139" s="86">
        <v>2.0</v>
      </c>
      <c r="AP139" s="86">
        <v>2.0</v>
      </c>
      <c r="AQ139" s="86">
        <v>2.0</v>
      </c>
      <c r="AR139" s="87" t="s">
        <v>64</v>
      </c>
      <c r="AS139" s="87" t="s">
        <v>64</v>
      </c>
      <c r="AT139" s="87" t="s">
        <v>64</v>
      </c>
      <c r="AU139" s="50"/>
      <c r="AY139" s="50"/>
      <c r="AZ139" s="50"/>
      <c r="BA139" s="50"/>
      <c r="BB139" s="50"/>
      <c r="BC139" s="50"/>
      <c r="BD139" s="50"/>
      <c r="BE139" s="50"/>
      <c r="BF139" s="50"/>
      <c r="BG139" s="50"/>
      <c r="BH139" s="50"/>
      <c r="BI139" s="50"/>
      <c r="BK139" s="104" t="s">
        <v>2771</v>
      </c>
      <c r="BM139" s="86">
        <v>2.0</v>
      </c>
      <c r="BN139" s="86">
        <v>2.0</v>
      </c>
      <c r="BO139" s="86">
        <v>2.0</v>
      </c>
      <c r="BP139" s="86">
        <v>2.0</v>
      </c>
      <c r="BQ139" s="86">
        <v>2.0</v>
      </c>
      <c r="BR139" s="86">
        <v>2.0</v>
      </c>
      <c r="BS139" s="86">
        <v>2.0</v>
      </c>
      <c r="BT139" s="87" t="s">
        <v>64</v>
      </c>
      <c r="BU139" s="87" t="s">
        <v>64</v>
      </c>
      <c r="BV139" s="87" t="s">
        <v>64</v>
      </c>
      <c r="BW139" s="50"/>
      <c r="BY139" s="53" t="s">
        <v>2772</v>
      </c>
      <c r="CA139" s="86">
        <v>2.0</v>
      </c>
      <c r="CB139" s="86">
        <v>2.0</v>
      </c>
      <c r="CC139" s="86">
        <v>2.0</v>
      </c>
      <c r="CD139" s="86">
        <v>2.0</v>
      </c>
      <c r="CE139" s="86">
        <v>2.0</v>
      </c>
      <c r="CF139" s="86">
        <v>2.0</v>
      </c>
      <c r="CG139" s="86">
        <v>2.0</v>
      </c>
      <c r="CH139" s="87" t="s">
        <v>64</v>
      </c>
      <c r="CI139" s="87" t="s">
        <v>64</v>
      </c>
      <c r="CJ139" s="87" t="s">
        <v>64</v>
      </c>
      <c r="CK139" s="50"/>
      <c r="CO139" s="50"/>
      <c r="CP139" s="50"/>
      <c r="CQ139" s="50"/>
      <c r="CR139" s="50"/>
      <c r="CS139" s="50"/>
      <c r="CT139" s="50"/>
      <c r="CU139" s="50"/>
      <c r="CV139" s="50"/>
      <c r="CW139" s="50"/>
      <c r="CX139" s="50"/>
      <c r="CY139" s="50"/>
      <c r="DA139" s="53" t="s">
        <v>2773</v>
      </c>
      <c r="DC139" s="86">
        <v>2.0</v>
      </c>
      <c r="DD139" s="86">
        <v>2.0</v>
      </c>
      <c r="DE139" s="86">
        <v>2.0</v>
      </c>
      <c r="DF139" s="86">
        <v>2.0</v>
      </c>
      <c r="DG139" s="86">
        <v>2.0</v>
      </c>
      <c r="DH139" s="86">
        <v>2.0</v>
      </c>
      <c r="DI139" s="86">
        <v>2.0</v>
      </c>
      <c r="DJ139" s="87" t="s">
        <v>64</v>
      </c>
      <c r="DK139" s="87" t="s">
        <v>64</v>
      </c>
      <c r="DL139" s="87" t="s">
        <v>64</v>
      </c>
      <c r="DM139" s="50"/>
      <c r="DO139" s="59" t="s">
        <v>2774</v>
      </c>
      <c r="DQ139" s="86">
        <v>2.0</v>
      </c>
      <c r="DR139" s="86">
        <v>2.0</v>
      </c>
      <c r="DS139" s="86">
        <v>2.0</v>
      </c>
      <c r="DT139" s="86">
        <v>2.0</v>
      </c>
      <c r="DU139" s="86">
        <v>2.0</v>
      </c>
      <c r="DV139" s="86">
        <v>2.0</v>
      </c>
      <c r="DW139" s="86">
        <v>2.0</v>
      </c>
      <c r="DX139" s="87" t="s">
        <v>64</v>
      </c>
      <c r="DY139" s="87" t="s">
        <v>64</v>
      </c>
      <c r="DZ139" s="87" t="s">
        <v>64</v>
      </c>
      <c r="EA139" s="50"/>
    </row>
    <row r="140" ht="15.75" customHeight="1">
      <c r="A140" s="14">
        <v>15.0</v>
      </c>
      <c r="B140" s="14" t="s">
        <v>117</v>
      </c>
      <c r="C140" s="14" t="str">
        <f t="array" ref="C140">IFERROR(INDEX(DOCUMENTOS!$E:$E,MATCH($A140,DOCUMENTOS!$A:$A,0)),"")</f>
        <v/>
      </c>
      <c r="D140" s="14" t="str">
        <f t="array" ref="D140">IFERROR(INDEX('BANCO DE PERGUNTAS'!$D:$D,MATCH($B140,'BANCO DE PERGUNTAS'!$A:$A,0)),"")</f>
        <v>Qual setor ou unidade está relacionado ao documento?</v>
      </c>
      <c r="E140" s="14" t="str">
        <f t="array" ref="E140">IFERROR(INDEX('BANCO DE PERGUNTAS'!$B:$B,MATCH($B140,'BANCO DE PERGUNTAS'!$A:$A,0)),"")</f>
        <v>Identificação</v>
      </c>
      <c r="F140" s="17">
        <f t="array" ref="F140">IFERROR(INDEX('BANCO DE PERGUNTAS'!$H:$H,MATCH($B140,'BANCO DE PERGUNTAS'!$A:$A,0)),"")</f>
        <v>1</v>
      </c>
      <c r="I140" s="50"/>
      <c r="J140" s="50"/>
      <c r="K140" s="50"/>
      <c r="L140" s="50"/>
      <c r="M140" s="50"/>
      <c r="N140" s="50"/>
      <c r="O140" s="50"/>
      <c r="P140" s="50"/>
      <c r="Q140" s="50"/>
      <c r="R140" s="50"/>
      <c r="S140" s="50"/>
      <c r="U140" s="97" t="s">
        <v>2775</v>
      </c>
      <c r="W140" s="86">
        <v>2.0</v>
      </c>
      <c r="X140" s="86">
        <v>2.0</v>
      </c>
      <c r="Y140" s="86">
        <v>2.0</v>
      </c>
      <c r="Z140" s="86">
        <v>2.0</v>
      </c>
      <c r="AA140" s="86">
        <v>2.0</v>
      </c>
      <c r="AB140" s="86">
        <v>2.0</v>
      </c>
      <c r="AC140" s="86">
        <v>2.0</v>
      </c>
      <c r="AD140" s="87" t="s">
        <v>64</v>
      </c>
      <c r="AE140" s="87" t="s">
        <v>64</v>
      </c>
      <c r="AF140" s="87" t="s">
        <v>64</v>
      </c>
      <c r="AG140" s="50"/>
      <c r="AI140" s="103" t="s">
        <v>2776</v>
      </c>
      <c r="AK140" s="86">
        <v>2.0</v>
      </c>
      <c r="AL140" s="86">
        <v>2.0</v>
      </c>
      <c r="AM140" s="86">
        <v>2.0</v>
      </c>
      <c r="AN140" s="86">
        <v>2.0</v>
      </c>
      <c r="AO140" s="86">
        <v>2.0</v>
      </c>
      <c r="AP140" s="86">
        <v>2.0</v>
      </c>
      <c r="AQ140" s="86">
        <v>2.0</v>
      </c>
      <c r="AR140" s="87" t="s">
        <v>64</v>
      </c>
      <c r="AS140" s="87" t="s">
        <v>64</v>
      </c>
      <c r="AT140" s="87" t="s">
        <v>64</v>
      </c>
      <c r="AU140" s="50"/>
      <c r="AY140" s="50"/>
      <c r="AZ140" s="50"/>
      <c r="BA140" s="50"/>
      <c r="BB140" s="50"/>
      <c r="BC140" s="50"/>
      <c r="BD140" s="50"/>
      <c r="BE140" s="50"/>
      <c r="BF140" s="50"/>
      <c r="BG140" s="50"/>
      <c r="BH140" s="50"/>
      <c r="BI140" s="50"/>
      <c r="BK140" s="104" t="s">
        <v>2777</v>
      </c>
      <c r="BM140" s="86">
        <v>2.0</v>
      </c>
      <c r="BN140" s="86">
        <v>2.0</v>
      </c>
      <c r="BO140" s="86">
        <v>2.0</v>
      </c>
      <c r="BP140" s="86">
        <v>2.0</v>
      </c>
      <c r="BQ140" s="86">
        <v>2.0</v>
      </c>
      <c r="BR140" s="86">
        <v>2.0</v>
      </c>
      <c r="BS140" s="86">
        <v>2.0</v>
      </c>
      <c r="BT140" s="87" t="s">
        <v>64</v>
      </c>
      <c r="BU140" s="87" t="s">
        <v>64</v>
      </c>
      <c r="BV140" s="87" t="s">
        <v>64</v>
      </c>
      <c r="BW140" s="50"/>
      <c r="BY140" s="53" t="s">
        <v>2778</v>
      </c>
      <c r="CA140" s="86">
        <v>2.0</v>
      </c>
      <c r="CB140" s="86">
        <v>2.0</v>
      </c>
      <c r="CC140" s="86">
        <v>2.0</v>
      </c>
      <c r="CD140" s="86">
        <v>2.0</v>
      </c>
      <c r="CE140" s="86">
        <v>2.0</v>
      </c>
      <c r="CF140" s="86">
        <v>2.0</v>
      </c>
      <c r="CG140" s="86">
        <v>2.0</v>
      </c>
      <c r="CH140" s="87" t="s">
        <v>64</v>
      </c>
      <c r="CI140" s="87" t="s">
        <v>64</v>
      </c>
      <c r="CJ140" s="87" t="s">
        <v>64</v>
      </c>
      <c r="CK140" s="50"/>
      <c r="CO140" s="50"/>
      <c r="CP140" s="50"/>
      <c r="CQ140" s="50"/>
      <c r="CR140" s="50"/>
      <c r="CS140" s="50"/>
      <c r="CT140" s="50"/>
      <c r="CU140" s="50"/>
      <c r="CV140" s="50"/>
      <c r="CW140" s="50"/>
      <c r="CX140" s="50"/>
      <c r="CY140" s="50"/>
      <c r="DA140" s="53" t="s">
        <v>2779</v>
      </c>
      <c r="DC140" s="86">
        <v>2.0</v>
      </c>
      <c r="DD140" s="86">
        <v>2.0</v>
      </c>
      <c r="DE140" s="86">
        <v>2.0</v>
      </c>
      <c r="DF140" s="86">
        <v>2.0</v>
      </c>
      <c r="DG140" s="86">
        <v>2.0</v>
      </c>
      <c r="DH140" s="86">
        <v>2.0</v>
      </c>
      <c r="DI140" s="86">
        <v>2.0</v>
      </c>
      <c r="DJ140" s="87" t="s">
        <v>64</v>
      </c>
      <c r="DK140" s="87" t="s">
        <v>64</v>
      </c>
      <c r="DL140" s="87" t="s">
        <v>64</v>
      </c>
      <c r="DM140" s="50"/>
      <c r="DO140" s="59" t="s">
        <v>2780</v>
      </c>
      <c r="DQ140" s="86">
        <v>2.0</v>
      </c>
      <c r="DR140" s="86">
        <v>2.0</v>
      </c>
      <c r="DS140" s="86">
        <v>2.0</v>
      </c>
      <c r="DT140" s="86">
        <v>2.0</v>
      </c>
      <c r="DU140" s="86">
        <v>2.0</v>
      </c>
      <c r="DV140" s="86">
        <v>2.0</v>
      </c>
      <c r="DW140" s="86">
        <v>2.0</v>
      </c>
      <c r="DX140" s="87" t="s">
        <v>64</v>
      </c>
      <c r="DY140" s="87" t="s">
        <v>64</v>
      </c>
      <c r="DZ140" s="87" t="s">
        <v>64</v>
      </c>
      <c r="EA140" s="50"/>
    </row>
    <row r="141" ht="15.75" customHeight="1">
      <c r="A141" s="11">
        <v>15.0</v>
      </c>
      <c r="B141" s="11" t="s">
        <v>131</v>
      </c>
      <c r="C141" s="11" t="str">
        <f t="array" ref="C141">IFERROR(INDEX(DOCUMENTOS!$E:$E,MATCH($A141,DOCUMENTOS!$A:$A,0)),"")</f>
        <v/>
      </c>
      <c r="D141" s="11" t="str">
        <f t="array" ref="D141">IFERROR(INDEX('BANCO DE PERGUNTAS'!$D:$D,MATCH($B141,'BANCO DE PERGUNTAS'!$A:$A,0)),"")</f>
        <v>Quais são as partes ou instituições mencionadas?</v>
      </c>
      <c r="E141" s="11" t="str">
        <f t="array" ref="E141">IFERROR(INDEX('BANCO DE PERGUNTAS'!$B:$B,MATCH($B141,'BANCO DE PERGUNTAS'!$A:$A,0)),"")</f>
        <v>Identificação</v>
      </c>
      <c r="F141" s="12">
        <f t="array" ref="F141">IFERROR(INDEX('BANCO DE PERGUNTAS'!$H:$H,MATCH($B141,'BANCO DE PERGUNTAS'!$A:$A,0)),"")</f>
        <v>2</v>
      </c>
      <c r="I141" s="50"/>
      <c r="J141" s="50"/>
      <c r="K141" s="50"/>
      <c r="L141" s="50"/>
      <c r="M141" s="50"/>
      <c r="N141" s="50"/>
      <c r="O141" s="50"/>
      <c r="P141" s="50"/>
      <c r="Q141" s="50"/>
      <c r="R141" s="50"/>
      <c r="S141" s="50"/>
      <c r="U141" s="101" t="s">
        <v>2781</v>
      </c>
      <c r="W141" s="86">
        <v>2.0</v>
      </c>
      <c r="X141" s="86">
        <v>2.0</v>
      </c>
      <c r="Y141" s="86">
        <v>2.0</v>
      </c>
      <c r="Z141" s="86">
        <v>2.0</v>
      </c>
      <c r="AA141" s="86">
        <v>2.0</v>
      </c>
      <c r="AB141" s="86">
        <v>2.0</v>
      </c>
      <c r="AC141" s="86">
        <v>2.0</v>
      </c>
      <c r="AD141" s="87" t="s">
        <v>64</v>
      </c>
      <c r="AE141" s="87" t="s">
        <v>64</v>
      </c>
      <c r="AF141" s="87" t="s">
        <v>64</v>
      </c>
      <c r="AG141" s="50"/>
      <c r="AI141" s="103" t="s">
        <v>2782</v>
      </c>
      <c r="AK141" s="86">
        <v>2.0</v>
      </c>
      <c r="AL141" s="86">
        <v>2.0</v>
      </c>
      <c r="AM141" s="86">
        <v>2.0</v>
      </c>
      <c r="AN141" s="86">
        <v>2.0</v>
      </c>
      <c r="AO141" s="86">
        <v>2.0</v>
      </c>
      <c r="AP141" s="86">
        <v>2.0</v>
      </c>
      <c r="AQ141" s="86">
        <v>2.0</v>
      </c>
      <c r="AR141" s="87" t="s">
        <v>64</v>
      </c>
      <c r="AS141" s="87" t="s">
        <v>64</v>
      </c>
      <c r="AT141" s="87" t="s">
        <v>64</v>
      </c>
      <c r="AU141" s="50"/>
      <c r="AY141" s="50"/>
      <c r="AZ141" s="50"/>
      <c r="BA141" s="50"/>
      <c r="BB141" s="50"/>
      <c r="BC141" s="50"/>
      <c r="BD141" s="50"/>
      <c r="BE141" s="50"/>
      <c r="BF141" s="50"/>
      <c r="BG141" s="50"/>
      <c r="BH141" s="50"/>
      <c r="BI141" s="50"/>
      <c r="BK141" s="104" t="s">
        <v>2783</v>
      </c>
      <c r="BM141" s="86">
        <v>2.0</v>
      </c>
      <c r="BN141" s="86">
        <v>2.0</v>
      </c>
      <c r="BO141" s="86">
        <v>2.0</v>
      </c>
      <c r="BP141" s="86">
        <v>2.0</v>
      </c>
      <c r="BQ141" s="86">
        <v>2.0</v>
      </c>
      <c r="BR141" s="86">
        <v>2.0</v>
      </c>
      <c r="BS141" s="86">
        <v>2.0</v>
      </c>
      <c r="BT141" s="87" t="s">
        <v>64</v>
      </c>
      <c r="BU141" s="87" t="s">
        <v>64</v>
      </c>
      <c r="BV141" s="87" t="s">
        <v>64</v>
      </c>
      <c r="BW141" s="50"/>
      <c r="BY141" s="53" t="s">
        <v>2784</v>
      </c>
      <c r="CA141" s="86">
        <v>2.0</v>
      </c>
      <c r="CB141" s="86">
        <v>2.0</v>
      </c>
      <c r="CC141" s="86">
        <v>2.0</v>
      </c>
      <c r="CD141" s="86">
        <v>2.0</v>
      </c>
      <c r="CE141" s="86">
        <v>2.0</v>
      </c>
      <c r="CF141" s="86">
        <v>2.0</v>
      </c>
      <c r="CG141" s="86">
        <v>2.0</v>
      </c>
      <c r="CH141" s="87" t="s">
        <v>64</v>
      </c>
      <c r="CI141" s="87" t="s">
        <v>64</v>
      </c>
      <c r="CJ141" s="87" t="s">
        <v>64</v>
      </c>
      <c r="CK141" s="50"/>
      <c r="CO141" s="50"/>
      <c r="CP141" s="50"/>
      <c r="CQ141" s="50"/>
      <c r="CR141" s="50"/>
      <c r="CS141" s="50"/>
      <c r="CT141" s="50"/>
      <c r="CU141" s="50"/>
      <c r="CV141" s="50"/>
      <c r="CW141" s="50"/>
      <c r="CX141" s="50"/>
      <c r="CY141" s="50"/>
      <c r="DA141" s="53" t="s">
        <v>2785</v>
      </c>
      <c r="DC141" s="86">
        <v>2.0</v>
      </c>
      <c r="DD141" s="86">
        <v>2.0</v>
      </c>
      <c r="DE141" s="86">
        <v>2.0</v>
      </c>
      <c r="DF141" s="86">
        <v>2.0</v>
      </c>
      <c r="DG141" s="86">
        <v>2.0</v>
      </c>
      <c r="DH141" s="86">
        <v>2.0</v>
      </c>
      <c r="DI141" s="86">
        <v>2.0</v>
      </c>
      <c r="DJ141" s="87" t="s">
        <v>64</v>
      </c>
      <c r="DK141" s="87" t="s">
        <v>64</v>
      </c>
      <c r="DL141" s="87" t="s">
        <v>64</v>
      </c>
      <c r="DM141" s="50"/>
      <c r="DO141" s="59" t="s">
        <v>2786</v>
      </c>
      <c r="DQ141" s="86">
        <v>2.0</v>
      </c>
      <c r="DR141" s="86">
        <v>2.0</v>
      </c>
      <c r="DS141" s="86">
        <v>2.0</v>
      </c>
      <c r="DT141" s="86">
        <v>2.0</v>
      </c>
      <c r="DU141" s="86">
        <v>2.0</v>
      </c>
      <c r="DV141" s="86">
        <v>2.0</v>
      </c>
      <c r="DW141" s="86">
        <v>2.0</v>
      </c>
      <c r="DX141" s="87" t="s">
        <v>64</v>
      </c>
      <c r="DY141" s="87" t="s">
        <v>64</v>
      </c>
      <c r="DZ141" s="87" t="s">
        <v>64</v>
      </c>
      <c r="EA141" s="50"/>
    </row>
    <row r="142" ht="15.75" customHeight="1">
      <c r="A142" s="14">
        <v>15.0</v>
      </c>
      <c r="B142" s="14" t="s">
        <v>144</v>
      </c>
      <c r="C142" s="14" t="str">
        <f t="array" ref="C142">IFERROR(INDEX(DOCUMENTOS!$E:$E,MATCH($A142,DOCUMENTOS!$A:$A,0)),"")</f>
        <v/>
      </c>
      <c r="D142" s="14" t="str">
        <f t="array" ref="D142">IFERROR(INDEX('BANCO DE PERGUNTAS'!$D:$D,MATCH($B142,'BANCO DE PERGUNTAS'!$A:$A,0)),"")</f>
        <v>Qual informação específica está apresentada na seção 08?</v>
      </c>
      <c r="E142" s="14" t="str">
        <f t="array" ref="E142">IFERROR(INDEX('BANCO DE PERGUNTAS'!$B:$B,MATCH($B142,'BANCO DE PERGUNTAS'!$A:$A,0)),"")</f>
        <v>Localização</v>
      </c>
      <c r="F142" s="17">
        <f t="array" ref="F142">IFERROR(INDEX('BANCO DE PERGUNTAS'!$H:$H,MATCH($B142,'BANCO DE PERGUNTAS'!$A:$A,0)),"")</f>
        <v>2</v>
      </c>
      <c r="I142" s="50"/>
      <c r="J142" s="50"/>
      <c r="K142" s="50"/>
      <c r="L142" s="50"/>
      <c r="M142" s="50"/>
      <c r="N142" s="50"/>
      <c r="O142" s="50"/>
      <c r="P142" s="50"/>
      <c r="Q142" s="50"/>
      <c r="R142" s="50"/>
      <c r="S142" s="50"/>
      <c r="U142" s="97" t="s">
        <v>2593</v>
      </c>
      <c r="W142" s="86">
        <v>2.0</v>
      </c>
      <c r="X142" s="86">
        <v>2.0</v>
      </c>
      <c r="Y142" s="86">
        <v>2.0</v>
      </c>
      <c r="Z142" s="86">
        <v>2.0</v>
      </c>
      <c r="AA142" s="86">
        <v>2.0</v>
      </c>
      <c r="AB142" s="86">
        <v>2.0</v>
      </c>
      <c r="AC142" s="86">
        <v>2.0</v>
      </c>
      <c r="AD142" s="87" t="s">
        <v>64</v>
      </c>
      <c r="AE142" s="87" t="s">
        <v>64</v>
      </c>
      <c r="AF142" s="87" t="s">
        <v>64</v>
      </c>
      <c r="AG142" s="50"/>
      <c r="AI142" s="103" t="s">
        <v>2787</v>
      </c>
      <c r="AK142" s="86">
        <v>2.0</v>
      </c>
      <c r="AL142" s="86">
        <v>2.0</v>
      </c>
      <c r="AM142" s="86">
        <v>2.0</v>
      </c>
      <c r="AN142" s="86">
        <v>2.0</v>
      </c>
      <c r="AO142" s="86">
        <v>2.0</v>
      </c>
      <c r="AP142" s="86">
        <v>2.0</v>
      </c>
      <c r="AQ142" s="86">
        <v>2.0</v>
      </c>
      <c r="AR142" s="87" t="s">
        <v>64</v>
      </c>
      <c r="AS142" s="87" t="s">
        <v>64</v>
      </c>
      <c r="AT142" s="87" t="s">
        <v>64</v>
      </c>
      <c r="AU142" s="50"/>
      <c r="AY142" s="50"/>
      <c r="AZ142" s="50"/>
      <c r="BA142" s="50"/>
      <c r="BB142" s="50"/>
      <c r="BC142" s="50"/>
      <c r="BD142" s="50"/>
      <c r="BE142" s="50"/>
      <c r="BF142" s="50"/>
      <c r="BG142" s="50"/>
      <c r="BH142" s="50"/>
      <c r="BI142" s="50"/>
      <c r="BK142" s="104" t="s">
        <v>2788</v>
      </c>
      <c r="BM142" s="86">
        <v>2.0</v>
      </c>
      <c r="BN142" s="86">
        <v>2.0</v>
      </c>
      <c r="BO142" s="86">
        <v>2.0</v>
      </c>
      <c r="BP142" s="86">
        <v>2.0</v>
      </c>
      <c r="BQ142" s="86">
        <v>2.0</v>
      </c>
      <c r="BR142" s="86">
        <v>2.0</v>
      </c>
      <c r="BS142" s="86">
        <v>2.0</v>
      </c>
      <c r="BT142" s="87" t="s">
        <v>64</v>
      </c>
      <c r="BU142" s="87" t="s">
        <v>64</v>
      </c>
      <c r="BV142" s="87" t="s">
        <v>64</v>
      </c>
      <c r="BW142" s="50"/>
      <c r="BY142" s="53" t="s">
        <v>2789</v>
      </c>
      <c r="CA142" s="86">
        <v>2.0</v>
      </c>
      <c r="CB142" s="86">
        <v>2.0</v>
      </c>
      <c r="CC142" s="86">
        <v>2.0</v>
      </c>
      <c r="CD142" s="86">
        <v>2.0</v>
      </c>
      <c r="CE142" s="86">
        <v>2.0</v>
      </c>
      <c r="CF142" s="86">
        <v>2.0</v>
      </c>
      <c r="CG142" s="86">
        <v>2.0</v>
      </c>
      <c r="CH142" s="87" t="s">
        <v>64</v>
      </c>
      <c r="CI142" s="87" t="s">
        <v>64</v>
      </c>
      <c r="CJ142" s="87" t="s">
        <v>64</v>
      </c>
      <c r="CK142" s="50"/>
      <c r="CO142" s="50"/>
      <c r="CP142" s="50"/>
      <c r="CQ142" s="50"/>
      <c r="CR142" s="50"/>
      <c r="CS142" s="50"/>
      <c r="CT142" s="50"/>
      <c r="CU142" s="50"/>
      <c r="CV142" s="50"/>
      <c r="CW142" s="50"/>
      <c r="CX142" s="50"/>
      <c r="CY142" s="50"/>
      <c r="DA142" s="53" t="s">
        <v>2790</v>
      </c>
      <c r="DC142" s="86">
        <v>2.0</v>
      </c>
      <c r="DD142" s="86">
        <v>2.0</v>
      </c>
      <c r="DE142" s="86">
        <v>2.0</v>
      </c>
      <c r="DF142" s="86">
        <v>2.0</v>
      </c>
      <c r="DG142" s="86">
        <v>2.0</v>
      </c>
      <c r="DH142" s="86">
        <v>2.0</v>
      </c>
      <c r="DI142" s="86">
        <v>2.0</v>
      </c>
      <c r="DJ142" s="87" t="s">
        <v>64</v>
      </c>
      <c r="DK142" s="87" t="s">
        <v>64</v>
      </c>
      <c r="DL142" s="87" t="s">
        <v>64</v>
      </c>
      <c r="DM142" s="50"/>
      <c r="DO142" s="59" t="s">
        <v>2791</v>
      </c>
      <c r="DQ142" s="86">
        <v>2.0</v>
      </c>
      <c r="DR142" s="86">
        <v>2.0</v>
      </c>
      <c r="DS142" s="86">
        <v>2.0</v>
      </c>
      <c r="DT142" s="86">
        <v>2.0</v>
      </c>
      <c r="DU142" s="86">
        <v>2.0</v>
      </c>
      <c r="DV142" s="86">
        <v>2.0</v>
      </c>
      <c r="DW142" s="86">
        <v>2.0</v>
      </c>
      <c r="DX142" s="87" t="s">
        <v>64</v>
      </c>
      <c r="DY142" s="87" t="s">
        <v>64</v>
      </c>
      <c r="DZ142" s="87" t="s">
        <v>64</v>
      </c>
      <c r="EA142" s="50"/>
    </row>
    <row r="143" ht="15.75" customHeight="1">
      <c r="A143" s="11">
        <v>15.0</v>
      </c>
      <c r="B143" s="11" t="s">
        <v>156</v>
      </c>
      <c r="C143" s="11" t="str">
        <f t="array" ref="C143">IFERROR(INDEX(DOCUMENTOS!$E:$E,MATCH($A143,DOCUMENTOS!$A:$A,0)),"")</f>
        <v/>
      </c>
      <c r="D143" s="11" t="str">
        <f t="array" ref="D143">IFERROR(INDEX('BANCO DE PERGUNTAS'!$D:$D,MATCH($B143,'BANCO DE PERGUNTAS'!$A:$A,0)),"")</f>
        <v>Em qual seção do documento está localizada a informação solicitada?</v>
      </c>
      <c r="E143" s="11" t="str">
        <f t="array" ref="E143">IFERROR(INDEX('BANCO DE PERGUNTAS'!$B:$B,MATCH($B143,'BANCO DE PERGUNTAS'!$A:$A,0)),"")</f>
        <v>Localização</v>
      </c>
      <c r="F143" s="12">
        <f t="array" ref="F143">IFERROR(INDEX('BANCO DE PERGUNTAS'!$H:$H,MATCH($B143,'BANCO DE PERGUNTAS'!$A:$A,0)),"")</f>
        <v>2</v>
      </c>
      <c r="I143" s="50"/>
      <c r="J143" s="50"/>
      <c r="K143" s="50"/>
      <c r="L143" s="50"/>
      <c r="M143" s="50"/>
      <c r="N143" s="50"/>
      <c r="O143" s="50"/>
      <c r="P143" s="50"/>
      <c r="Q143" s="50"/>
      <c r="R143" s="50"/>
      <c r="S143" s="50"/>
      <c r="U143" s="101" t="s">
        <v>2792</v>
      </c>
      <c r="W143" s="86">
        <v>2.0</v>
      </c>
      <c r="X143" s="86">
        <v>2.0</v>
      </c>
      <c r="Y143" s="86">
        <v>2.0</v>
      </c>
      <c r="Z143" s="86">
        <v>2.0</v>
      </c>
      <c r="AA143" s="86">
        <v>2.0</v>
      </c>
      <c r="AB143" s="86">
        <v>2.0</v>
      </c>
      <c r="AC143" s="86">
        <v>2.0</v>
      </c>
      <c r="AD143" s="87" t="s">
        <v>64</v>
      </c>
      <c r="AE143" s="87" t="s">
        <v>64</v>
      </c>
      <c r="AF143" s="87" t="s">
        <v>64</v>
      </c>
      <c r="AG143" s="50"/>
      <c r="AI143" s="103" t="s">
        <v>2793</v>
      </c>
      <c r="AK143" s="86">
        <v>2.0</v>
      </c>
      <c r="AL143" s="86">
        <v>2.0</v>
      </c>
      <c r="AM143" s="86">
        <v>2.0</v>
      </c>
      <c r="AN143" s="86">
        <v>2.0</v>
      </c>
      <c r="AO143" s="86">
        <v>2.0</v>
      </c>
      <c r="AP143" s="86">
        <v>2.0</v>
      </c>
      <c r="AQ143" s="86">
        <v>2.0</v>
      </c>
      <c r="AR143" s="87" t="s">
        <v>64</v>
      </c>
      <c r="AS143" s="87" t="s">
        <v>64</v>
      </c>
      <c r="AT143" s="87" t="s">
        <v>64</v>
      </c>
      <c r="AU143" s="50"/>
      <c r="AY143" s="50"/>
      <c r="AZ143" s="50"/>
      <c r="BA143" s="50"/>
      <c r="BB143" s="50"/>
      <c r="BC143" s="50"/>
      <c r="BD143" s="50"/>
      <c r="BE143" s="50"/>
      <c r="BF143" s="50"/>
      <c r="BG143" s="50"/>
      <c r="BH143" s="50"/>
      <c r="BI143" s="50"/>
      <c r="BK143" s="104" t="s">
        <v>2794</v>
      </c>
      <c r="BM143" s="86">
        <v>2.0</v>
      </c>
      <c r="BN143" s="86">
        <v>2.0</v>
      </c>
      <c r="BO143" s="86">
        <v>2.0</v>
      </c>
      <c r="BP143" s="86">
        <v>2.0</v>
      </c>
      <c r="BQ143" s="86">
        <v>2.0</v>
      </c>
      <c r="BR143" s="86">
        <v>2.0</v>
      </c>
      <c r="BS143" s="86">
        <v>2.0</v>
      </c>
      <c r="BT143" s="87" t="s">
        <v>64</v>
      </c>
      <c r="BU143" s="87" t="s">
        <v>64</v>
      </c>
      <c r="BV143" s="87" t="s">
        <v>64</v>
      </c>
      <c r="BW143" s="50"/>
      <c r="BY143" s="53" t="s">
        <v>2795</v>
      </c>
      <c r="CA143" s="86">
        <v>2.0</v>
      </c>
      <c r="CB143" s="86">
        <v>2.0</v>
      </c>
      <c r="CC143" s="86">
        <v>2.0</v>
      </c>
      <c r="CD143" s="86">
        <v>2.0</v>
      </c>
      <c r="CE143" s="86">
        <v>2.0</v>
      </c>
      <c r="CF143" s="86">
        <v>2.0</v>
      </c>
      <c r="CG143" s="86">
        <v>2.0</v>
      </c>
      <c r="CH143" s="87" t="s">
        <v>64</v>
      </c>
      <c r="CI143" s="87" t="s">
        <v>64</v>
      </c>
      <c r="CJ143" s="87" t="s">
        <v>64</v>
      </c>
      <c r="CK143" s="50"/>
      <c r="CO143" s="50"/>
      <c r="CP143" s="50"/>
      <c r="CQ143" s="50"/>
      <c r="CR143" s="50"/>
      <c r="CS143" s="50"/>
      <c r="CT143" s="50"/>
      <c r="CU143" s="50"/>
      <c r="CV143" s="50"/>
      <c r="CW143" s="50"/>
      <c r="CX143" s="50"/>
      <c r="CY143" s="50"/>
      <c r="DA143" s="53" t="s">
        <v>2796</v>
      </c>
      <c r="DC143" s="86">
        <v>2.0</v>
      </c>
      <c r="DD143" s="86">
        <v>2.0</v>
      </c>
      <c r="DE143" s="86">
        <v>2.0</v>
      </c>
      <c r="DF143" s="86">
        <v>2.0</v>
      </c>
      <c r="DG143" s="86">
        <v>2.0</v>
      </c>
      <c r="DH143" s="86">
        <v>2.0</v>
      </c>
      <c r="DI143" s="86">
        <v>2.0</v>
      </c>
      <c r="DJ143" s="87" t="s">
        <v>64</v>
      </c>
      <c r="DK143" s="87" t="s">
        <v>64</v>
      </c>
      <c r="DL143" s="87" t="s">
        <v>64</v>
      </c>
      <c r="DM143" s="50"/>
      <c r="DO143" s="59" t="s">
        <v>2797</v>
      </c>
      <c r="DQ143" s="86">
        <v>1.0</v>
      </c>
      <c r="DR143" s="86">
        <v>2.0</v>
      </c>
      <c r="DS143" s="86">
        <v>1.0</v>
      </c>
      <c r="DT143" s="86">
        <v>2.0</v>
      </c>
      <c r="DU143" s="86">
        <v>2.0</v>
      </c>
      <c r="DV143" s="86">
        <v>1.0</v>
      </c>
      <c r="DW143" s="86">
        <v>2.0</v>
      </c>
      <c r="DX143" s="87" t="s">
        <v>64</v>
      </c>
      <c r="DY143" s="87" t="s">
        <v>64</v>
      </c>
      <c r="DZ143" s="87" t="s">
        <v>64</v>
      </c>
      <c r="EA143" s="50"/>
    </row>
    <row r="144" ht="15.75" customHeight="1">
      <c r="A144" s="14">
        <v>15.0</v>
      </c>
      <c r="B144" s="14" t="s">
        <v>162</v>
      </c>
      <c r="C144" s="14" t="str">
        <f t="array" ref="C144">IFERROR(INDEX(DOCUMENTOS!$E:$E,MATCH($A144,DOCUMENTOS!$A:$A,0)),"")</f>
        <v/>
      </c>
      <c r="D144" s="14" t="str">
        <f t="array" ref="D144">IFERROR(INDEX('BANCO DE PERGUNTAS'!$D:$D,MATCH($B144,'BANCO DE PERGUNTAS'!$A:$A,0)),"")</f>
        <v>Qual é o valor indicado para o Valor Total Anual do Objeto licitado?</v>
      </c>
      <c r="E144" s="14" t="str">
        <f t="array" ref="E144">IFERROR(INDEX('BANCO DE PERGUNTAS'!$B:$B,MATCH($B144,'BANCO DE PERGUNTAS'!$A:$A,0)),"")</f>
        <v>Localização</v>
      </c>
      <c r="F144" s="17">
        <f t="array" ref="F144">IFERROR(INDEX('BANCO DE PERGUNTAS'!$H:$H,MATCH($B144,'BANCO DE PERGUNTAS'!$A:$A,0)),"")</f>
        <v>1</v>
      </c>
      <c r="I144" s="50"/>
      <c r="J144" s="50"/>
      <c r="K144" s="50"/>
      <c r="L144" s="50"/>
      <c r="M144" s="50"/>
      <c r="N144" s="50"/>
      <c r="O144" s="50"/>
      <c r="P144" s="50"/>
      <c r="Q144" s="50"/>
      <c r="R144" s="50"/>
      <c r="S144" s="50"/>
      <c r="U144" s="97" t="s">
        <v>2798</v>
      </c>
      <c r="W144" s="86">
        <v>2.0</v>
      </c>
      <c r="X144" s="86">
        <v>2.0</v>
      </c>
      <c r="Y144" s="86">
        <v>2.0</v>
      </c>
      <c r="Z144" s="86">
        <v>2.0</v>
      </c>
      <c r="AA144" s="86">
        <v>2.0</v>
      </c>
      <c r="AB144" s="86">
        <v>2.0</v>
      </c>
      <c r="AC144" s="86">
        <v>2.0</v>
      </c>
      <c r="AD144" s="87" t="s">
        <v>64</v>
      </c>
      <c r="AE144" s="87" t="s">
        <v>64</v>
      </c>
      <c r="AF144" s="87" t="s">
        <v>64</v>
      </c>
      <c r="AG144" s="50"/>
      <c r="AI144" s="103" t="s">
        <v>2799</v>
      </c>
      <c r="AK144" s="86">
        <v>2.0</v>
      </c>
      <c r="AL144" s="86">
        <v>2.0</v>
      </c>
      <c r="AM144" s="86">
        <v>2.0</v>
      </c>
      <c r="AN144" s="86">
        <v>2.0</v>
      </c>
      <c r="AO144" s="86">
        <v>2.0</v>
      </c>
      <c r="AP144" s="86">
        <v>2.0</v>
      </c>
      <c r="AQ144" s="86">
        <v>2.0</v>
      </c>
      <c r="AR144" s="87" t="s">
        <v>64</v>
      </c>
      <c r="AS144" s="87" t="s">
        <v>64</v>
      </c>
      <c r="AT144" s="87" t="s">
        <v>64</v>
      </c>
      <c r="AU144" s="50"/>
      <c r="AY144" s="50"/>
      <c r="AZ144" s="50"/>
      <c r="BA144" s="50"/>
      <c r="BB144" s="50"/>
      <c r="BC144" s="50"/>
      <c r="BD144" s="50"/>
      <c r="BE144" s="50"/>
      <c r="BF144" s="50"/>
      <c r="BG144" s="50"/>
      <c r="BH144" s="50"/>
      <c r="BI144" s="50"/>
      <c r="BK144" s="104" t="s">
        <v>2800</v>
      </c>
      <c r="BM144" s="86">
        <v>2.0</v>
      </c>
      <c r="BN144" s="86">
        <v>2.0</v>
      </c>
      <c r="BO144" s="86">
        <v>2.0</v>
      </c>
      <c r="BP144" s="86">
        <v>2.0</v>
      </c>
      <c r="BQ144" s="86">
        <v>2.0</v>
      </c>
      <c r="BR144" s="86">
        <v>2.0</v>
      </c>
      <c r="BS144" s="86">
        <v>2.0</v>
      </c>
      <c r="BT144" s="87" t="s">
        <v>64</v>
      </c>
      <c r="BU144" s="87" t="s">
        <v>64</v>
      </c>
      <c r="BV144" s="87" t="s">
        <v>64</v>
      </c>
      <c r="BW144" s="50"/>
      <c r="BY144" s="53" t="s">
        <v>2801</v>
      </c>
      <c r="CA144" s="86">
        <v>2.0</v>
      </c>
      <c r="CB144" s="86">
        <v>2.0</v>
      </c>
      <c r="CC144" s="86">
        <v>2.0</v>
      </c>
      <c r="CD144" s="86">
        <v>2.0</v>
      </c>
      <c r="CE144" s="86">
        <v>2.0</v>
      </c>
      <c r="CF144" s="86">
        <v>2.0</v>
      </c>
      <c r="CG144" s="86">
        <v>2.0</v>
      </c>
      <c r="CH144" s="87" t="s">
        <v>64</v>
      </c>
      <c r="CI144" s="87" t="s">
        <v>64</v>
      </c>
      <c r="CJ144" s="87" t="s">
        <v>64</v>
      </c>
      <c r="CK144" s="50"/>
      <c r="CO144" s="50"/>
      <c r="CP144" s="50"/>
      <c r="CQ144" s="50"/>
      <c r="CR144" s="50"/>
      <c r="CS144" s="50"/>
      <c r="CT144" s="50"/>
      <c r="CU144" s="50"/>
      <c r="CV144" s="50"/>
      <c r="CW144" s="50"/>
      <c r="CX144" s="50"/>
      <c r="CY144" s="50"/>
      <c r="DA144" s="53" t="s">
        <v>2802</v>
      </c>
      <c r="DC144" s="86">
        <v>2.0</v>
      </c>
      <c r="DD144" s="86">
        <v>2.0</v>
      </c>
      <c r="DE144" s="86">
        <v>2.0</v>
      </c>
      <c r="DF144" s="86">
        <v>2.0</v>
      </c>
      <c r="DG144" s="86">
        <v>2.0</v>
      </c>
      <c r="DH144" s="86">
        <v>2.0</v>
      </c>
      <c r="DI144" s="86">
        <v>2.0</v>
      </c>
      <c r="DJ144" s="87" t="s">
        <v>64</v>
      </c>
      <c r="DK144" s="87" t="s">
        <v>64</v>
      </c>
      <c r="DL144" s="87" t="s">
        <v>64</v>
      </c>
      <c r="DM144" s="50"/>
      <c r="DO144" s="59" t="s">
        <v>2803</v>
      </c>
      <c r="DQ144" s="86">
        <v>2.0</v>
      </c>
      <c r="DR144" s="86">
        <v>2.0</v>
      </c>
      <c r="DS144" s="86">
        <v>2.0</v>
      </c>
      <c r="DT144" s="86">
        <v>2.0</v>
      </c>
      <c r="DU144" s="86">
        <v>2.0</v>
      </c>
      <c r="DV144" s="86">
        <v>2.0</v>
      </c>
      <c r="DW144" s="86">
        <v>2.0</v>
      </c>
      <c r="DX144" s="87" t="s">
        <v>64</v>
      </c>
      <c r="DY144" s="87" t="s">
        <v>64</v>
      </c>
      <c r="DZ144" s="87" t="s">
        <v>64</v>
      </c>
      <c r="EA144" s="50"/>
    </row>
    <row r="145" ht="15.75" customHeight="1">
      <c r="A145" s="11">
        <v>15.0</v>
      </c>
      <c r="B145" s="11" t="s">
        <v>168</v>
      </c>
      <c r="C145" s="11" t="str">
        <f t="array" ref="C145">IFERROR(INDEX(DOCUMENTOS!$E:$E,MATCH($A145,DOCUMENTOS!$A:$A,0)),"")</f>
        <v/>
      </c>
      <c r="D145" s="11" t="str">
        <f t="array" ref="D145">IFERROR(INDEX('BANCO DE PERGUNTAS'!$D:$D,MATCH($B145,'BANCO DE PERGUNTAS'!$A:$A,0)),"")</f>
        <v>Qual é a data indicada para de assinatura de todos os membros da comissão da contratação?</v>
      </c>
      <c r="E145" s="11" t="str">
        <f t="array" ref="E145">IFERROR(INDEX('BANCO DE PERGUNTAS'!$B:$B,MATCH($B145,'BANCO DE PERGUNTAS'!$A:$A,0)),"")</f>
        <v>Localização</v>
      </c>
      <c r="F145" s="12">
        <f t="array" ref="F145">IFERROR(INDEX('BANCO DE PERGUNTAS'!$H:$H,MATCH($B145,'BANCO DE PERGUNTAS'!$A:$A,0)),"")</f>
        <v>1</v>
      </c>
      <c r="I145" s="50"/>
      <c r="J145" s="50"/>
      <c r="K145" s="50"/>
      <c r="L145" s="50"/>
      <c r="M145" s="50"/>
      <c r="N145" s="50"/>
      <c r="O145" s="50"/>
      <c r="P145" s="50"/>
      <c r="Q145" s="50"/>
      <c r="R145" s="50"/>
      <c r="S145" s="50"/>
      <c r="U145" s="101" t="s">
        <v>2804</v>
      </c>
      <c r="W145" s="86">
        <v>2.0</v>
      </c>
      <c r="X145" s="86">
        <v>2.0</v>
      </c>
      <c r="Y145" s="86">
        <v>2.0</v>
      </c>
      <c r="Z145" s="86">
        <v>2.0</v>
      </c>
      <c r="AA145" s="86">
        <v>2.0</v>
      </c>
      <c r="AB145" s="86">
        <v>2.0</v>
      </c>
      <c r="AC145" s="86">
        <v>2.0</v>
      </c>
      <c r="AD145" s="87" t="s">
        <v>64</v>
      </c>
      <c r="AE145" s="87" t="s">
        <v>64</v>
      </c>
      <c r="AF145" s="87" t="s">
        <v>64</v>
      </c>
      <c r="AG145" s="50"/>
      <c r="AI145" s="103" t="s">
        <v>2805</v>
      </c>
      <c r="AK145" s="86">
        <v>2.0</v>
      </c>
      <c r="AL145" s="86">
        <v>2.0</v>
      </c>
      <c r="AM145" s="86">
        <v>2.0</v>
      </c>
      <c r="AN145" s="86">
        <v>2.0</v>
      </c>
      <c r="AO145" s="86">
        <v>2.0</v>
      </c>
      <c r="AP145" s="86">
        <v>2.0</v>
      </c>
      <c r="AQ145" s="86">
        <v>2.0</v>
      </c>
      <c r="AR145" s="87" t="s">
        <v>64</v>
      </c>
      <c r="AS145" s="87" t="s">
        <v>64</v>
      </c>
      <c r="AT145" s="87" t="s">
        <v>64</v>
      </c>
      <c r="AU145" s="50"/>
      <c r="AY145" s="50"/>
      <c r="AZ145" s="50"/>
      <c r="BA145" s="50"/>
      <c r="BB145" s="50"/>
      <c r="BC145" s="50"/>
      <c r="BD145" s="50"/>
      <c r="BE145" s="50"/>
      <c r="BF145" s="50"/>
      <c r="BG145" s="50"/>
      <c r="BH145" s="50"/>
      <c r="BI145" s="50"/>
      <c r="BK145" s="104" t="s">
        <v>2806</v>
      </c>
      <c r="BM145" s="86">
        <v>2.0</v>
      </c>
      <c r="BN145" s="86">
        <v>2.0</v>
      </c>
      <c r="BO145" s="86">
        <v>2.0</v>
      </c>
      <c r="BP145" s="86">
        <v>2.0</v>
      </c>
      <c r="BQ145" s="86">
        <v>2.0</v>
      </c>
      <c r="BR145" s="86">
        <v>2.0</v>
      </c>
      <c r="BS145" s="86">
        <v>2.0</v>
      </c>
      <c r="BT145" s="87" t="s">
        <v>64</v>
      </c>
      <c r="BU145" s="87" t="s">
        <v>64</v>
      </c>
      <c r="BV145" s="87" t="s">
        <v>64</v>
      </c>
      <c r="BW145" s="50"/>
      <c r="BY145" s="53" t="s">
        <v>2807</v>
      </c>
      <c r="CA145" s="86">
        <v>2.0</v>
      </c>
      <c r="CB145" s="86">
        <v>2.0</v>
      </c>
      <c r="CC145" s="86">
        <v>2.0</v>
      </c>
      <c r="CD145" s="86">
        <v>2.0</v>
      </c>
      <c r="CE145" s="86">
        <v>2.0</v>
      </c>
      <c r="CF145" s="86">
        <v>2.0</v>
      </c>
      <c r="CG145" s="86">
        <v>2.0</v>
      </c>
      <c r="CH145" s="87" t="s">
        <v>64</v>
      </c>
      <c r="CI145" s="87" t="s">
        <v>64</v>
      </c>
      <c r="CJ145" s="87" t="s">
        <v>64</v>
      </c>
      <c r="CK145" s="50"/>
      <c r="CO145" s="50"/>
      <c r="CP145" s="50"/>
      <c r="CQ145" s="50"/>
      <c r="CR145" s="50"/>
      <c r="CS145" s="50"/>
      <c r="CT145" s="50"/>
      <c r="CU145" s="50"/>
      <c r="CV145" s="50"/>
      <c r="CW145" s="50"/>
      <c r="CX145" s="50"/>
      <c r="CY145" s="50"/>
      <c r="DA145" s="53" t="s">
        <v>2808</v>
      </c>
      <c r="DC145" s="86">
        <v>2.0</v>
      </c>
      <c r="DD145" s="86">
        <v>2.0</v>
      </c>
      <c r="DE145" s="86">
        <v>2.0</v>
      </c>
      <c r="DF145" s="86">
        <v>2.0</v>
      </c>
      <c r="DG145" s="86">
        <v>2.0</v>
      </c>
      <c r="DH145" s="86">
        <v>2.0</v>
      </c>
      <c r="DI145" s="86">
        <v>2.0</v>
      </c>
      <c r="DJ145" s="87" t="s">
        <v>64</v>
      </c>
      <c r="DK145" s="87" t="s">
        <v>64</v>
      </c>
      <c r="DL145" s="87" t="s">
        <v>64</v>
      </c>
      <c r="DM145" s="50"/>
      <c r="DO145" s="59" t="s">
        <v>2809</v>
      </c>
      <c r="DQ145" s="86">
        <v>2.0</v>
      </c>
      <c r="DR145" s="86">
        <v>2.0</v>
      </c>
      <c r="DS145" s="86">
        <v>2.0</v>
      </c>
      <c r="DT145" s="86">
        <v>2.0</v>
      </c>
      <c r="DU145" s="86">
        <v>2.0</v>
      </c>
      <c r="DV145" s="86">
        <v>2.0</v>
      </c>
      <c r="DW145" s="86">
        <v>2.0</v>
      </c>
      <c r="DX145" s="87" t="s">
        <v>64</v>
      </c>
      <c r="DY145" s="87" t="s">
        <v>64</v>
      </c>
      <c r="DZ145" s="87" t="s">
        <v>64</v>
      </c>
      <c r="EA145" s="50"/>
    </row>
    <row r="146" ht="15.75" customHeight="1">
      <c r="A146" s="14">
        <v>15.0</v>
      </c>
      <c r="B146" s="14" t="s">
        <v>172</v>
      </c>
      <c r="C146" s="14" t="str">
        <f t="array" ref="C146">IFERROR(INDEX(DOCUMENTOS!$E:$E,MATCH($A146,DOCUMENTOS!$A:$A,0)),"")</f>
        <v/>
      </c>
      <c r="D146" s="14" t="str">
        <f t="array" ref="D146">IFERROR(INDEX('BANCO DE PERGUNTAS'!$D:$D,MATCH($B146,'BANCO DE PERGUNTAS'!$A:$A,0)),"")</f>
        <v>Extraia os principais dados do documento em formato estruturado.</v>
      </c>
      <c r="E146" s="14" t="str">
        <f t="array" ref="E146">IFERROR(INDEX('BANCO DE PERGUNTAS'!$B:$B,MATCH($B146,'BANCO DE PERGUNTAS'!$A:$A,0)),"")</f>
        <v>Extração</v>
      </c>
      <c r="F146" s="17">
        <f t="array" ref="F146">IFERROR(INDEX('BANCO DE PERGUNTAS'!$H:$H,MATCH($B146,'BANCO DE PERGUNTAS'!$A:$A,0)),"")</f>
        <v>2</v>
      </c>
      <c r="I146" s="50"/>
      <c r="J146" s="50"/>
      <c r="K146" s="50"/>
      <c r="L146" s="50"/>
      <c r="M146" s="50"/>
      <c r="N146" s="50"/>
      <c r="O146" s="50"/>
      <c r="P146" s="50"/>
      <c r="Q146" s="50"/>
      <c r="R146" s="50"/>
      <c r="S146" s="50"/>
      <c r="U146" s="97" t="s">
        <v>2810</v>
      </c>
      <c r="W146" s="86">
        <v>2.0</v>
      </c>
      <c r="X146" s="86">
        <v>2.0</v>
      </c>
      <c r="Y146" s="86">
        <v>2.0</v>
      </c>
      <c r="Z146" s="86">
        <v>2.0</v>
      </c>
      <c r="AA146" s="86">
        <v>2.0</v>
      </c>
      <c r="AB146" s="86">
        <v>2.0</v>
      </c>
      <c r="AC146" s="86">
        <v>2.0</v>
      </c>
      <c r="AD146" s="87" t="s">
        <v>64</v>
      </c>
      <c r="AE146" s="87" t="s">
        <v>64</v>
      </c>
      <c r="AF146" s="87" t="s">
        <v>64</v>
      </c>
      <c r="AG146" s="50"/>
      <c r="AI146" s="103" t="s">
        <v>2811</v>
      </c>
      <c r="AK146" s="86">
        <v>2.0</v>
      </c>
      <c r="AL146" s="86">
        <v>2.0</v>
      </c>
      <c r="AM146" s="86">
        <v>2.0</v>
      </c>
      <c r="AN146" s="86">
        <v>2.0</v>
      </c>
      <c r="AO146" s="86">
        <v>2.0</v>
      </c>
      <c r="AP146" s="86">
        <v>2.0</v>
      </c>
      <c r="AQ146" s="86">
        <v>2.0</v>
      </c>
      <c r="AR146" s="87" t="s">
        <v>64</v>
      </c>
      <c r="AS146" s="87" t="s">
        <v>64</v>
      </c>
      <c r="AT146" s="87" t="s">
        <v>64</v>
      </c>
      <c r="AU146" s="50"/>
      <c r="AY146" s="50"/>
      <c r="AZ146" s="50"/>
      <c r="BA146" s="50"/>
      <c r="BB146" s="50"/>
      <c r="BC146" s="50"/>
      <c r="BD146" s="50"/>
      <c r="BE146" s="50"/>
      <c r="BF146" s="50"/>
      <c r="BG146" s="50"/>
      <c r="BH146" s="50"/>
      <c r="BI146" s="50"/>
      <c r="BK146" s="104" t="s">
        <v>2812</v>
      </c>
      <c r="BM146" s="86">
        <v>2.0</v>
      </c>
      <c r="BN146" s="86">
        <v>2.0</v>
      </c>
      <c r="BO146" s="86">
        <v>2.0</v>
      </c>
      <c r="BP146" s="86">
        <v>2.0</v>
      </c>
      <c r="BQ146" s="86">
        <v>2.0</v>
      </c>
      <c r="BR146" s="86">
        <v>2.0</v>
      </c>
      <c r="BS146" s="86">
        <v>2.0</v>
      </c>
      <c r="BT146" s="87" t="s">
        <v>64</v>
      </c>
      <c r="BU146" s="87" t="s">
        <v>64</v>
      </c>
      <c r="BV146" s="87" t="s">
        <v>64</v>
      </c>
      <c r="BW146" s="50"/>
      <c r="BY146" s="53" t="s">
        <v>2813</v>
      </c>
      <c r="CA146" s="86">
        <v>2.0</v>
      </c>
      <c r="CB146" s="86">
        <v>2.0</v>
      </c>
      <c r="CC146" s="86">
        <v>2.0</v>
      </c>
      <c r="CD146" s="86">
        <v>2.0</v>
      </c>
      <c r="CE146" s="86">
        <v>2.0</v>
      </c>
      <c r="CF146" s="86">
        <v>2.0</v>
      </c>
      <c r="CG146" s="86">
        <v>2.0</v>
      </c>
      <c r="CH146" s="87" t="s">
        <v>64</v>
      </c>
      <c r="CI146" s="87" t="s">
        <v>64</v>
      </c>
      <c r="CJ146" s="87" t="s">
        <v>64</v>
      </c>
      <c r="CK146" s="50"/>
      <c r="CO146" s="50"/>
      <c r="CP146" s="50"/>
      <c r="CQ146" s="50"/>
      <c r="CR146" s="50"/>
      <c r="CS146" s="50"/>
      <c r="CT146" s="50"/>
      <c r="CU146" s="50"/>
      <c r="CV146" s="50"/>
      <c r="CW146" s="50"/>
      <c r="CX146" s="50"/>
      <c r="CY146" s="50"/>
      <c r="DA146" s="53" t="s">
        <v>2814</v>
      </c>
      <c r="DC146" s="86">
        <v>2.0</v>
      </c>
      <c r="DD146" s="86">
        <v>2.0</v>
      </c>
      <c r="DE146" s="86">
        <v>2.0</v>
      </c>
      <c r="DF146" s="86">
        <v>2.0</v>
      </c>
      <c r="DG146" s="86">
        <v>2.0</v>
      </c>
      <c r="DH146" s="86">
        <v>2.0</v>
      </c>
      <c r="DI146" s="86">
        <v>2.0</v>
      </c>
      <c r="DJ146" s="87" t="s">
        <v>64</v>
      </c>
      <c r="DK146" s="87" t="s">
        <v>64</v>
      </c>
      <c r="DL146" s="87" t="s">
        <v>64</v>
      </c>
      <c r="DM146" s="50"/>
      <c r="DO146" s="59" t="s">
        <v>2815</v>
      </c>
      <c r="DQ146" s="86">
        <v>2.0</v>
      </c>
      <c r="DR146" s="86">
        <v>2.0</v>
      </c>
      <c r="DS146" s="86">
        <v>2.0</v>
      </c>
      <c r="DT146" s="86">
        <v>2.0</v>
      </c>
      <c r="DU146" s="86">
        <v>2.0</v>
      </c>
      <c r="DV146" s="86">
        <v>2.0</v>
      </c>
      <c r="DW146" s="86">
        <v>2.0</v>
      </c>
      <c r="DX146" s="87" t="s">
        <v>64</v>
      </c>
      <c r="DY146" s="87" t="s">
        <v>64</v>
      </c>
      <c r="DZ146" s="87" t="s">
        <v>64</v>
      </c>
      <c r="EA146" s="50"/>
    </row>
    <row r="147" ht="15.75" customHeight="1">
      <c r="A147" s="11">
        <v>15.0</v>
      </c>
      <c r="B147" s="11" t="s">
        <v>179</v>
      </c>
      <c r="C147" s="11" t="str">
        <f t="array" ref="C147">IFERROR(INDEX(DOCUMENTOS!$E:$E,MATCH($A147,DOCUMENTOS!$A:$A,0)),"")</f>
        <v/>
      </c>
      <c r="D147" s="11" t="str">
        <f t="array" ref="D147">IFERROR(INDEX('BANCO DE PERGUNTAS'!$D:$D,MATCH($B147,'BANCO DE PERGUNTAS'!$A:$A,0)),"")</f>
        <v>Liste os valores financeiros presentes no documento.</v>
      </c>
      <c r="E147" s="11" t="str">
        <f t="array" ref="E147">IFERROR(INDEX('BANCO DE PERGUNTAS'!$B:$B,MATCH($B147,'BANCO DE PERGUNTAS'!$A:$A,0)),"")</f>
        <v>Extração</v>
      </c>
      <c r="F147" s="12">
        <f t="array" ref="F147">IFERROR(INDEX('BANCO DE PERGUNTAS'!$H:$H,MATCH($B147,'BANCO DE PERGUNTAS'!$A:$A,0)),"")</f>
        <v>2</v>
      </c>
      <c r="I147" s="50"/>
      <c r="J147" s="50"/>
      <c r="K147" s="50"/>
      <c r="L147" s="50"/>
      <c r="M147" s="50"/>
      <c r="N147" s="50"/>
      <c r="O147" s="50"/>
      <c r="P147" s="50"/>
      <c r="Q147" s="50"/>
      <c r="R147" s="50"/>
      <c r="S147" s="50"/>
      <c r="U147" s="101" t="s">
        <v>2816</v>
      </c>
      <c r="W147" s="86">
        <v>2.0</v>
      </c>
      <c r="X147" s="86">
        <v>2.0</v>
      </c>
      <c r="Y147" s="86">
        <v>2.0</v>
      </c>
      <c r="Z147" s="86">
        <v>2.0</v>
      </c>
      <c r="AA147" s="86">
        <v>2.0</v>
      </c>
      <c r="AB147" s="86">
        <v>2.0</v>
      </c>
      <c r="AC147" s="86">
        <v>2.0</v>
      </c>
      <c r="AD147" s="87" t="s">
        <v>64</v>
      </c>
      <c r="AE147" s="87" t="s">
        <v>64</v>
      </c>
      <c r="AF147" s="87" t="s">
        <v>64</v>
      </c>
      <c r="AG147" s="50"/>
      <c r="AI147" s="103" t="s">
        <v>2817</v>
      </c>
      <c r="AK147" s="86">
        <v>2.0</v>
      </c>
      <c r="AL147" s="86">
        <v>2.0</v>
      </c>
      <c r="AM147" s="86">
        <v>2.0</v>
      </c>
      <c r="AN147" s="86">
        <v>2.0</v>
      </c>
      <c r="AO147" s="86">
        <v>2.0</v>
      </c>
      <c r="AP147" s="86">
        <v>2.0</v>
      </c>
      <c r="AQ147" s="86">
        <v>2.0</v>
      </c>
      <c r="AR147" s="87" t="s">
        <v>64</v>
      </c>
      <c r="AS147" s="87" t="s">
        <v>64</v>
      </c>
      <c r="AT147" s="87" t="s">
        <v>64</v>
      </c>
      <c r="AU147" s="50"/>
      <c r="AY147" s="50"/>
      <c r="AZ147" s="50"/>
      <c r="BA147" s="50"/>
      <c r="BB147" s="50"/>
      <c r="BC147" s="50"/>
      <c r="BD147" s="50"/>
      <c r="BE147" s="50"/>
      <c r="BF147" s="50"/>
      <c r="BG147" s="50"/>
      <c r="BH147" s="50"/>
      <c r="BI147" s="50"/>
      <c r="BK147" s="104" t="s">
        <v>2818</v>
      </c>
      <c r="BM147" s="86">
        <v>2.0</v>
      </c>
      <c r="BN147" s="86">
        <v>2.0</v>
      </c>
      <c r="BO147" s="86">
        <v>2.0</v>
      </c>
      <c r="BP147" s="86">
        <v>2.0</v>
      </c>
      <c r="BQ147" s="86">
        <v>2.0</v>
      </c>
      <c r="BR147" s="86">
        <v>2.0</v>
      </c>
      <c r="BS147" s="86">
        <v>2.0</v>
      </c>
      <c r="BT147" s="87" t="s">
        <v>64</v>
      </c>
      <c r="BU147" s="87" t="s">
        <v>64</v>
      </c>
      <c r="BV147" s="87" t="s">
        <v>64</v>
      </c>
      <c r="BW147" s="50"/>
      <c r="BY147" s="53" t="s">
        <v>2819</v>
      </c>
      <c r="CA147" s="86">
        <v>2.0</v>
      </c>
      <c r="CB147" s="86">
        <v>2.0</v>
      </c>
      <c r="CC147" s="86">
        <v>2.0</v>
      </c>
      <c r="CD147" s="86">
        <v>2.0</v>
      </c>
      <c r="CE147" s="86">
        <v>2.0</v>
      </c>
      <c r="CF147" s="86">
        <v>2.0</v>
      </c>
      <c r="CG147" s="86">
        <v>2.0</v>
      </c>
      <c r="CH147" s="87" t="s">
        <v>64</v>
      </c>
      <c r="CI147" s="87" t="s">
        <v>64</v>
      </c>
      <c r="CJ147" s="87" t="s">
        <v>64</v>
      </c>
      <c r="CK147" s="50"/>
      <c r="CO147" s="50"/>
      <c r="CP147" s="50"/>
      <c r="CQ147" s="50"/>
      <c r="CR147" s="50"/>
      <c r="CS147" s="50"/>
      <c r="CT147" s="50"/>
      <c r="CU147" s="50"/>
      <c r="CV147" s="50"/>
      <c r="CW147" s="50"/>
      <c r="CX147" s="50"/>
      <c r="CY147" s="50"/>
      <c r="DA147" s="53" t="s">
        <v>2820</v>
      </c>
      <c r="DC147" s="86">
        <v>2.0</v>
      </c>
      <c r="DD147" s="86">
        <v>2.0</v>
      </c>
      <c r="DE147" s="86">
        <v>2.0</v>
      </c>
      <c r="DF147" s="86">
        <v>2.0</v>
      </c>
      <c r="DG147" s="86">
        <v>2.0</v>
      </c>
      <c r="DH147" s="86">
        <v>2.0</v>
      </c>
      <c r="DI147" s="86">
        <v>2.0</v>
      </c>
      <c r="DJ147" s="87" t="s">
        <v>64</v>
      </c>
      <c r="DK147" s="87" t="s">
        <v>64</v>
      </c>
      <c r="DL147" s="87" t="s">
        <v>64</v>
      </c>
      <c r="DM147" s="50"/>
      <c r="DO147" s="59" t="s">
        <v>2821</v>
      </c>
      <c r="DQ147" s="86">
        <v>2.0</v>
      </c>
      <c r="DR147" s="86">
        <v>2.0</v>
      </c>
      <c r="DS147" s="86">
        <v>2.0</v>
      </c>
      <c r="DT147" s="86">
        <v>2.0</v>
      </c>
      <c r="DU147" s="86">
        <v>2.0</v>
      </c>
      <c r="DV147" s="86">
        <v>2.0</v>
      </c>
      <c r="DW147" s="86">
        <v>2.0</v>
      </c>
      <c r="DX147" s="87" t="s">
        <v>64</v>
      </c>
      <c r="DY147" s="87" t="s">
        <v>64</v>
      </c>
      <c r="DZ147" s="87" t="s">
        <v>64</v>
      </c>
      <c r="EA147" s="50"/>
    </row>
    <row r="148" ht="15.75" customHeight="1">
      <c r="A148" s="14">
        <v>15.0</v>
      </c>
      <c r="B148" s="14" t="s">
        <v>186</v>
      </c>
      <c r="C148" s="14" t="str">
        <f t="array" ref="C148">IFERROR(INDEX(DOCUMENTOS!$E:$E,MATCH($A148,DOCUMENTOS!$A:$A,0)),"")</f>
        <v/>
      </c>
      <c r="D148" s="14" t="str">
        <f t="array" ref="D148">IFERROR(INDEX('BANCO DE PERGUNTAS'!$D:$D,MATCH($B148,'BANCO DE PERGUNTAS'!$A:$A,0)),"")</f>
        <v>Liste as obrigações ou responsabilidades estabelecidas.</v>
      </c>
      <c r="E148" s="14" t="str">
        <f t="array" ref="E148">IFERROR(INDEX('BANCO DE PERGUNTAS'!$B:$B,MATCH($B148,'BANCO DE PERGUNTAS'!$A:$A,0)),"")</f>
        <v>Extração</v>
      </c>
      <c r="F148" s="17">
        <f t="array" ref="F148">IFERROR(INDEX('BANCO DE PERGUNTAS'!$H:$H,MATCH($B148,'BANCO DE PERGUNTAS'!$A:$A,0)),"")</f>
        <v>2</v>
      </c>
      <c r="I148" s="50"/>
      <c r="J148" s="50"/>
      <c r="K148" s="50"/>
      <c r="L148" s="50"/>
      <c r="M148" s="50"/>
      <c r="N148" s="50"/>
      <c r="O148" s="50"/>
      <c r="P148" s="50"/>
      <c r="Q148" s="50"/>
      <c r="R148" s="50"/>
      <c r="S148" s="50"/>
      <c r="U148" s="97" t="s">
        <v>2822</v>
      </c>
      <c r="W148" s="86">
        <v>2.0</v>
      </c>
      <c r="X148" s="86">
        <v>2.0</v>
      </c>
      <c r="Y148" s="86">
        <v>2.0</v>
      </c>
      <c r="Z148" s="86">
        <v>2.0</v>
      </c>
      <c r="AA148" s="86">
        <v>2.0</v>
      </c>
      <c r="AB148" s="86">
        <v>2.0</v>
      </c>
      <c r="AC148" s="86">
        <v>2.0</v>
      </c>
      <c r="AD148" s="87" t="s">
        <v>64</v>
      </c>
      <c r="AE148" s="87" t="s">
        <v>64</v>
      </c>
      <c r="AF148" s="87" t="s">
        <v>64</v>
      </c>
      <c r="AG148" s="50"/>
      <c r="AI148" s="103" t="s">
        <v>2823</v>
      </c>
      <c r="AK148" s="86">
        <v>2.0</v>
      </c>
      <c r="AL148" s="86">
        <v>2.0</v>
      </c>
      <c r="AM148" s="86">
        <v>2.0</v>
      </c>
      <c r="AN148" s="86">
        <v>2.0</v>
      </c>
      <c r="AO148" s="86">
        <v>2.0</v>
      </c>
      <c r="AP148" s="86">
        <v>2.0</v>
      </c>
      <c r="AQ148" s="86">
        <v>2.0</v>
      </c>
      <c r="AR148" s="87" t="s">
        <v>64</v>
      </c>
      <c r="AS148" s="87" t="s">
        <v>64</v>
      </c>
      <c r="AT148" s="87" t="s">
        <v>64</v>
      </c>
      <c r="AU148" s="50"/>
      <c r="AY148" s="50"/>
      <c r="AZ148" s="50"/>
      <c r="BA148" s="50"/>
      <c r="BB148" s="50"/>
      <c r="BC148" s="50"/>
      <c r="BD148" s="50"/>
      <c r="BE148" s="50"/>
      <c r="BF148" s="50"/>
      <c r="BG148" s="50"/>
      <c r="BH148" s="50"/>
      <c r="BI148" s="50"/>
      <c r="BK148" s="104" t="s">
        <v>2824</v>
      </c>
      <c r="BM148" s="86">
        <v>2.0</v>
      </c>
      <c r="BN148" s="86">
        <v>2.0</v>
      </c>
      <c r="BO148" s="86">
        <v>2.0</v>
      </c>
      <c r="BP148" s="86">
        <v>2.0</v>
      </c>
      <c r="BQ148" s="86">
        <v>2.0</v>
      </c>
      <c r="BR148" s="86">
        <v>2.0</v>
      </c>
      <c r="BS148" s="86">
        <v>2.0</v>
      </c>
      <c r="BT148" s="87" t="s">
        <v>64</v>
      </c>
      <c r="BU148" s="87" t="s">
        <v>64</v>
      </c>
      <c r="BV148" s="87" t="s">
        <v>64</v>
      </c>
      <c r="BW148" s="50"/>
      <c r="BY148" s="53" t="s">
        <v>2825</v>
      </c>
      <c r="CA148" s="86">
        <v>2.0</v>
      </c>
      <c r="CB148" s="86">
        <v>2.0</v>
      </c>
      <c r="CC148" s="86">
        <v>2.0</v>
      </c>
      <c r="CD148" s="86">
        <v>2.0</v>
      </c>
      <c r="CE148" s="86">
        <v>2.0</v>
      </c>
      <c r="CF148" s="86">
        <v>2.0</v>
      </c>
      <c r="CG148" s="86">
        <v>2.0</v>
      </c>
      <c r="CH148" s="87" t="s">
        <v>64</v>
      </c>
      <c r="CI148" s="87" t="s">
        <v>64</v>
      </c>
      <c r="CJ148" s="87" t="s">
        <v>64</v>
      </c>
      <c r="CK148" s="50"/>
      <c r="CO148" s="50"/>
      <c r="CP148" s="50"/>
      <c r="CQ148" s="50"/>
      <c r="CR148" s="50"/>
      <c r="CS148" s="50"/>
      <c r="CT148" s="50"/>
      <c r="CU148" s="50"/>
      <c r="CV148" s="50"/>
      <c r="CW148" s="50"/>
      <c r="CX148" s="50"/>
      <c r="CY148" s="50"/>
      <c r="DA148" s="53" t="s">
        <v>2826</v>
      </c>
      <c r="DC148" s="86">
        <v>2.0</v>
      </c>
      <c r="DD148" s="86">
        <v>2.0</v>
      </c>
      <c r="DE148" s="86">
        <v>2.0</v>
      </c>
      <c r="DF148" s="86">
        <v>2.0</v>
      </c>
      <c r="DG148" s="86">
        <v>2.0</v>
      </c>
      <c r="DH148" s="86">
        <v>2.0</v>
      </c>
      <c r="DI148" s="86">
        <v>2.0</v>
      </c>
      <c r="DJ148" s="87" t="s">
        <v>64</v>
      </c>
      <c r="DK148" s="87" t="s">
        <v>64</v>
      </c>
      <c r="DL148" s="87" t="s">
        <v>64</v>
      </c>
      <c r="DM148" s="50"/>
      <c r="DO148" s="59" t="s">
        <v>2827</v>
      </c>
      <c r="DQ148" s="86">
        <v>1.0</v>
      </c>
      <c r="DR148" s="86">
        <v>2.0</v>
      </c>
      <c r="DS148" s="86">
        <v>1.0</v>
      </c>
      <c r="DT148" s="86">
        <v>2.0</v>
      </c>
      <c r="DU148" s="86">
        <v>2.0</v>
      </c>
      <c r="DV148" s="86">
        <v>1.0</v>
      </c>
      <c r="DW148" s="86">
        <v>2.0</v>
      </c>
      <c r="DX148" s="87" t="s">
        <v>64</v>
      </c>
      <c r="DY148" s="87" t="s">
        <v>64</v>
      </c>
      <c r="DZ148" s="87" t="s">
        <v>64</v>
      </c>
      <c r="EA148" s="50"/>
    </row>
    <row r="149" ht="15.75" customHeight="1">
      <c r="A149" s="11">
        <v>15.0</v>
      </c>
      <c r="B149" s="11" t="s">
        <v>190</v>
      </c>
      <c r="C149" s="11" t="str">
        <f t="array" ref="C149">IFERROR(INDEX(DOCUMENTOS!$E:$E,MATCH($A149,DOCUMENTOS!$A:$A,0)),"")</f>
        <v/>
      </c>
      <c r="D149" s="11" t="str">
        <f t="array" ref="D149">IFERROR(INDEX('BANCO DE PERGUNTAS'!$D:$D,MATCH($B149,'BANCO DE PERGUNTAS'!$A:$A,0)),"")</f>
        <v>Explique o significado da cláusula/seção 4.1.4..</v>
      </c>
      <c r="E149" s="11" t="str">
        <f t="array" ref="E149">IFERROR(INDEX('BANCO DE PERGUNTAS'!$B:$B,MATCH($B149,'BANCO DE PERGUNTAS'!$A:$A,0)),"")</f>
        <v>Interpretação</v>
      </c>
      <c r="F149" s="12">
        <f t="array" ref="F149">IFERROR(INDEX('BANCO DE PERGUNTAS'!$H:$H,MATCH($B149,'BANCO DE PERGUNTAS'!$A:$A,0)),"")</f>
        <v>3</v>
      </c>
      <c r="I149" s="50"/>
      <c r="J149" s="50"/>
      <c r="K149" s="50"/>
      <c r="L149" s="50"/>
      <c r="M149" s="50"/>
      <c r="N149" s="50"/>
      <c r="O149" s="50"/>
      <c r="P149" s="50"/>
      <c r="Q149" s="50"/>
      <c r="R149" s="50"/>
      <c r="S149" s="50"/>
      <c r="U149" s="101" t="s">
        <v>2634</v>
      </c>
      <c r="W149" s="86">
        <v>2.0</v>
      </c>
      <c r="X149" s="86">
        <v>2.0</v>
      </c>
      <c r="Y149" s="86">
        <v>2.0</v>
      </c>
      <c r="Z149" s="86">
        <v>2.0</v>
      </c>
      <c r="AA149" s="86">
        <v>2.0</v>
      </c>
      <c r="AB149" s="86">
        <v>2.0</v>
      </c>
      <c r="AC149" s="86">
        <v>2.0</v>
      </c>
      <c r="AD149" s="87" t="s">
        <v>64</v>
      </c>
      <c r="AE149" s="87" t="s">
        <v>64</v>
      </c>
      <c r="AF149" s="87" t="s">
        <v>64</v>
      </c>
      <c r="AG149" s="50"/>
      <c r="AI149" s="103" t="s">
        <v>2828</v>
      </c>
      <c r="AK149" s="86">
        <v>2.0</v>
      </c>
      <c r="AL149" s="86">
        <v>2.0</v>
      </c>
      <c r="AM149" s="86">
        <v>2.0</v>
      </c>
      <c r="AN149" s="86">
        <v>2.0</v>
      </c>
      <c r="AO149" s="86">
        <v>2.0</v>
      </c>
      <c r="AP149" s="86">
        <v>2.0</v>
      </c>
      <c r="AQ149" s="86">
        <v>2.0</v>
      </c>
      <c r="AR149" s="87" t="s">
        <v>64</v>
      </c>
      <c r="AS149" s="87" t="s">
        <v>64</v>
      </c>
      <c r="AT149" s="87" t="s">
        <v>64</v>
      </c>
      <c r="AU149" s="50"/>
      <c r="AY149" s="50"/>
      <c r="AZ149" s="50"/>
      <c r="BA149" s="50"/>
      <c r="BB149" s="50"/>
      <c r="BC149" s="50"/>
      <c r="BD149" s="50"/>
      <c r="BE149" s="50"/>
      <c r="BF149" s="50"/>
      <c r="BG149" s="50"/>
      <c r="BH149" s="50"/>
      <c r="BI149" s="50"/>
      <c r="BK149" s="104" t="s">
        <v>2829</v>
      </c>
      <c r="BM149" s="86">
        <v>2.0</v>
      </c>
      <c r="BN149" s="86">
        <v>2.0</v>
      </c>
      <c r="BO149" s="86">
        <v>2.0</v>
      </c>
      <c r="BP149" s="86">
        <v>2.0</v>
      </c>
      <c r="BQ149" s="86">
        <v>2.0</v>
      </c>
      <c r="BR149" s="86">
        <v>2.0</v>
      </c>
      <c r="BS149" s="86">
        <v>2.0</v>
      </c>
      <c r="BT149" s="87" t="s">
        <v>64</v>
      </c>
      <c r="BU149" s="87" t="s">
        <v>64</v>
      </c>
      <c r="BV149" s="87" t="s">
        <v>64</v>
      </c>
      <c r="BW149" s="50"/>
      <c r="BY149" s="53" t="s">
        <v>2830</v>
      </c>
      <c r="CA149" s="86">
        <v>2.0</v>
      </c>
      <c r="CB149" s="86">
        <v>2.0</v>
      </c>
      <c r="CC149" s="86">
        <v>2.0</v>
      </c>
      <c r="CD149" s="86">
        <v>2.0</v>
      </c>
      <c r="CE149" s="86">
        <v>2.0</v>
      </c>
      <c r="CF149" s="86">
        <v>2.0</v>
      </c>
      <c r="CG149" s="86">
        <v>2.0</v>
      </c>
      <c r="CH149" s="87" t="s">
        <v>64</v>
      </c>
      <c r="CI149" s="87" t="s">
        <v>64</v>
      </c>
      <c r="CJ149" s="87" t="s">
        <v>64</v>
      </c>
      <c r="CK149" s="50"/>
      <c r="CO149" s="50"/>
      <c r="CP149" s="50"/>
      <c r="CQ149" s="50"/>
      <c r="CR149" s="50"/>
      <c r="CS149" s="50"/>
      <c r="CT149" s="50"/>
      <c r="CU149" s="50"/>
      <c r="CV149" s="50"/>
      <c r="CW149" s="50"/>
      <c r="CX149" s="50"/>
      <c r="CY149" s="50"/>
      <c r="DA149" s="53" t="s">
        <v>2831</v>
      </c>
      <c r="DC149" s="86">
        <v>2.0</v>
      </c>
      <c r="DD149" s="86">
        <v>2.0</v>
      </c>
      <c r="DE149" s="86">
        <v>2.0</v>
      </c>
      <c r="DF149" s="86">
        <v>2.0</v>
      </c>
      <c r="DG149" s="86">
        <v>2.0</v>
      </c>
      <c r="DH149" s="86">
        <v>2.0</v>
      </c>
      <c r="DI149" s="86">
        <v>2.0</v>
      </c>
      <c r="DJ149" s="87" t="s">
        <v>64</v>
      </c>
      <c r="DK149" s="87" t="s">
        <v>64</v>
      </c>
      <c r="DL149" s="87" t="s">
        <v>64</v>
      </c>
      <c r="DM149" s="50"/>
      <c r="DO149" s="59" t="s">
        <v>2832</v>
      </c>
      <c r="DQ149" s="86">
        <v>2.0</v>
      </c>
      <c r="DR149" s="86">
        <v>2.0</v>
      </c>
      <c r="DS149" s="86">
        <v>2.0</v>
      </c>
      <c r="DT149" s="86">
        <v>2.0</v>
      </c>
      <c r="DU149" s="86">
        <v>2.0</v>
      </c>
      <c r="DV149" s="86">
        <v>2.0</v>
      </c>
      <c r="DW149" s="86">
        <v>2.0</v>
      </c>
      <c r="DX149" s="87" t="s">
        <v>64</v>
      </c>
      <c r="DY149" s="87" t="s">
        <v>64</v>
      </c>
      <c r="DZ149" s="87" t="s">
        <v>64</v>
      </c>
      <c r="EA149" s="50"/>
    </row>
    <row r="150" ht="15.75" customHeight="1">
      <c r="A150" s="14">
        <v>15.0</v>
      </c>
      <c r="B150" s="14" t="s">
        <v>199</v>
      </c>
      <c r="C150" s="14" t="str">
        <f t="array" ref="C150">IFERROR(INDEX(DOCUMENTOS!$E:$E,MATCH($A150,DOCUMENTOS!$A:$A,0)),"")</f>
        <v/>
      </c>
      <c r="D150" s="14" t="str">
        <f t="array" ref="D150">IFERROR(INDEX('BANCO DE PERGUNTAS'!$D:$D,MATCH($B150,'BANCO DE PERGUNTAS'!$A:$A,0)),"")</f>
        <v>Qual é a finalidade administrativa deste documento?</v>
      </c>
      <c r="E150" s="14" t="str">
        <f t="array" ref="E150">IFERROR(INDEX('BANCO DE PERGUNTAS'!$B:$B,MATCH($B150,'BANCO DE PERGUNTAS'!$A:$A,0)),"")</f>
        <v>Interpretação</v>
      </c>
      <c r="F150" s="17">
        <f t="array" ref="F150">IFERROR(INDEX('BANCO DE PERGUNTAS'!$H:$H,MATCH($B150,'BANCO DE PERGUNTAS'!$A:$A,0)),"")</f>
        <v>3</v>
      </c>
      <c r="I150" s="50"/>
      <c r="J150" s="50"/>
      <c r="K150" s="50"/>
      <c r="L150" s="50"/>
      <c r="M150" s="50"/>
      <c r="N150" s="50"/>
      <c r="O150" s="50"/>
      <c r="P150" s="50"/>
      <c r="Q150" s="50"/>
      <c r="R150" s="50"/>
      <c r="S150" s="50"/>
      <c r="U150" s="97" t="s">
        <v>2833</v>
      </c>
      <c r="W150" s="86">
        <v>2.0</v>
      </c>
      <c r="X150" s="86">
        <v>2.0</v>
      </c>
      <c r="Y150" s="86">
        <v>2.0</v>
      </c>
      <c r="Z150" s="86">
        <v>2.0</v>
      </c>
      <c r="AA150" s="86">
        <v>2.0</v>
      </c>
      <c r="AB150" s="86">
        <v>2.0</v>
      </c>
      <c r="AC150" s="86">
        <v>2.0</v>
      </c>
      <c r="AD150" s="87" t="s">
        <v>64</v>
      </c>
      <c r="AE150" s="87" t="s">
        <v>64</v>
      </c>
      <c r="AF150" s="87" t="s">
        <v>64</v>
      </c>
      <c r="AG150" s="50"/>
      <c r="AI150" s="103" t="s">
        <v>2834</v>
      </c>
      <c r="AK150" s="86">
        <v>2.0</v>
      </c>
      <c r="AL150" s="86">
        <v>2.0</v>
      </c>
      <c r="AM150" s="86">
        <v>2.0</v>
      </c>
      <c r="AN150" s="86">
        <v>2.0</v>
      </c>
      <c r="AO150" s="86">
        <v>2.0</v>
      </c>
      <c r="AP150" s="86">
        <v>2.0</v>
      </c>
      <c r="AQ150" s="86">
        <v>2.0</v>
      </c>
      <c r="AR150" s="87" t="s">
        <v>64</v>
      </c>
      <c r="AS150" s="87" t="s">
        <v>64</v>
      </c>
      <c r="AT150" s="87" t="s">
        <v>64</v>
      </c>
      <c r="AU150" s="50"/>
      <c r="AY150" s="50"/>
      <c r="AZ150" s="50"/>
      <c r="BA150" s="50"/>
      <c r="BB150" s="50"/>
      <c r="BC150" s="50"/>
      <c r="BD150" s="50"/>
      <c r="BE150" s="50"/>
      <c r="BF150" s="50"/>
      <c r="BG150" s="50"/>
      <c r="BH150" s="50"/>
      <c r="BI150" s="50"/>
      <c r="BK150" s="104" t="s">
        <v>2835</v>
      </c>
      <c r="BM150" s="86">
        <v>2.0</v>
      </c>
      <c r="BN150" s="86">
        <v>2.0</v>
      </c>
      <c r="BO150" s="86">
        <v>2.0</v>
      </c>
      <c r="BP150" s="86">
        <v>2.0</v>
      </c>
      <c r="BQ150" s="86">
        <v>2.0</v>
      </c>
      <c r="BR150" s="86">
        <v>2.0</v>
      </c>
      <c r="BS150" s="86">
        <v>2.0</v>
      </c>
      <c r="BT150" s="87" t="s">
        <v>64</v>
      </c>
      <c r="BU150" s="87" t="s">
        <v>64</v>
      </c>
      <c r="BV150" s="87" t="s">
        <v>64</v>
      </c>
      <c r="BW150" s="50"/>
      <c r="BY150" s="53" t="s">
        <v>2836</v>
      </c>
      <c r="CA150" s="86">
        <v>2.0</v>
      </c>
      <c r="CB150" s="86">
        <v>2.0</v>
      </c>
      <c r="CC150" s="86">
        <v>2.0</v>
      </c>
      <c r="CD150" s="86">
        <v>2.0</v>
      </c>
      <c r="CE150" s="86">
        <v>2.0</v>
      </c>
      <c r="CF150" s="86">
        <v>2.0</v>
      </c>
      <c r="CG150" s="86">
        <v>2.0</v>
      </c>
      <c r="CH150" s="87" t="s">
        <v>64</v>
      </c>
      <c r="CI150" s="87" t="s">
        <v>64</v>
      </c>
      <c r="CJ150" s="87" t="s">
        <v>64</v>
      </c>
      <c r="CK150" s="50"/>
      <c r="CO150" s="50"/>
      <c r="CP150" s="50"/>
      <c r="CQ150" s="50"/>
      <c r="CR150" s="50"/>
      <c r="CS150" s="50"/>
      <c r="CT150" s="50"/>
      <c r="CU150" s="50"/>
      <c r="CV150" s="50"/>
      <c r="CW150" s="50"/>
      <c r="CX150" s="50"/>
      <c r="CY150" s="50"/>
      <c r="DA150" s="53" t="s">
        <v>2837</v>
      </c>
      <c r="DC150" s="86">
        <v>2.0</v>
      </c>
      <c r="DD150" s="86">
        <v>2.0</v>
      </c>
      <c r="DE150" s="86">
        <v>2.0</v>
      </c>
      <c r="DF150" s="86">
        <v>2.0</v>
      </c>
      <c r="DG150" s="86">
        <v>2.0</v>
      </c>
      <c r="DH150" s="86">
        <v>2.0</v>
      </c>
      <c r="DI150" s="86">
        <v>2.0</v>
      </c>
      <c r="DJ150" s="87" t="s">
        <v>64</v>
      </c>
      <c r="DK150" s="87" t="s">
        <v>64</v>
      </c>
      <c r="DL150" s="87" t="s">
        <v>64</v>
      </c>
      <c r="DM150" s="50"/>
      <c r="DO150" s="59" t="s">
        <v>2838</v>
      </c>
      <c r="DQ150" s="86">
        <v>2.0</v>
      </c>
      <c r="DR150" s="86">
        <v>2.0</v>
      </c>
      <c r="DS150" s="86">
        <v>2.0</v>
      </c>
      <c r="DT150" s="86">
        <v>2.0</v>
      </c>
      <c r="DU150" s="86">
        <v>2.0</v>
      </c>
      <c r="DV150" s="86">
        <v>2.0</v>
      </c>
      <c r="DW150" s="86">
        <v>2.0</v>
      </c>
      <c r="DX150" s="87" t="s">
        <v>64</v>
      </c>
      <c r="DY150" s="87" t="s">
        <v>64</v>
      </c>
      <c r="DZ150" s="87" t="s">
        <v>64</v>
      </c>
      <c r="EA150" s="50"/>
    </row>
    <row r="151" ht="15.75" customHeight="1">
      <c r="A151" s="11">
        <v>15.0</v>
      </c>
      <c r="B151" s="11" t="s">
        <v>203</v>
      </c>
      <c r="C151" s="11" t="str">
        <f t="array" ref="C151">IFERROR(INDEX(DOCUMENTOS!$E:$E,MATCH($A151,DOCUMENTOS!$A:$A,0)),"")</f>
        <v/>
      </c>
      <c r="D151" s="11" t="str">
        <f t="array" ref="D151">IFERROR(INDEX('BANCO DE PERGUNTAS'!$D:$D,MATCH($B151,'BANCO DE PERGUNTAS'!$A:$A,0)),"")</f>
        <v>Qual consequência decorre da informação estabelecida em 4.11?</v>
      </c>
      <c r="E151" s="11" t="str">
        <f t="array" ref="E151">IFERROR(INDEX('BANCO DE PERGUNTAS'!$B:$B,MATCH($B151,'BANCO DE PERGUNTAS'!$A:$A,0)),"")</f>
        <v>Interpretação</v>
      </c>
      <c r="F151" s="12">
        <f t="array" ref="F151">IFERROR(INDEX('BANCO DE PERGUNTAS'!$H:$H,MATCH($B151,'BANCO DE PERGUNTAS'!$A:$A,0)),"")</f>
        <v>3</v>
      </c>
      <c r="I151" s="50"/>
      <c r="J151" s="50"/>
      <c r="K151" s="50"/>
      <c r="L151" s="50"/>
      <c r="M151" s="50"/>
      <c r="N151" s="50"/>
      <c r="O151" s="50"/>
      <c r="P151" s="50"/>
      <c r="Q151" s="50"/>
      <c r="R151" s="50"/>
      <c r="S151" s="50"/>
      <c r="U151" s="101" t="s">
        <v>2839</v>
      </c>
      <c r="W151" s="86">
        <v>2.0</v>
      </c>
      <c r="X151" s="86">
        <v>2.0</v>
      </c>
      <c r="Y151" s="86">
        <v>2.0</v>
      </c>
      <c r="Z151" s="86">
        <v>2.0</v>
      </c>
      <c r="AA151" s="86">
        <v>2.0</v>
      </c>
      <c r="AB151" s="86">
        <v>2.0</v>
      </c>
      <c r="AC151" s="86">
        <v>2.0</v>
      </c>
      <c r="AD151" s="87" t="s">
        <v>64</v>
      </c>
      <c r="AE151" s="87" t="s">
        <v>64</v>
      </c>
      <c r="AF151" s="87" t="s">
        <v>64</v>
      </c>
      <c r="AG151" s="50"/>
      <c r="AI151" s="103" t="s">
        <v>2840</v>
      </c>
      <c r="AK151" s="86">
        <v>2.0</v>
      </c>
      <c r="AL151" s="86">
        <v>2.0</v>
      </c>
      <c r="AM151" s="86">
        <v>2.0</v>
      </c>
      <c r="AN151" s="86">
        <v>2.0</v>
      </c>
      <c r="AO151" s="86">
        <v>2.0</v>
      </c>
      <c r="AP151" s="86">
        <v>2.0</v>
      </c>
      <c r="AQ151" s="86">
        <v>2.0</v>
      </c>
      <c r="AR151" s="87" t="s">
        <v>64</v>
      </c>
      <c r="AS151" s="87" t="s">
        <v>64</v>
      </c>
      <c r="AT151" s="87" t="s">
        <v>64</v>
      </c>
      <c r="AU151" s="50"/>
      <c r="AY151" s="50"/>
      <c r="AZ151" s="50"/>
      <c r="BA151" s="50"/>
      <c r="BB151" s="50"/>
      <c r="BC151" s="50"/>
      <c r="BD151" s="50"/>
      <c r="BE151" s="50"/>
      <c r="BF151" s="50"/>
      <c r="BG151" s="50"/>
      <c r="BH151" s="50"/>
      <c r="BI151" s="50"/>
      <c r="BK151" s="104" t="s">
        <v>2841</v>
      </c>
      <c r="BM151" s="86">
        <v>2.0</v>
      </c>
      <c r="BN151" s="86">
        <v>2.0</v>
      </c>
      <c r="BO151" s="86">
        <v>2.0</v>
      </c>
      <c r="BP151" s="86">
        <v>2.0</v>
      </c>
      <c r="BQ151" s="86">
        <v>2.0</v>
      </c>
      <c r="BR151" s="86">
        <v>2.0</v>
      </c>
      <c r="BS151" s="86">
        <v>2.0</v>
      </c>
      <c r="BT151" s="87" t="s">
        <v>64</v>
      </c>
      <c r="BU151" s="87" t="s">
        <v>64</v>
      </c>
      <c r="BV151" s="87" t="s">
        <v>64</v>
      </c>
      <c r="BW151" s="50"/>
      <c r="BY151" s="53" t="s">
        <v>2842</v>
      </c>
      <c r="CA151" s="86">
        <v>2.0</v>
      </c>
      <c r="CB151" s="86">
        <v>2.0</v>
      </c>
      <c r="CC151" s="86">
        <v>2.0</v>
      </c>
      <c r="CD151" s="86">
        <v>2.0</v>
      </c>
      <c r="CE151" s="86">
        <v>2.0</v>
      </c>
      <c r="CF151" s="86">
        <v>2.0</v>
      </c>
      <c r="CG151" s="86">
        <v>2.0</v>
      </c>
      <c r="CH151" s="87" t="s">
        <v>64</v>
      </c>
      <c r="CI151" s="87" t="s">
        <v>64</v>
      </c>
      <c r="CJ151" s="87" t="s">
        <v>64</v>
      </c>
      <c r="CK151" s="50"/>
      <c r="CO151" s="50"/>
      <c r="CP151" s="50"/>
      <c r="CQ151" s="50"/>
      <c r="CR151" s="50"/>
      <c r="CS151" s="50"/>
      <c r="CT151" s="50"/>
      <c r="CU151" s="50"/>
      <c r="CV151" s="50"/>
      <c r="CW151" s="50"/>
      <c r="CX151" s="50"/>
      <c r="CY151" s="50"/>
      <c r="DA151" s="53" t="s">
        <v>2843</v>
      </c>
      <c r="DC151" s="86">
        <v>2.0</v>
      </c>
      <c r="DD151" s="86">
        <v>2.0</v>
      </c>
      <c r="DE151" s="86">
        <v>2.0</v>
      </c>
      <c r="DF151" s="86">
        <v>2.0</v>
      </c>
      <c r="DG151" s="86">
        <v>2.0</v>
      </c>
      <c r="DH151" s="86">
        <v>2.0</v>
      </c>
      <c r="DI151" s="86">
        <v>2.0</v>
      </c>
      <c r="DJ151" s="87" t="s">
        <v>64</v>
      </c>
      <c r="DK151" s="87" t="s">
        <v>64</v>
      </c>
      <c r="DL151" s="87" t="s">
        <v>64</v>
      </c>
      <c r="DM151" s="50"/>
      <c r="DO151" s="59" t="s">
        <v>2844</v>
      </c>
      <c r="DQ151" s="86">
        <v>2.0</v>
      </c>
      <c r="DR151" s="86">
        <v>2.0</v>
      </c>
      <c r="DS151" s="86">
        <v>2.0</v>
      </c>
      <c r="DT151" s="86">
        <v>2.0</v>
      </c>
      <c r="DU151" s="86">
        <v>2.0</v>
      </c>
      <c r="DV151" s="86">
        <v>2.0</v>
      </c>
      <c r="DW151" s="86">
        <v>2.0</v>
      </c>
      <c r="DX151" s="87" t="s">
        <v>64</v>
      </c>
      <c r="DY151" s="87" t="s">
        <v>64</v>
      </c>
      <c r="DZ151" s="87" t="s">
        <v>64</v>
      </c>
      <c r="EA151" s="50"/>
    </row>
    <row r="152" ht="15.75" customHeight="1">
      <c r="A152" s="14">
        <v>15.0</v>
      </c>
      <c r="B152" s="14" t="s">
        <v>208</v>
      </c>
      <c r="C152" s="14" t="str">
        <f t="array" ref="C152">IFERROR(INDEX(DOCUMENTOS!$E:$E,MATCH($A152,DOCUMENTOS!$A:$A,0)),"")</f>
        <v/>
      </c>
      <c r="D152" s="14" t="str">
        <f t="array" ref="D152">IFERROR(INDEX('BANCO DE PERGUNTAS'!$D:$D,MATCH($B152,'BANCO DE PERGUNTAS'!$A:$A,0)),"")</f>
        <v>Existem informações aparentemente inconsistentes dentro do documento?</v>
      </c>
      <c r="E152" s="14" t="str">
        <f t="array" ref="E152">IFERROR(INDEX('BANCO DE PERGUNTAS'!$B:$B,MATCH($B152,'BANCO DE PERGUNTAS'!$A:$A,0)),"")</f>
        <v>Identificação de Inconsistências</v>
      </c>
      <c r="F152" s="17">
        <f t="array" ref="F152">IFERROR(INDEX('BANCO DE PERGUNTAS'!$H:$H,MATCH($B152,'BANCO DE PERGUNTAS'!$A:$A,0)),"")</f>
        <v>4</v>
      </c>
      <c r="I152" s="50"/>
      <c r="J152" s="50"/>
      <c r="K152" s="50"/>
      <c r="L152" s="50"/>
      <c r="M152" s="50"/>
      <c r="N152" s="50"/>
      <c r="O152" s="50"/>
      <c r="P152" s="50"/>
      <c r="Q152" s="50"/>
      <c r="R152" s="50"/>
      <c r="S152" s="50"/>
      <c r="U152" s="97" t="s">
        <v>2845</v>
      </c>
      <c r="W152" s="86">
        <v>2.0</v>
      </c>
      <c r="X152" s="86">
        <v>2.0</v>
      </c>
      <c r="Y152" s="86">
        <v>2.0</v>
      </c>
      <c r="Z152" s="86">
        <v>2.0</v>
      </c>
      <c r="AA152" s="86">
        <v>2.0</v>
      </c>
      <c r="AB152" s="86">
        <v>2.0</v>
      </c>
      <c r="AC152" s="86">
        <v>2.0</v>
      </c>
      <c r="AD152" s="87" t="s">
        <v>64</v>
      </c>
      <c r="AE152" s="87" t="s">
        <v>64</v>
      </c>
      <c r="AF152" s="87" t="s">
        <v>64</v>
      </c>
      <c r="AG152" s="50"/>
      <c r="AI152" s="103" t="s">
        <v>2846</v>
      </c>
      <c r="AK152" s="86">
        <v>2.0</v>
      </c>
      <c r="AL152" s="86">
        <v>2.0</v>
      </c>
      <c r="AM152" s="86">
        <v>2.0</v>
      </c>
      <c r="AN152" s="86">
        <v>2.0</v>
      </c>
      <c r="AO152" s="86">
        <v>2.0</v>
      </c>
      <c r="AP152" s="86">
        <v>2.0</v>
      </c>
      <c r="AQ152" s="86">
        <v>2.0</v>
      </c>
      <c r="AR152" s="87" t="s">
        <v>64</v>
      </c>
      <c r="AS152" s="87" t="s">
        <v>64</v>
      </c>
      <c r="AT152" s="87" t="s">
        <v>64</v>
      </c>
      <c r="AU152" s="50"/>
      <c r="AY152" s="50"/>
      <c r="AZ152" s="50"/>
      <c r="BA152" s="50"/>
      <c r="BB152" s="50"/>
      <c r="BC152" s="50"/>
      <c r="BD152" s="50"/>
      <c r="BE152" s="50"/>
      <c r="BF152" s="50"/>
      <c r="BG152" s="50"/>
      <c r="BH152" s="50"/>
      <c r="BI152" s="50"/>
      <c r="BK152" s="104" t="s">
        <v>2847</v>
      </c>
      <c r="BM152" s="86">
        <v>2.0</v>
      </c>
      <c r="BN152" s="86">
        <v>2.0</v>
      </c>
      <c r="BO152" s="86">
        <v>2.0</v>
      </c>
      <c r="BP152" s="86">
        <v>2.0</v>
      </c>
      <c r="BQ152" s="86">
        <v>2.0</v>
      </c>
      <c r="BR152" s="86">
        <v>2.0</v>
      </c>
      <c r="BS152" s="86">
        <v>2.0</v>
      </c>
      <c r="BT152" s="87" t="s">
        <v>64</v>
      </c>
      <c r="BU152" s="87" t="s">
        <v>64</v>
      </c>
      <c r="BV152" s="87" t="s">
        <v>64</v>
      </c>
      <c r="BW152" s="50"/>
      <c r="BY152" s="53" t="s">
        <v>2848</v>
      </c>
      <c r="CA152" s="86">
        <v>1.0</v>
      </c>
      <c r="CB152" s="86">
        <v>2.0</v>
      </c>
      <c r="CC152" s="86">
        <v>1.0</v>
      </c>
      <c r="CD152" s="86">
        <v>1.0</v>
      </c>
      <c r="CE152" s="86">
        <v>2.0</v>
      </c>
      <c r="CF152" s="86">
        <v>1.0</v>
      </c>
      <c r="CG152" s="86">
        <v>2.0</v>
      </c>
      <c r="CH152" s="87" t="s">
        <v>64</v>
      </c>
      <c r="CI152" s="87" t="s">
        <v>64</v>
      </c>
      <c r="CJ152" s="87" t="s">
        <v>64</v>
      </c>
      <c r="CK152" s="50"/>
      <c r="CO152" s="50"/>
      <c r="CP152" s="50"/>
      <c r="CQ152" s="50"/>
      <c r="CR152" s="50"/>
      <c r="CS152" s="50"/>
      <c r="CT152" s="50"/>
      <c r="CU152" s="50"/>
      <c r="CV152" s="50"/>
      <c r="CW152" s="50"/>
      <c r="CX152" s="50"/>
      <c r="CY152" s="50"/>
      <c r="DA152" s="53" t="s">
        <v>2849</v>
      </c>
      <c r="DC152" s="86">
        <v>2.0</v>
      </c>
      <c r="DD152" s="86">
        <v>2.0</v>
      </c>
      <c r="DE152" s="86">
        <v>2.0</v>
      </c>
      <c r="DF152" s="86">
        <v>2.0</v>
      </c>
      <c r="DG152" s="86">
        <v>2.0</v>
      </c>
      <c r="DH152" s="86">
        <v>2.0</v>
      </c>
      <c r="DI152" s="86">
        <v>2.0</v>
      </c>
      <c r="DJ152" s="87" t="s">
        <v>64</v>
      </c>
      <c r="DK152" s="87" t="s">
        <v>64</v>
      </c>
      <c r="DL152" s="87" t="s">
        <v>64</v>
      </c>
      <c r="DM152" s="50"/>
      <c r="DO152" s="59" t="s">
        <v>2850</v>
      </c>
      <c r="DQ152" s="86">
        <v>2.0</v>
      </c>
      <c r="DR152" s="86">
        <v>2.0</v>
      </c>
      <c r="DS152" s="86">
        <v>2.0</v>
      </c>
      <c r="DT152" s="86">
        <v>2.0</v>
      </c>
      <c r="DU152" s="86">
        <v>2.0</v>
      </c>
      <c r="DV152" s="86">
        <v>2.0</v>
      </c>
      <c r="DW152" s="86">
        <v>2.0</v>
      </c>
      <c r="DX152" s="87" t="s">
        <v>64</v>
      </c>
      <c r="DY152" s="87" t="s">
        <v>64</v>
      </c>
      <c r="DZ152" s="87" t="s">
        <v>64</v>
      </c>
      <c r="EA152" s="50"/>
    </row>
    <row r="153" ht="15.75" customHeight="1">
      <c r="A153" s="11">
        <v>15.0</v>
      </c>
      <c r="B153" s="11" t="s">
        <v>215</v>
      </c>
      <c r="C153" s="11" t="str">
        <f t="array" ref="C153">IFERROR(INDEX(DOCUMENTOS!$E:$E,MATCH($A153,DOCUMENTOS!$A:$A,0)),"")</f>
        <v/>
      </c>
      <c r="D153" s="11" t="str">
        <f t="array" ref="D153">IFERROR(INDEX('BANCO DE PERGUNTAS'!$D:$D,MATCH($B153,'BANCO DE PERGUNTAS'!$A:$A,0)),"")</f>
        <v>Existem valores, datas, números ou informações aparentemente incompatíveis?</v>
      </c>
      <c r="E153" s="11" t="str">
        <f t="array" ref="E153">IFERROR(INDEX('BANCO DE PERGUNTAS'!$B:$B,MATCH($B153,'BANCO DE PERGUNTAS'!$A:$A,0)),"")</f>
        <v>Identificação de Inconsistências</v>
      </c>
      <c r="F153" s="12">
        <f t="array" ref="F153">IFERROR(INDEX('BANCO DE PERGUNTAS'!$H:$H,MATCH($B153,'BANCO DE PERGUNTAS'!$A:$A,0)),"")</f>
        <v>4</v>
      </c>
      <c r="I153" s="50"/>
      <c r="J153" s="50"/>
      <c r="K153" s="50"/>
      <c r="L153" s="50"/>
      <c r="M153" s="50"/>
      <c r="N153" s="50"/>
      <c r="O153" s="50"/>
      <c r="P153" s="50"/>
      <c r="Q153" s="50"/>
      <c r="R153" s="50"/>
      <c r="S153" s="50"/>
      <c r="U153" s="101" t="s">
        <v>2851</v>
      </c>
      <c r="W153" s="86">
        <v>2.0</v>
      </c>
      <c r="X153" s="86">
        <v>2.0</v>
      </c>
      <c r="Y153" s="86">
        <v>2.0</v>
      </c>
      <c r="Z153" s="86">
        <v>2.0</v>
      </c>
      <c r="AA153" s="86">
        <v>2.0</v>
      </c>
      <c r="AB153" s="86">
        <v>2.0</v>
      </c>
      <c r="AC153" s="86">
        <v>2.0</v>
      </c>
      <c r="AD153" s="87" t="s">
        <v>64</v>
      </c>
      <c r="AE153" s="87" t="s">
        <v>64</v>
      </c>
      <c r="AF153" s="87" t="s">
        <v>64</v>
      </c>
      <c r="AG153" s="50"/>
      <c r="AI153" s="103" t="s">
        <v>2852</v>
      </c>
      <c r="AK153" s="86">
        <v>2.0</v>
      </c>
      <c r="AL153" s="86">
        <v>2.0</v>
      </c>
      <c r="AM153" s="86">
        <v>2.0</v>
      </c>
      <c r="AN153" s="86">
        <v>2.0</v>
      </c>
      <c r="AO153" s="86">
        <v>2.0</v>
      </c>
      <c r="AP153" s="86">
        <v>2.0</v>
      </c>
      <c r="AQ153" s="86">
        <v>2.0</v>
      </c>
      <c r="AR153" s="87" t="s">
        <v>64</v>
      </c>
      <c r="AS153" s="87" t="s">
        <v>64</v>
      </c>
      <c r="AT153" s="87" t="s">
        <v>64</v>
      </c>
      <c r="AU153" s="50"/>
      <c r="AY153" s="50"/>
      <c r="AZ153" s="50"/>
      <c r="BA153" s="50"/>
      <c r="BB153" s="50"/>
      <c r="BC153" s="50"/>
      <c r="BD153" s="50"/>
      <c r="BE153" s="50"/>
      <c r="BF153" s="50"/>
      <c r="BG153" s="50"/>
      <c r="BH153" s="50"/>
      <c r="BI153" s="50"/>
      <c r="BK153" s="104" t="s">
        <v>2853</v>
      </c>
      <c r="BM153" s="86">
        <v>2.0</v>
      </c>
      <c r="BN153" s="86">
        <v>2.0</v>
      </c>
      <c r="BO153" s="86">
        <v>2.0</v>
      </c>
      <c r="BP153" s="86">
        <v>2.0</v>
      </c>
      <c r="BQ153" s="86">
        <v>2.0</v>
      </c>
      <c r="BR153" s="86">
        <v>2.0</v>
      </c>
      <c r="BS153" s="86">
        <v>2.0</v>
      </c>
      <c r="BT153" s="87" t="s">
        <v>64</v>
      </c>
      <c r="BU153" s="87" t="s">
        <v>64</v>
      </c>
      <c r="BV153" s="87" t="s">
        <v>64</v>
      </c>
      <c r="BW153" s="50"/>
      <c r="BY153" s="53" t="s">
        <v>2854</v>
      </c>
      <c r="CA153" s="86">
        <v>1.0</v>
      </c>
      <c r="CB153" s="86">
        <v>2.0</v>
      </c>
      <c r="CC153" s="86">
        <v>1.0</v>
      </c>
      <c r="CD153" s="86">
        <v>2.0</v>
      </c>
      <c r="CE153" s="86">
        <v>2.0</v>
      </c>
      <c r="CF153" s="86">
        <v>1.0</v>
      </c>
      <c r="CG153" s="86">
        <v>2.0</v>
      </c>
      <c r="CH153" s="87" t="s">
        <v>64</v>
      </c>
      <c r="CI153" s="87" t="s">
        <v>64</v>
      </c>
      <c r="CJ153" s="87" t="s">
        <v>64</v>
      </c>
      <c r="CK153" s="50"/>
      <c r="CO153" s="50"/>
      <c r="CP153" s="50"/>
      <c r="CQ153" s="50"/>
      <c r="CR153" s="50"/>
      <c r="CS153" s="50"/>
      <c r="CT153" s="50"/>
      <c r="CU153" s="50"/>
      <c r="CV153" s="50"/>
      <c r="CW153" s="50"/>
      <c r="CX153" s="50"/>
      <c r="CY153" s="50"/>
      <c r="DA153" s="53" t="s">
        <v>2855</v>
      </c>
      <c r="DC153" s="86">
        <v>1.0</v>
      </c>
      <c r="DD153" s="86">
        <v>2.0</v>
      </c>
      <c r="DE153" s="86">
        <v>1.0</v>
      </c>
      <c r="DF153" s="86">
        <v>2.0</v>
      </c>
      <c r="DG153" s="86">
        <v>2.0</v>
      </c>
      <c r="DH153" s="86">
        <v>1.0</v>
      </c>
      <c r="DI153" s="86">
        <v>2.0</v>
      </c>
      <c r="DJ153" s="87" t="s">
        <v>64</v>
      </c>
      <c r="DK153" s="87" t="s">
        <v>64</v>
      </c>
      <c r="DL153" s="87" t="s">
        <v>64</v>
      </c>
      <c r="DM153" s="50"/>
      <c r="DO153" s="59" t="s">
        <v>2856</v>
      </c>
      <c r="DQ153" s="86">
        <v>2.0</v>
      </c>
      <c r="DR153" s="86">
        <v>2.0</v>
      </c>
      <c r="DS153" s="86">
        <v>2.0</v>
      </c>
      <c r="DT153" s="86">
        <v>2.0</v>
      </c>
      <c r="DU153" s="86">
        <v>2.0</v>
      </c>
      <c r="DV153" s="86">
        <v>2.0</v>
      </c>
      <c r="DW153" s="86">
        <v>2.0</v>
      </c>
      <c r="DX153" s="87" t="s">
        <v>64</v>
      </c>
      <c r="DY153" s="87" t="s">
        <v>64</v>
      </c>
      <c r="DZ153" s="87" t="s">
        <v>64</v>
      </c>
      <c r="EA153" s="50"/>
    </row>
    <row r="154" ht="15.75" customHeight="1">
      <c r="A154" s="14">
        <v>15.0</v>
      </c>
      <c r="B154" s="14" t="s">
        <v>219</v>
      </c>
      <c r="C154" s="14" t="str">
        <f t="array" ref="C154">IFERROR(INDEX(DOCUMENTOS!$E:$E,MATCH($A154,DOCUMENTOS!$A:$A,0)),"")</f>
        <v/>
      </c>
      <c r="D154" s="14" t="str">
        <f t="array" ref="D154">IFERROR(INDEX('BANCO DE PERGUNTAS'!$D:$D,MATCH($B154,'BANCO DE PERGUNTAS'!$A:$A,0)),"")</f>
        <v>Existem informações relevantes ausentes?</v>
      </c>
      <c r="E154" s="14" t="str">
        <f t="array" ref="E154">IFERROR(INDEX('BANCO DE PERGUNTAS'!$B:$B,MATCH($B154,'BANCO DE PERGUNTAS'!$A:$A,0)),"")</f>
        <v>Identificação de Omissões</v>
      </c>
      <c r="F154" s="17">
        <f t="array" ref="F154">IFERROR(INDEX('BANCO DE PERGUNTAS'!$H:$H,MATCH($B154,'BANCO DE PERGUNTAS'!$A:$A,0)),"")</f>
        <v>4</v>
      </c>
      <c r="I154" s="50"/>
      <c r="J154" s="50"/>
      <c r="K154" s="50"/>
      <c r="L154" s="50"/>
      <c r="M154" s="50"/>
      <c r="N154" s="50"/>
      <c r="O154" s="50"/>
      <c r="P154" s="50"/>
      <c r="Q154" s="50"/>
      <c r="R154" s="50"/>
      <c r="S154" s="50"/>
      <c r="U154" s="97" t="s">
        <v>2857</v>
      </c>
      <c r="W154" s="86">
        <v>2.0</v>
      </c>
      <c r="X154" s="86">
        <v>2.0</v>
      </c>
      <c r="Y154" s="86">
        <v>2.0</v>
      </c>
      <c r="Z154" s="86">
        <v>2.0</v>
      </c>
      <c r="AA154" s="86">
        <v>2.0</v>
      </c>
      <c r="AB154" s="86">
        <v>2.0</v>
      </c>
      <c r="AC154" s="86">
        <v>2.0</v>
      </c>
      <c r="AD154" s="87" t="s">
        <v>64</v>
      </c>
      <c r="AE154" s="87" t="s">
        <v>64</v>
      </c>
      <c r="AF154" s="87" t="s">
        <v>64</v>
      </c>
      <c r="AG154" s="50"/>
      <c r="AI154" s="103" t="s">
        <v>2858</v>
      </c>
      <c r="AK154" s="86">
        <v>2.0</v>
      </c>
      <c r="AL154" s="86">
        <v>2.0</v>
      </c>
      <c r="AM154" s="86">
        <v>2.0</v>
      </c>
      <c r="AN154" s="86">
        <v>2.0</v>
      </c>
      <c r="AO154" s="86">
        <v>2.0</v>
      </c>
      <c r="AP154" s="86">
        <v>2.0</v>
      </c>
      <c r="AQ154" s="86">
        <v>2.0</v>
      </c>
      <c r="AR154" s="87" t="s">
        <v>64</v>
      </c>
      <c r="AS154" s="87" t="s">
        <v>64</v>
      </c>
      <c r="AT154" s="87" t="s">
        <v>64</v>
      </c>
      <c r="AU154" s="50"/>
      <c r="AY154" s="50"/>
      <c r="AZ154" s="50"/>
      <c r="BA154" s="50"/>
      <c r="BB154" s="50"/>
      <c r="BC154" s="50"/>
      <c r="BD154" s="50"/>
      <c r="BE154" s="50"/>
      <c r="BF154" s="50"/>
      <c r="BG154" s="50"/>
      <c r="BH154" s="50"/>
      <c r="BI154" s="50"/>
      <c r="BK154" s="104" t="s">
        <v>2859</v>
      </c>
      <c r="BM154" s="86">
        <v>2.0</v>
      </c>
      <c r="BN154" s="86">
        <v>2.0</v>
      </c>
      <c r="BO154" s="86">
        <v>2.0</v>
      </c>
      <c r="BP154" s="86">
        <v>2.0</v>
      </c>
      <c r="BQ154" s="86">
        <v>2.0</v>
      </c>
      <c r="BR154" s="86">
        <v>2.0</v>
      </c>
      <c r="BS154" s="86">
        <v>2.0</v>
      </c>
      <c r="BT154" s="87" t="s">
        <v>64</v>
      </c>
      <c r="BU154" s="87" t="s">
        <v>64</v>
      </c>
      <c r="BV154" s="87" t="s">
        <v>64</v>
      </c>
      <c r="BW154" s="50"/>
      <c r="BY154" s="53" t="s">
        <v>2860</v>
      </c>
      <c r="CA154" s="86">
        <v>2.0</v>
      </c>
      <c r="CB154" s="86">
        <v>2.0</v>
      </c>
      <c r="CC154" s="86">
        <v>2.0</v>
      </c>
      <c r="CD154" s="86">
        <v>2.0</v>
      </c>
      <c r="CE154" s="86">
        <v>2.0</v>
      </c>
      <c r="CF154" s="86">
        <v>2.0</v>
      </c>
      <c r="CG154" s="86">
        <v>2.0</v>
      </c>
      <c r="CH154" s="87" t="s">
        <v>64</v>
      </c>
      <c r="CI154" s="87" t="s">
        <v>64</v>
      </c>
      <c r="CJ154" s="87" t="s">
        <v>64</v>
      </c>
      <c r="CK154" s="50"/>
      <c r="CO154" s="50"/>
      <c r="CP154" s="50"/>
      <c r="CQ154" s="50"/>
      <c r="CR154" s="50"/>
      <c r="CS154" s="50"/>
      <c r="CT154" s="50"/>
      <c r="CU154" s="50"/>
      <c r="CV154" s="50"/>
      <c r="CW154" s="50"/>
      <c r="CX154" s="50"/>
      <c r="CY154" s="50"/>
      <c r="DA154" s="53" t="s">
        <v>2861</v>
      </c>
      <c r="DC154" s="86">
        <v>2.0</v>
      </c>
      <c r="DD154" s="86">
        <v>2.0</v>
      </c>
      <c r="DE154" s="86">
        <v>2.0</v>
      </c>
      <c r="DF154" s="86">
        <v>2.0</v>
      </c>
      <c r="DG154" s="86">
        <v>2.0</v>
      </c>
      <c r="DH154" s="86">
        <v>2.0</v>
      </c>
      <c r="DI154" s="86">
        <v>2.0</v>
      </c>
      <c r="DJ154" s="87" t="s">
        <v>64</v>
      </c>
      <c r="DK154" s="87" t="s">
        <v>64</v>
      </c>
      <c r="DL154" s="87" t="s">
        <v>64</v>
      </c>
      <c r="DM154" s="50"/>
      <c r="DO154" s="59" t="s">
        <v>2862</v>
      </c>
      <c r="DQ154" s="86">
        <v>2.0</v>
      </c>
      <c r="DR154" s="86">
        <v>1.0</v>
      </c>
      <c r="DS154" s="86">
        <v>2.0</v>
      </c>
      <c r="DT154" s="86">
        <v>1.0</v>
      </c>
      <c r="DU154" s="86">
        <v>2.0</v>
      </c>
      <c r="DV154" s="86">
        <v>1.0</v>
      </c>
      <c r="DW154" s="86">
        <v>2.0</v>
      </c>
      <c r="DX154" s="87" t="s">
        <v>64</v>
      </c>
      <c r="DY154" s="87" t="s">
        <v>64</v>
      </c>
      <c r="DZ154" s="87" t="s">
        <v>64</v>
      </c>
      <c r="EA154" s="50"/>
    </row>
    <row r="155" ht="15.75" customHeight="1">
      <c r="A155" s="11">
        <v>15.0</v>
      </c>
      <c r="B155" s="11" t="s">
        <v>226</v>
      </c>
      <c r="C155" s="11" t="str">
        <f t="array" ref="C155">IFERROR(INDEX(DOCUMENTOS!$E:$E,MATCH($A155,DOCUMENTOS!$A:$A,0)),"")</f>
        <v/>
      </c>
      <c r="D155" s="11" t="str">
        <f t="array" ref="D155">IFERROR(INDEX('BANCO DE PERGUNTAS'!$D:$D,MATCH($B155,'BANCO DE PERGUNTAS'!$A:$A,0)),"")</f>
        <v>Identifique possíveis erros materiais no documento.</v>
      </c>
      <c r="E155" s="11" t="str">
        <f t="array" ref="E155">IFERROR(INDEX('BANCO DE PERGUNTAS'!$B:$B,MATCH($B155,'BANCO DE PERGUNTAS'!$A:$A,0)),"")</f>
        <v>Detecção de Erros</v>
      </c>
      <c r="F155" s="12">
        <f t="array" ref="F155">IFERROR(INDEX('BANCO DE PERGUNTAS'!$H:$H,MATCH($B155,'BANCO DE PERGUNTAS'!$A:$A,0)),"")</f>
        <v>4</v>
      </c>
      <c r="I155" s="50"/>
      <c r="J155" s="50"/>
      <c r="K155" s="50"/>
      <c r="L155" s="50"/>
      <c r="M155" s="50"/>
      <c r="N155" s="50"/>
      <c r="O155" s="50"/>
      <c r="P155" s="50"/>
      <c r="Q155" s="50"/>
      <c r="R155" s="50"/>
      <c r="S155" s="50"/>
      <c r="U155" s="101" t="s">
        <v>2863</v>
      </c>
      <c r="W155" s="86">
        <v>2.0</v>
      </c>
      <c r="X155" s="86">
        <v>2.0</v>
      </c>
      <c r="Y155" s="86">
        <v>2.0</v>
      </c>
      <c r="Z155" s="86">
        <v>2.0</v>
      </c>
      <c r="AA155" s="86">
        <v>2.0</v>
      </c>
      <c r="AB155" s="86">
        <v>2.0</v>
      </c>
      <c r="AC155" s="86">
        <v>2.0</v>
      </c>
      <c r="AD155" s="87" t="s">
        <v>64</v>
      </c>
      <c r="AE155" s="87" t="s">
        <v>64</v>
      </c>
      <c r="AF155" s="87" t="s">
        <v>64</v>
      </c>
      <c r="AG155" s="50"/>
      <c r="AI155" s="103" t="s">
        <v>2864</v>
      </c>
      <c r="AK155" s="86">
        <v>2.0</v>
      </c>
      <c r="AL155" s="86">
        <v>2.0</v>
      </c>
      <c r="AM155" s="86">
        <v>2.0</v>
      </c>
      <c r="AN155" s="86">
        <v>2.0</v>
      </c>
      <c r="AO155" s="86">
        <v>2.0</v>
      </c>
      <c r="AP155" s="86">
        <v>2.0</v>
      </c>
      <c r="AQ155" s="86">
        <v>2.0</v>
      </c>
      <c r="AR155" s="87" t="s">
        <v>64</v>
      </c>
      <c r="AS155" s="87" t="s">
        <v>64</v>
      </c>
      <c r="AT155" s="87" t="s">
        <v>64</v>
      </c>
      <c r="AU155" s="50"/>
      <c r="AY155" s="50"/>
      <c r="AZ155" s="50"/>
      <c r="BA155" s="50"/>
      <c r="BB155" s="50"/>
      <c r="BC155" s="50"/>
      <c r="BD155" s="50"/>
      <c r="BE155" s="50"/>
      <c r="BF155" s="50"/>
      <c r="BG155" s="50"/>
      <c r="BH155" s="50"/>
      <c r="BI155" s="50"/>
      <c r="BK155" s="104" t="s">
        <v>2865</v>
      </c>
      <c r="BM155" s="86">
        <v>2.0</v>
      </c>
      <c r="BN155" s="86">
        <v>2.0</v>
      </c>
      <c r="BO155" s="86">
        <v>2.0</v>
      </c>
      <c r="BP155" s="86">
        <v>2.0</v>
      </c>
      <c r="BQ155" s="86">
        <v>2.0</v>
      </c>
      <c r="BR155" s="86">
        <v>2.0</v>
      </c>
      <c r="BS155" s="86">
        <v>2.0</v>
      </c>
      <c r="BT155" s="87" t="s">
        <v>64</v>
      </c>
      <c r="BU155" s="87" t="s">
        <v>64</v>
      </c>
      <c r="BV155" s="87" t="s">
        <v>64</v>
      </c>
      <c r="BW155" s="50"/>
      <c r="BY155" s="53" t="s">
        <v>2866</v>
      </c>
      <c r="CA155" s="86">
        <v>2.0</v>
      </c>
      <c r="CB155" s="86">
        <v>2.0</v>
      </c>
      <c r="CC155" s="86">
        <v>2.0</v>
      </c>
      <c r="CD155" s="86">
        <v>2.0</v>
      </c>
      <c r="CE155" s="86">
        <v>2.0</v>
      </c>
      <c r="CF155" s="86">
        <v>2.0</v>
      </c>
      <c r="CG155" s="86">
        <v>2.0</v>
      </c>
      <c r="CH155" s="87" t="s">
        <v>64</v>
      </c>
      <c r="CI155" s="87" t="s">
        <v>64</v>
      </c>
      <c r="CJ155" s="87" t="s">
        <v>64</v>
      </c>
      <c r="CK155" s="50"/>
      <c r="CO155" s="50"/>
      <c r="CP155" s="50"/>
      <c r="CQ155" s="50"/>
      <c r="CR155" s="50"/>
      <c r="CS155" s="50"/>
      <c r="CT155" s="50"/>
      <c r="CU155" s="50"/>
      <c r="CV155" s="50"/>
      <c r="CW155" s="50"/>
      <c r="CX155" s="50"/>
      <c r="CY155" s="50"/>
      <c r="DA155" s="53" t="s">
        <v>2867</v>
      </c>
      <c r="DC155" s="86">
        <v>2.0</v>
      </c>
      <c r="DD155" s="86">
        <v>2.0</v>
      </c>
      <c r="DE155" s="86">
        <v>2.0</v>
      </c>
      <c r="DF155" s="86">
        <v>2.0</v>
      </c>
      <c r="DG155" s="86">
        <v>2.0</v>
      </c>
      <c r="DH155" s="86">
        <v>2.0</v>
      </c>
      <c r="DI155" s="86">
        <v>2.0</v>
      </c>
      <c r="DJ155" s="87" t="s">
        <v>64</v>
      </c>
      <c r="DK155" s="87" t="s">
        <v>64</v>
      </c>
      <c r="DL155" s="87" t="s">
        <v>64</v>
      </c>
      <c r="DM155" s="50"/>
      <c r="DO155" s="59" t="s">
        <v>2868</v>
      </c>
      <c r="DQ155" s="86">
        <v>2.0</v>
      </c>
      <c r="DR155" s="86">
        <v>2.0</v>
      </c>
      <c r="DS155" s="86">
        <v>2.0</v>
      </c>
      <c r="DT155" s="86">
        <v>2.0</v>
      </c>
      <c r="DU155" s="86">
        <v>2.0</v>
      </c>
      <c r="DV155" s="86">
        <v>1.0</v>
      </c>
      <c r="DW155" s="86">
        <v>2.0</v>
      </c>
      <c r="DX155" s="87" t="s">
        <v>64</v>
      </c>
      <c r="DY155" s="87" t="s">
        <v>64</v>
      </c>
      <c r="DZ155" s="87" t="s">
        <v>64</v>
      </c>
      <c r="EA155" s="50"/>
    </row>
    <row r="156" ht="15.75" customHeight="1">
      <c r="A156" s="14">
        <v>15.0</v>
      </c>
      <c r="B156" s="14" t="s">
        <v>232</v>
      </c>
      <c r="C156" s="14" t="str">
        <f t="array" ref="C156">IFERROR(INDEX(DOCUMENTOS!$E:$E,MATCH($A156,DOCUMENTOS!$A:$A,0)),"")</f>
        <v/>
      </c>
      <c r="D156" s="14" t="str">
        <f t="array" ref="D156">IFERROR(INDEX('BANCO DE PERGUNTAS'!$D:$D,MATCH($B156,'BANCO DE PERGUNTAS'!$A:$A,0)),"")</f>
        <v>Existem informações que deveriam ser verificadas por um servidor antes da utilização do documento?</v>
      </c>
      <c r="E156" s="14" t="str">
        <f t="array" ref="E156">IFERROR(INDEX('BANCO DE PERGUNTAS'!$B:$B,MATCH($B156,'BANCO DE PERGUNTAS'!$A:$A,0)),"")</f>
        <v>Análise de Risco</v>
      </c>
      <c r="F156" s="17">
        <f t="array" ref="F156">IFERROR(INDEX('BANCO DE PERGUNTAS'!$H:$H,MATCH($B156,'BANCO DE PERGUNTAS'!$A:$A,0)),"")</f>
        <v>4</v>
      </c>
      <c r="I156" s="50"/>
      <c r="J156" s="50"/>
      <c r="K156" s="50"/>
      <c r="L156" s="50"/>
      <c r="M156" s="50"/>
      <c r="N156" s="50"/>
      <c r="O156" s="50"/>
      <c r="P156" s="50"/>
      <c r="Q156" s="50"/>
      <c r="R156" s="50"/>
      <c r="S156" s="50"/>
      <c r="U156" s="97" t="s">
        <v>2869</v>
      </c>
      <c r="W156" s="86">
        <v>2.0</v>
      </c>
      <c r="X156" s="86">
        <v>2.0</v>
      </c>
      <c r="Y156" s="86">
        <v>2.0</v>
      </c>
      <c r="Z156" s="86">
        <v>2.0</v>
      </c>
      <c r="AA156" s="86">
        <v>2.0</v>
      </c>
      <c r="AB156" s="86">
        <v>2.0</v>
      </c>
      <c r="AC156" s="86">
        <v>2.0</v>
      </c>
      <c r="AD156" s="87" t="s">
        <v>64</v>
      </c>
      <c r="AE156" s="87" t="s">
        <v>64</v>
      </c>
      <c r="AF156" s="87" t="s">
        <v>64</v>
      </c>
      <c r="AG156" s="50"/>
      <c r="AI156" s="103" t="s">
        <v>2870</v>
      </c>
      <c r="AK156" s="86">
        <v>2.0</v>
      </c>
      <c r="AL156" s="86">
        <v>2.0</v>
      </c>
      <c r="AM156" s="86">
        <v>2.0</v>
      </c>
      <c r="AN156" s="86">
        <v>2.0</v>
      </c>
      <c r="AO156" s="86">
        <v>2.0</v>
      </c>
      <c r="AP156" s="86">
        <v>2.0</v>
      </c>
      <c r="AQ156" s="86">
        <v>2.0</v>
      </c>
      <c r="AR156" s="87" t="s">
        <v>64</v>
      </c>
      <c r="AS156" s="87" t="s">
        <v>64</v>
      </c>
      <c r="AT156" s="87" t="s">
        <v>64</v>
      </c>
      <c r="AU156" s="50"/>
      <c r="AY156" s="50"/>
      <c r="AZ156" s="50"/>
      <c r="BA156" s="50"/>
      <c r="BB156" s="50"/>
      <c r="BC156" s="50"/>
      <c r="BD156" s="50"/>
      <c r="BE156" s="50"/>
      <c r="BF156" s="50"/>
      <c r="BG156" s="50"/>
      <c r="BH156" s="50"/>
      <c r="BI156" s="50"/>
      <c r="BK156" s="104" t="s">
        <v>2871</v>
      </c>
      <c r="BM156" s="86">
        <v>2.0</v>
      </c>
      <c r="BN156" s="86">
        <v>2.0</v>
      </c>
      <c r="BO156" s="86">
        <v>2.0</v>
      </c>
      <c r="BP156" s="86">
        <v>2.0</v>
      </c>
      <c r="BQ156" s="86">
        <v>2.0</v>
      </c>
      <c r="BR156" s="86">
        <v>2.0</v>
      </c>
      <c r="BS156" s="86">
        <v>2.0</v>
      </c>
      <c r="BT156" s="87" t="s">
        <v>64</v>
      </c>
      <c r="BU156" s="87" t="s">
        <v>64</v>
      </c>
      <c r="BV156" s="87" t="s">
        <v>64</v>
      </c>
      <c r="BW156" s="50"/>
      <c r="BY156" s="53" t="s">
        <v>2872</v>
      </c>
      <c r="CA156" s="86">
        <v>2.0</v>
      </c>
      <c r="CB156" s="86">
        <v>2.0</v>
      </c>
      <c r="CC156" s="86">
        <v>2.0</v>
      </c>
      <c r="CD156" s="86">
        <v>2.0</v>
      </c>
      <c r="CE156" s="86">
        <v>2.0</v>
      </c>
      <c r="CF156" s="86">
        <v>2.0</v>
      </c>
      <c r="CG156" s="86">
        <v>2.0</v>
      </c>
      <c r="CH156" s="87" t="s">
        <v>64</v>
      </c>
      <c r="CI156" s="87" t="s">
        <v>64</v>
      </c>
      <c r="CJ156" s="87" t="s">
        <v>64</v>
      </c>
      <c r="CK156" s="50"/>
      <c r="CO156" s="50"/>
      <c r="CP156" s="50"/>
      <c r="CQ156" s="50"/>
      <c r="CR156" s="50"/>
      <c r="CS156" s="50"/>
      <c r="CT156" s="50"/>
      <c r="CU156" s="50"/>
      <c r="CV156" s="50"/>
      <c r="CW156" s="50"/>
      <c r="CX156" s="50"/>
      <c r="CY156" s="50"/>
      <c r="DA156" s="53" t="s">
        <v>2873</v>
      </c>
      <c r="DC156" s="86">
        <v>2.0</v>
      </c>
      <c r="DD156" s="86">
        <v>2.0</v>
      </c>
      <c r="DE156" s="86">
        <v>2.0</v>
      </c>
      <c r="DF156" s="86">
        <v>2.0</v>
      </c>
      <c r="DG156" s="86">
        <v>2.0</v>
      </c>
      <c r="DH156" s="86">
        <v>2.0</v>
      </c>
      <c r="DI156" s="86">
        <v>2.0</v>
      </c>
      <c r="DJ156" s="87" t="s">
        <v>64</v>
      </c>
      <c r="DK156" s="87" t="s">
        <v>64</v>
      </c>
      <c r="DL156" s="87" t="s">
        <v>64</v>
      </c>
      <c r="DM156" s="50"/>
      <c r="DO156" s="59" t="s">
        <v>2874</v>
      </c>
      <c r="DQ156" s="86">
        <v>2.0</v>
      </c>
      <c r="DR156" s="86">
        <v>2.0</v>
      </c>
      <c r="DS156" s="86">
        <v>2.0</v>
      </c>
      <c r="DT156" s="86">
        <v>2.0</v>
      </c>
      <c r="DU156" s="86">
        <v>2.0</v>
      </c>
      <c r="DV156" s="86">
        <v>1.0</v>
      </c>
      <c r="DW156" s="86">
        <v>2.0</v>
      </c>
      <c r="DX156" s="87" t="s">
        <v>64</v>
      </c>
      <c r="DY156" s="87" t="s">
        <v>64</v>
      </c>
      <c r="DZ156" s="87" t="s">
        <v>64</v>
      </c>
      <c r="EA156" s="50"/>
    </row>
    <row r="157" ht="15.75" customHeight="1">
      <c r="A157" s="11">
        <v>15.0</v>
      </c>
      <c r="B157" s="11" t="s">
        <v>240</v>
      </c>
      <c r="C157" s="11" t="str">
        <f t="array" ref="C157">IFERROR(INDEX(DOCUMENTOS!$E:$E,MATCH($A157,DOCUMENTOS!$A:$A,0)),"")</f>
        <v/>
      </c>
      <c r="D157" s="11" t="str">
        <f t="array" ref="D157">IFERROR(INDEX('BANCO DE PERGUNTAS'!$D:$D,MATCH($B157,'BANCO DE PERGUNTAS'!$A:$A,0)),"")</f>
        <v>Existem elementos que indiquem possível desconformidade com os próprios requisitos apresentados no documento?</v>
      </c>
      <c r="E157" s="11" t="str">
        <f t="array" ref="E157">IFERROR(INDEX('BANCO DE PERGUNTAS'!$B:$B,MATCH($B157,'BANCO DE PERGUNTAS'!$A:$A,0)),"")</f>
        <v>Conformidade Documental</v>
      </c>
      <c r="F157" s="12">
        <f t="array" ref="F157">IFERROR(INDEX('BANCO DE PERGUNTAS'!$H:$H,MATCH($B157,'BANCO DE PERGUNTAS'!$A:$A,0)),"")</f>
        <v>4</v>
      </c>
      <c r="I157" s="50"/>
      <c r="J157" s="50"/>
      <c r="K157" s="50"/>
      <c r="L157" s="50"/>
      <c r="M157" s="50"/>
      <c r="N157" s="50"/>
      <c r="O157" s="50"/>
      <c r="P157" s="50"/>
      <c r="Q157" s="50"/>
      <c r="R157" s="50"/>
      <c r="S157" s="50"/>
      <c r="U157" s="101" t="s">
        <v>2875</v>
      </c>
      <c r="W157" s="86">
        <v>2.0</v>
      </c>
      <c r="X157" s="86">
        <v>2.0</v>
      </c>
      <c r="Y157" s="86">
        <v>2.0</v>
      </c>
      <c r="Z157" s="86">
        <v>2.0</v>
      </c>
      <c r="AA157" s="86">
        <v>2.0</v>
      </c>
      <c r="AB157" s="86">
        <v>2.0</v>
      </c>
      <c r="AC157" s="86">
        <v>2.0</v>
      </c>
      <c r="AD157" s="87" t="s">
        <v>64</v>
      </c>
      <c r="AE157" s="87" t="s">
        <v>64</v>
      </c>
      <c r="AF157" s="87" t="s">
        <v>64</v>
      </c>
      <c r="AG157" s="50"/>
      <c r="AI157" s="103" t="s">
        <v>2876</v>
      </c>
      <c r="AK157" s="86">
        <v>2.0</v>
      </c>
      <c r="AL157" s="86">
        <v>2.0</v>
      </c>
      <c r="AM157" s="86">
        <v>2.0</v>
      </c>
      <c r="AN157" s="86">
        <v>2.0</v>
      </c>
      <c r="AO157" s="86">
        <v>2.0</v>
      </c>
      <c r="AP157" s="86">
        <v>2.0</v>
      </c>
      <c r="AQ157" s="86">
        <v>2.0</v>
      </c>
      <c r="AR157" s="87" t="s">
        <v>64</v>
      </c>
      <c r="AS157" s="87" t="s">
        <v>64</v>
      </c>
      <c r="AT157" s="87" t="s">
        <v>64</v>
      </c>
      <c r="AU157" s="50"/>
      <c r="AY157" s="50"/>
      <c r="AZ157" s="50"/>
      <c r="BA157" s="50"/>
      <c r="BB157" s="50"/>
      <c r="BC157" s="50"/>
      <c r="BD157" s="50"/>
      <c r="BE157" s="50"/>
      <c r="BF157" s="50"/>
      <c r="BG157" s="50"/>
      <c r="BH157" s="50"/>
      <c r="BI157" s="50"/>
      <c r="BK157" s="104" t="s">
        <v>2877</v>
      </c>
      <c r="BM157" s="86">
        <v>2.0</v>
      </c>
      <c r="BN157" s="86">
        <v>2.0</v>
      </c>
      <c r="BO157" s="86">
        <v>2.0</v>
      </c>
      <c r="BP157" s="86">
        <v>2.0</v>
      </c>
      <c r="BQ157" s="86">
        <v>2.0</v>
      </c>
      <c r="BR157" s="86">
        <v>2.0</v>
      </c>
      <c r="BS157" s="86">
        <v>2.0</v>
      </c>
      <c r="BT157" s="87" t="s">
        <v>64</v>
      </c>
      <c r="BU157" s="87" t="s">
        <v>64</v>
      </c>
      <c r="BV157" s="87" t="s">
        <v>64</v>
      </c>
      <c r="BW157" s="50"/>
      <c r="BY157" s="53" t="s">
        <v>2878</v>
      </c>
      <c r="CA157" s="86">
        <v>1.0</v>
      </c>
      <c r="CB157" s="86">
        <v>2.0</v>
      </c>
      <c r="CC157" s="86">
        <v>1.0</v>
      </c>
      <c r="CD157" s="86">
        <v>1.0</v>
      </c>
      <c r="CE157" s="86">
        <v>2.0</v>
      </c>
      <c r="CF157" s="86">
        <v>1.0</v>
      </c>
      <c r="CG157" s="86">
        <v>2.0</v>
      </c>
      <c r="CH157" s="87" t="s">
        <v>64</v>
      </c>
      <c r="CI157" s="87" t="s">
        <v>64</v>
      </c>
      <c r="CJ157" s="87" t="s">
        <v>64</v>
      </c>
      <c r="CK157" s="50"/>
      <c r="CO157" s="50"/>
      <c r="CP157" s="50"/>
      <c r="CQ157" s="50"/>
      <c r="CR157" s="50"/>
      <c r="CS157" s="50"/>
      <c r="CT157" s="50"/>
      <c r="CU157" s="50"/>
      <c r="CV157" s="50"/>
      <c r="CW157" s="50"/>
      <c r="CX157" s="50"/>
      <c r="CY157" s="50"/>
      <c r="DA157" s="53" t="s">
        <v>2879</v>
      </c>
      <c r="DC157" s="86">
        <v>1.0</v>
      </c>
      <c r="DD157" s="86">
        <v>2.0</v>
      </c>
      <c r="DE157" s="86">
        <v>1.0</v>
      </c>
      <c r="DF157" s="86">
        <v>1.0</v>
      </c>
      <c r="DG157" s="86">
        <v>2.0</v>
      </c>
      <c r="DH157" s="86">
        <v>1.0</v>
      </c>
      <c r="DI157" s="86">
        <v>2.0</v>
      </c>
      <c r="DJ157" s="87" t="s">
        <v>64</v>
      </c>
      <c r="DK157" s="87" t="s">
        <v>64</v>
      </c>
      <c r="DL157" s="87" t="s">
        <v>64</v>
      </c>
      <c r="DM157" s="50"/>
      <c r="DO157" s="59" t="s">
        <v>2880</v>
      </c>
      <c r="DQ157" s="86">
        <v>2.0</v>
      </c>
      <c r="DR157" s="86">
        <v>2.0</v>
      </c>
      <c r="DS157" s="86">
        <v>2.0</v>
      </c>
      <c r="DT157" s="86">
        <v>2.0</v>
      </c>
      <c r="DU157" s="86">
        <v>2.0</v>
      </c>
      <c r="DV157" s="86">
        <v>2.0</v>
      </c>
      <c r="DW157" s="86">
        <v>2.0</v>
      </c>
      <c r="DX157" s="87" t="s">
        <v>64</v>
      </c>
      <c r="DY157" s="87" t="s">
        <v>64</v>
      </c>
      <c r="DZ157" s="87" t="s">
        <v>64</v>
      </c>
      <c r="EA157" s="50"/>
    </row>
    <row r="158" ht="15.75" customHeight="1">
      <c r="A158" s="14">
        <v>15.0</v>
      </c>
      <c r="B158" s="14" t="s">
        <v>247</v>
      </c>
      <c r="C158" s="14" t="str">
        <f t="array" ref="C158">IFERROR(INDEX(DOCUMENTOS!$E:$E,MATCH($A158,DOCUMENTOS!$A:$A,0)),"")</f>
        <v/>
      </c>
      <c r="D158" s="14" t="str">
        <f t="array" ref="D158">IFERROR(INDEX('BANCO DE PERGUNTAS'!$D:$D,MATCH($B158,'BANCO DE PERGUNTAS'!$A:$A,0)),"")</f>
        <v>Quais requisitos estão explicitamente presentes?</v>
      </c>
      <c r="E158" s="14" t="str">
        <f t="array" ref="E158">IFERROR(INDEX('BANCO DE PERGUNTAS'!$B:$B,MATCH($B158,'BANCO DE PERGUNTAS'!$A:$A,0)),"")</f>
        <v>Conformidade Documental</v>
      </c>
      <c r="F158" s="17">
        <f t="array" ref="F158">IFERROR(INDEX('BANCO DE PERGUNTAS'!$H:$H,MATCH($B158,'BANCO DE PERGUNTAS'!$A:$A,0)),"")</f>
        <v>2</v>
      </c>
      <c r="I158" s="50"/>
      <c r="J158" s="50"/>
      <c r="K158" s="50"/>
      <c r="L158" s="50"/>
      <c r="M158" s="50"/>
      <c r="N158" s="50"/>
      <c r="O158" s="50"/>
      <c r="P158" s="50"/>
      <c r="Q158" s="50"/>
      <c r="R158" s="50"/>
      <c r="S158" s="50"/>
      <c r="U158" s="97" t="s">
        <v>2881</v>
      </c>
      <c r="W158" s="86">
        <v>2.0</v>
      </c>
      <c r="X158" s="86">
        <v>2.0</v>
      </c>
      <c r="Y158" s="86">
        <v>2.0</v>
      </c>
      <c r="Z158" s="86">
        <v>2.0</v>
      </c>
      <c r="AA158" s="86">
        <v>2.0</v>
      </c>
      <c r="AB158" s="86">
        <v>2.0</v>
      </c>
      <c r="AC158" s="86">
        <v>2.0</v>
      </c>
      <c r="AD158" s="87" t="s">
        <v>64</v>
      </c>
      <c r="AE158" s="87" t="s">
        <v>64</v>
      </c>
      <c r="AF158" s="87" t="s">
        <v>64</v>
      </c>
      <c r="AG158" s="50"/>
      <c r="AI158" s="103" t="s">
        <v>2882</v>
      </c>
      <c r="AK158" s="86">
        <v>2.0</v>
      </c>
      <c r="AL158" s="86">
        <v>2.0</v>
      </c>
      <c r="AM158" s="86">
        <v>2.0</v>
      </c>
      <c r="AN158" s="86">
        <v>2.0</v>
      </c>
      <c r="AO158" s="86">
        <v>2.0</v>
      </c>
      <c r="AP158" s="86">
        <v>2.0</v>
      </c>
      <c r="AQ158" s="86">
        <v>2.0</v>
      </c>
      <c r="AR158" s="87" t="s">
        <v>64</v>
      </c>
      <c r="AS158" s="87" t="s">
        <v>64</v>
      </c>
      <c r="AT158" s="87" t="s">
        <v>64</v>
      </c>
      <c r="AU158" s="50"/>
      <c r="AY158" s="50"/>
      <c r="AZ158" s="50"/>
      <c r="BA158" s="50"/>
      <c r="BB158" s="50"/>
      <c r="BC158" s="50"/>
      <c r="BD158" s="50"/>
      <c r="BE158" s="50"/>
      <c r="BF158" s="50"/>
      <c r="BG158" s="50"/>
      <c r="BH158" s="50"/>
      <c r="BI158" s="50"/>
      <c r="BK158" s="104" t="s">
        <v>2883</v>
      </c>
      <c r="BM158" s="86">
        <v>2.0</v>
      </c>
      <c r="BN158" s="86">
        <v>2.0</v>
      </c>
      <c r="BO158" s="86">
        <v>2.0</v>
      </c>
      <c r="BP158" s="86">
        <v>2.0</v>
      </c>
      <c r="BQ158" s="86">
        <v>2.0</v>
      </c>
      <c r="BR158" s="86">
        <v>2.0</v>
      </c>
      <c r="BS158" s="86">
        <v>2.0</v>
      </c>
      <c r="BT158" s="87" t="s">
        <v>64</v>
      </c>
      <c r="BU158" s="87" t="s">
        <v>64</v>
      </c>
      <c r="BV158" s="87" t="s">
        <v>64</v>
      </c>
      <c r="BW158" s="50"/>
      <c r="BY158" s="53" t="s">
        <v>2884</v>
      </c>
      <c r="CA158" s="86">
        <v>2.0</v>
      </c>
      <c r="CB158" s="86">
        <v>2.0</v>
      </c>
      <c r="CC158" s="86">
        <v>2.0</v>
      </c>
      <c r="CD158" s="86">
        <v>2.0</v>
      </c>
      <c r="CE158" s="86">
        <v>2.0</v>
      </c>
      <c r="CF158" s="86">
        <v>2.0</v>
      </c>
      <c r="CG158" s="86">
        <v>2.0</v>
      </c>
      <c r="CH158" s="87" t="s">
        <v>64</v>
      </c>
      <c r="CI158" s="87" t="s">
        <v>64</v>
      </c>
      <c r="CJ158" s="87" t="s">
        <v>64</v>
      </c>
      <c r="CK158" s="50"/>
      <c r="CO158" s="50"/>
      <c r="CP158" s="50"/>
      <c r="CQ158" s="50"/>
      <c r="CR158" s="50"/>
      <c r="CS158" s="50"/>
      <c r="CT158" s="50"/>
      <c r="CU158" s="50"/>
      <c r="CV158" s="50"/>
      <c r="CW158" s="50"/>
      <c r="CX158" s="50"/>
      <c r="CY158" s="50"/>
      <c r="DA158" s="53" t="s">
        <v>2885</v>
      </c>
      <c r="DC158" s="86">
        <v>2.0</v>
      </c>
      <c r="DD158" s="86">
        <v>2.0</v>
      </c>
      <c r="DE158" s="86">
        <v>2.0</v>
      </c>
      <c r="DF158" s="86">
        <v>2.0</v>
      </c>
      <c r="DG158" s="86">
        <v>2.0</v>
      </c>
      <c r="DH158" s="86">
        <v>2.0</v>
      </c>
      <c r="DI158" s="86">
        <v>2.0</v>
      </c>
      <c r="DJ158" s="87" t="s">
        <v>64</v>
      </c>
      <c r="DK158" s="87" t="s">
        <v>64</v>
      </c>
      <c r="DL158" s="87" t="s">
        <v>64</v>
      </c>
      <c r="DM158" s="50"/>
      <c r="DO158" s="59" t="s">
        <v>2886</v>
      </c>
      <c r="DQ158" s="86">
        <v>2.0</v>
      </c>
      <c r="DR158" s="86">
        <v>2.0</v>
      </c>
      <c r="DS158" s="86">
        <v>2.0</v>
      </c>
      <c r="DT158" s="86">
        <v>2.0</v>
      </c>
      <c r="DU158" s="86">
        <v>2.0</v>
      </c>
      <c r="DV158" s="86">
        <v>2.0</v>
      </c>
      <c r="DW158" s="86">
        <v>2.0</v>
      </c>
      <c r="DX158" s="87" t="s">
        <v>64</v>
      </c>
      <c r="DY158" s="87" t="s">
        <v>64</v>
      </c>
      <c r="DZ158" s="87" t="s">
        <v>64</v>
      </c>
      <c r="EA158" s="50"/>
    </row>
    <row r="159" ht="15.75" customHeight="1">
      <c r="A159" s="11">
        <v>15.0</v>
      </c>
      <c r="B159" s="11" t="s">
        <v>252</v>
      </c>
      <c r="C159" s="11" t="str">
        <f t="array" ref="C159">IFERROR(INDEX(DOCUMENTOS!$E:$E,MATCH($A159,DOCUMENTOS!$A:$A,0)),"")</f>
        <v/>
      </c>
      <c r="D159" s="11" t="str">
        <f t="array" ref="D159">IFERROR(INDEX('BANCO DE PERGUNTAS'!$D:$D,MATCH($B159,'BANCO DE PERGUNTAS'!$A:$A,0)),"")</f>
        <v>Quais informações necessárias parecem estar ausentes?</v>
      </c>
      <c r="E159" s="11" t="str">
        <f t="array" ref="E159">IFERROR(INDEX('BANCO DE PERGUNTAS'!$B:$B,MATCH($B159,'BANCO DE PERGUNTAS'!$A:$A,0)),"")</f>
        <v>Identificação de Omissões</v>
      </c>
      <c r="F159" s="12">
        <f t="array" ref="F159">IFERROR(INDEX('BANCO DE PERGUNTAS'!$H:$H,MATCH($B159,'BANCO DE PERGUNTAS'!$A:$A,0)),"")</f>
        <v>4</v>
      </c>
      <c r="I159" s="50"/>
      <c r="J159" s="50"/>
      <c r="K159" s="50"/>
      <c r="L159" s="50"/>
      <c r="M159" s="50"/>
      <c r="N159" s="50"/>
      <c r="O159" s="50"/>
      <c r="P159" s="50"/>
      <c r="Q159" s="50"/>
      <c r="R159" s="50"/>
      <c r="S159" s="50"/>
      <c r="U159" s="101" t="s">
        <v>2887</v>
      </c>
      <c r="W159" s="86">
        <v>2.0</v>
      </c>
      <c r="X159" s="86">
        <v>2.0</v>
      </c>
      <c r="Y159" s="86">
        <v>2.0</v>
      </c>
      <c r="Z159" s="86">
        <v>2.0</v>
      </c>
      <c r="AA159" s="86">
        <v>2.0</v>
      </c>
      <c r="AB159" s="86">
        <v>2.0</v>
      </c>
      <c r="AC159" s="86">
        <v>2.0</v>
      </c>
      <c r="AD159" s="87" t="s">
        <v>64</v>
      </c>
      <c r="AE159" s="87" t="s">
        <v>64</v>
      </c>
      <c r="AF159" s="87" t="s">
        <v>64</v>
      </c>
      <c r="AG159" s="50"/>
      <c r="AI159" s="103" t="s">
        <v>2888</v>
      </c>
      <c r="AK159" s="86">
        <v>2.0</v>
      </c>
      <c r="AL159" s="86">
        <v>2.0</v>
      </c>
      <c r="AM159" s="86">
        <v>2.0</v>
      </c>
      <c r="AN159" s="86">
        <v>2.0</v>
      </c>
      <c r="AO159" s="86">
        <v>2.0</v>
      </c>
      <c r="AP159" s="86">
        <v>2.0</v>
      </c>
      <c r="AQ159" s="86">
        <v>2.0</v>
      </c>
      <c r="AR159" s="87" t="s">
        <v>64</v>
      </c>
      <c r="AS159" s="87" t="s">
        <v>64</v>
      </c>
      <c r="AT159" s="87" t="s">
        <v>64</v>
      </c>
      <c r="AU159" s="50"/>
      <c r="AY159" s="50"/>
      <c r="AZ159" s="50"/>
      <c r="BA159" s="50"/>
      <c r="BB159" s="50"/>
      <c r="BC159" s="50"/>
      <c r="BD159" s="50"/>
      <c r="BE159" s="50"/>
      <c r="BF159" s="50"/>
      <c r="BG159" s="50"/>
      <c r="BH159" s="50"/>
      <c r="BI159" s="50"/>
      <c r="BK159" s="104" t="s">
        <v>2889</v>
      </c>
      <c r="BM159" s="86">
        <v>2.0</v>
      </c>
      <c r="BN159" s="86">
        <v>2.0</v>
      </c>
      <c r="BO159" s="86">
        <v>2.0</v>
      </c>
      <c r="BP159" s="86">
        <v>2.0</v>
      </c>
      <c r="BQ159" s="86">
        <v>2.0</v>
      </c>
      <c r="BR159" s="86">
        <v>2.0</v>
      </c>
      <c r="BS159" s="86">
        <v>2.0</v>
      </c>
      <c r="BT159" s="87" t="s">
        <v>64</v>
      </c>
      <c r="BU159" s="87" t="s">
        <v>64</v>
      </c>
      <c r="BV159" s="87" t="s">
        <v>64</v>
      </c>
      <c r="BW159" s="50"/>
      <c r="BY159" s="53" t="s">
        <v>2890</v>
      </c>
      <c r="CA159" s="86">
        <v>2.0</v>
      </c>
      <c r="CB159" s="86">
        <v>2.0</v>
      </c>
      <c r="CC159" s="86">
        <v>2.0</v>
      </c>
      <c r="CD159" s="86">
        <v>2.0</v>
      </c>
      <c r="CE159" s="86">
        <v>2.0</v>
      </c>
      <c r="CF159" s="86">
        <v>2.0</v>
      </c>
      <c r="CG159" s="86">
        <v>2.0</v>
      </c>
      <c r="CH159" s="87" t="s">
        <v>64</v>
      </c>
      <c r="CI159" s="87" t="s">
        <v>64</v>
      </c>
      <c r="CJ159" s="87" t="s">
        <v>64</v>
      </c>
      <c r="CK159" s="50"/>
      <c r="CO159" s="50"/>
      <c r="CP159" s="50"/>
      <c r="CQ159" s="50"/>
      <c r="CR159" s="50"/>
      <c r="CS159" s="50"/>
      <c r="CT159" s="50"/>
      <c r="CU159" s="50"/>
      <c r="CV159" s="50"/>
      <c r="CW159" s="50"/>
      <c r="CX159" s="50"/>
      <c r="CY159" s="50"/>
      <c r="DA159" s="53" t="s">
        <v>2891</v>
      </c>
      <c r="DC159" s="86">
        <v>1.0</v>
      </c>
      <c r="DD159" s="86">
        <v>2.0</v>
      </c>
      <c r="DE159" s="86">
        <v>1.0</v>
      </c>
      <c r="DF159" s="86">
        <v>1.0</v>
      </c>
      <c r="DG159" s="86">
        <v>2.0</v>
      </c>
      <c r="DH159" s="86">
        <v>1.0</v>
      </c>
      <c r="DI159" s="86">
        <v>2.0</v>
      </c>
      <c r="DJ159" s="87" t="s">
        <v>64</v>
      </c>
      <c r="DK159" s="87" t="s">
        <v>64</v>
      </c>
      <c r="DL159" s="87" t="s">
        <v>64</v>
      </c>
      <c r="DM159" s="50"/>
      <c r="DO159" s="59" t="s">
        <v>2892</v>
      </c>
      <c r="DQ159" s="86">
        <v>1.0</v>
      </c>
      <c r="DR159" s="86">
        <v>2.0</v>
      </c>
      <c r="DS159" s="86">
        <v>1.0</v>
      </c>
      <c r="DT159" s="86">
        <v>1.0</v>
      </c>
      <c r="DU159" s="86">
        <v>2.0</v>
      </c>
      <c r="DV159" s="86">
        <v>1.0</v>
      </c>
      <c r="DW159" s="86">
        <v>2.0</v>
      </c>
      <c r="DX159" s="87" t="s">
        <v>64</v>
      </c>
      <c r="DY159" s="87" t="s">
        <v>64</v>
      </c>
      <c r="DZ159" s="87" t="s">
        <v>64</v>
      </c>
      <c r="EA159" s="50"/>
    </row>
    <row r="160" ht="15.75" customHeight="1">
      <c r="A160" s="14">
        <v>15.0</v>
      </c>
      <c r="B160" s="14" t="s">
        <v>257</v>
      </c>
      <c r="C160" s="14" t="str">
        <f t="array" ref="C160">IFERROR(INDEX(DOCUMENTOS!$E:$E,MATCH($A160,DOCUMENTOS!$A:$A,0)),"")</f>
        <v/>
      </c>
      <c r="D160" s="14" t="str">
        <f t="array" ref="D160">IFERROR(INDEX('BANCO DE PERGUNTAS'!$D:$D,MATCH($B160,'BANCO DE PERGUNTAS'!$A:$A,0)),"")</f>
        <v>Existem informações conflitantes com outro documento relacionado?</v>
      </c>
      <c r="E160" s="14" t="str">
        <f t="array" ref="E160">IFERROR(INDEX('BANCO DE PERGUNTAS'!$B:$B,MATCH($B160,'BANCO DE PERGUNTAS'!$A:$A,0)),"")</f>
        <v>Comparação</v>
      </c>
      <c r="F160" s="17">
        <f t="array" ref="F160">IFERROR(INDEX('BANCO DE PERGUNTAS'!$H:$H,MATCH($B160,'BANCO DE PERGUNTAS'!$A:$A,0)),"")</f>
        <v>5</v>
      </c>
      <c r="I160" s="50"/>
      <c r="J160" s="50"/>
      <c r="K160" s="50"/>
      <c r="L160" s="50"/>
      <c r="M160" s="50"/>
      <c r="N160" s="50"/>
      <c r="O160" s="50"/>
      <c r="P160" s="50"/>
      <c r="Q160" s="50"/>
      <c r="R160" s="50"/>
      <c r="S160" s="50"/>
      <c r="U160" s="97" t="s">
        <v>2893</v>
      </c>
      <c r="W160" s="86">
        <v>2.0</v>
      </c>
      <c r="X160" s="86">
        <v>2.0</v>
      </c>
      <c r="Y160" s="86">
        <v>2.0</v>
      </c>
      <c r="Z160" s="86">
        <v>2.0</v>
      </c>
      <c r="AA160" s="86">
        <v>2.0</v>
      </c>
      <c r="AB160" s="86">
        <v>2.0</v>
      </c>
      <c r="AC160" s="86">
        <v>2.0</v>
      </c>
      <c r="AD160" s="87" t="s">
        <v>64</v>
      </c>
      <c r="AE160" s="87" t="s">
        <v>64</v>
      </c>
      <c r="AF160" s="87" t="s">
        <v>64</v>
      </c>
      <c r="AG160" s="50"/>
      <c r="AI160" s="103" t="s">
        <v>2894</v>
      </c>
      <c r="AK160" s="86">
        <v>2.0</v>
      </c>
      <c r="AL160" s="86">
        <v>2.0</v>
      </c>
      <c r="AM160" s="86">
        <v>2.0</v>
      </c>
      <c r="AN160" s="86">
        <v>2.0</v>
      </c>
      <c r="AO160" s="86">
        <v>2.0</v>
      </c>
      <c r="AP160" s="86">
        <v>2.0</v>
      </c>
      <c r="AQ160" s="86">
        <v>2.0</v>
      </c>
      <c r="AR160" s="87" t="s">
        <v>64</v>
      </c>
      <c r="AS160" s="87" t="s">
        <v>64</v>
      </c>
      <c r="AT160" s="87" t="s">
        <v>64</v>
      </c>
      <c r="AU160" s="50"/>
      <c r="AY160" s="50"/>
      <c r="AZ160" s="50"/>
      <c r="BA160" s="50"/>
      <c r="BB160" s="50"/>
      <c r="BC160" s="50"/>
      <c r="BD160" s="50"/>
      <c r="BE160" s="50"/>
      <c r="BF160" s="50"/>
      <c r="BG160" s="50"/>
      <c r="BH160" s="50"/>
      <c r="BI160" s="50"/>
      <c r="BK160" s="104" t="s">
        <v>2895</v>
      </c>
      <c r="BM160" s="86">
        <v>2.0</v>
      </c>
      <c r="BN160" s="86">
        <v>2.0</v>
      </c>
      <c r="BO160" s="86">
        <v>2.0</v>
      </c>
      <c r="BP160" s="86">
        <v>2.0</v>
      </c>
      <c r="BQ160" s="86">
        <v>2.0</v>
      </c>
      <c r="BR160" s="86">
        <v>2.0</v>
      </c>
      <c r="BS160" s="86">
        <v>2.0</v>
      </c>
      <c r="BT160" s="87" t="s">
        <v>64</v>
      </c>
      <c r="BU160" s="87" t="s">
        <v>64</v>
      </c>
      <c r="BV160" s="87" t="s">
        <v>64</v>
      </c>
      <c r="BW160" s="50"/>
      <c r="BY160" s="53" t="s">
        <v>2896</v>
      </c>
      <c r="CA160" s="86">
        <v>2.0</v>
      </c>
      <c r="CB160" s="86">
        <v>2.0</v>
      </c>
      <c r="CC160" s="86">
        <v>2.0</v>
      </c>
      <c r="CD160" s="86">
        <v>2.0</v>
      </c>
      <c r="CE160" s="86">
        <v>2.0</v>
      </c>
      <c r="CF160" s="86">
        <v>2.0</v>
      </c>
      <c r="CG160" s="86">
        <v>2.0</v>
      </c>
      <c r="CH160" s="87" t="s">
        <v>64</v>
      </c>
      <c r="CI160" s="87" t="s">
        <v>64</v>
      </c>
      <c r="CJ160" s="87" t="s">
        <v>64</v>
      </c>
      <c r="CK160" s="50"/>
      <c r="CO160" s="50"/>
      <c r="CP160" s="50"/>
      <c r="CQ160" s="50"/>
      <c r="CR160" s="50"/>
      <c r="CS160" s="50"/>
      <c r="CT160" s="50"/>
      <c r="CU160" s="50"/>
      <c r="CV160" s="50"/>
      <c r="CW160" s="50"/>
      <c r="CX160" s="50"/>
      <c r="CY160" s="50"/>
      <c r="DA160" s="53" t="s">
        <v>2897</v>
      </c>
      <c r="DC160" s="86">
        <v>2.0</v>
      </c>
      <c r="DD160" s="86">
        <v>2.0</v>
      </c>
      <c r="DE160" s="86">
        <v>2.0</v>
      </c>
      <c r="DF160" s="86">
        <v>2.0</v>
      </c>
      <c r="DG160" s="86">
        <v>2.0</v>
      </c>
      <c r="DH160" s="86">
        <v>2.0</v>
      </c>
      <c r="DI160" s="86">
        <v>2.0</v>
      </c>
      <c r="DJ160" s="87" t="s">
        <v>64</v>
      </c>
      <c r="DK160" s="87" t="s">
        <v>64</v>
      </c>
      <c r="DL160" s="87" t="s">
        <v>64</v>
      </c>
      <c r="DM160" s="50"/>
      <c r="DO160" s="59" t="s">
        <v>2898</v>
      </c>
      <c r="DQ160" s="86">
        <v>2.0</v>
      </c>
      <c r="DR160" s="86">
        <v>2.0</v>
      </c>
      <c r="DS160" s="86">
        <v>2.0</v>
      </c>
      <c r="DT160" s="86">
        <v>2.0</v>
      </c>
      <c r="DU160" s="86">
        <v>2.0</v>
      </c>
      <c r="DV160" s="86">
        <v>2.0</v>
      </c>
      <c r="DW160" s="86">
        <v>2.0</v>
      </c>
      <c r="DX160" s="87" t="s">
        <v>64</v>
      </c>
      <c r="DY160" s="87" t="s">
        <v>64</v>
      </c>
      <c r="DZ160" s="87" t="s">
        <v>64</v>
      </c>
      <c r="EA160" s="50"/>
    </row>
    <row r="161" ht="15.75" customHeight="1">
      <c r="A161" s="11">
        <v>15.0</v>
      </c>
      <c r="B161" s="11" t="s">
        <v>264</v>
      </c>
      <c r="C161" s="11" t="str">
        <f t="array" ref="C161">IFERROR(INDEX(DOCUMENTOS!$E:$E,MATCH($A161,DOCUMENTOS!$A:$A,0)),"")</f>
        <v/>
      </c>
      <c r="D161" s="11" t="str">
        <f t="array" ref="D161">IFERROR(INDEX('BANCO DE PERGUNTAS'!$D:$D,MATCH($B161,'BANCO DE PERGUNTAS'!$A:$A,0)),"")</f>
        <v>Quais diferenças existem entre os documentos?</v>
      </c>
      <c r="E161" s="11" t="str">
        <f t="array" ref="E161">IFERROR(INDEX('BANCO DE PERGUNTAS'!$B:$B,MATCH($B161,'BANCO DE PERGUNTAS'!$A:$A,0)),"")</f>
        <v>Comparação</v>
      </c>
      <c r="F161" s="12">
        <f t="array" ref="F161">IFERROR(INDEX('BANCO DE PERGUNTAS'!$H:$H,MATCH($B161,'BANCO DE PERGUNTAS'!$A:$A,0)),"")</f>
        <v>5</v>
      </c>
      <c r="I161" s="50"/>
      <c r="J161" s="50"/>
      <c r="K161" s="50"/>
      <c r="L161" s="50"/>
      <c r="M161" s="50"/>
      <c r="N161" s="50"/>
      <c r="O161" s="50"/>
      <c r="P161" s="50"/>
      <c r="Q161" s="50"/>
      <c r="R161" s="50"/>
      <c r="S161" s="50"/>
      <c r="U161" s="101" t="s">
        <v>2899</v>
      </c>
      <c r="W161" s="86">
        <v>2.0</v>
      </c>
      <c r="X161" s="86">
        <v>2.0</v>
      </c>
      <c r="Y161" s="86">
        <v>2.0</v>
      </c>
      <c r="Z161" s="86">
        <v>2.0</v>
      </c>
      <c r="AA161" s="86">
        <v>2.0</v>
      </c>
      <c r="AB161" s="86">
        <v>2.0</v>
      </c>
      <c r="AC161" s="86">
        <v>2.0</v>
      </c>
      <c r="AD161" s="87" t="s">
        <v>64</v>
      </c>
      <c r="AE161" s="87" t="s">
        <v>64</v>
      </c>
      <c r="AF161" s="87" t="s">
        <v>64</v>
      </c>
      <c r="AG161" s="50"/>
      <c r="AI161" s="103" t="s">
        <v>2900</v>
      </c>
      <c r="AK161" s="86">
        <v>2.0</v>
      </c>
      <c r="AL161" s="86">
        <v>2.0</v>
      </c>
      <c r="AM161" s="86">
        <v>2.0</v>
      </c>
      <c r="AN161" s="86">
        <v>2.0</v>
      </c>
      <c r="AO161" s="86">
        <v>2.0</v>
      </c>
      <c r="AP161" s="86">
        <v>2.0</v>
      </c>
      <c r="AQ161" s="86">
        <v>2.0</v>
      </c>
      <c r="AR161" s="87" t="s">
        <v>64</v>
      </c>
      <c r="AS161" s="87" t="s">
        <v>64</v>
      </c>
      <c r="AT161" s="87" t="s">
        <v>64</v>
      </c>
      <c r="AU161" s="50"/>
      <c r="AY161" s="50"/>
      <c r="AZ161" s="50"/>
      <c r="BA161" s="50"/>
      <c r="BB161" s="50"/>
      <c r="BC161" s="50"/>
      <c r="BD161" s="50"/>
      <c r="BE161" s="50"/>
      <c r="BF161" s="50"/>
      <c r="BG161" s="50"/>
      <c r="BH161" s="50"/>
      <c r="BI161" s="50"/>
      <c r="BK161" s="104" t="s">
        <v>2901</v>
      </c>
      <c r="BM161" s="86">
        <v>2.0</v>
      </c>
      <c r="BN161" s="86">
        <v>2.0</v>
      </c>
      <c r="BO161" s="86">
        <v>2.0</v>
      </c>
      <c r="BP161" s="86">
        <v>2.0</v>
      </c>
      <c r="BQ161" s="86">
        <v>2.0</v>
      </c>
      <c r="BR161" s="86">
        <v>2.0</v>
      </c>
      <c r="BS161" s="86">
        <v>2.0</v>
      </c>
      <c r="BT161" s="87" t="s">
        <v>64</v>
      </c>
      <c r="BU161" s="87" t="s">
        <v>64</v>
      </c>
      <c r="BV161" s="87" t="s">
        <v>64</v>
      </c>
      <c r="BW161" s="50"/>
      <c r="BY161" s="53" t="s">
        <v>2902</v>
      </c>
      <c r="CA161" s="86">
        <v>2.0</v>
      </c>
      <c r="CB161" s="86">
        <v>2.0</v>
      </c>
      <c r="CC161" s="86">
        <v>2.0</v>
      </c>
      <c r="CD161" s="86">
        <v>2.0</v>
      </c>
      <c r="CE161" s="86">
        <v>2.0</v>
      </c>
      <c r="CF161" s="86">
        <v>2.0</v>
      </c>
      <c r="CG161" s="86">
        <v>2.0</v>
      </c>
      <c r="CH161" s="87" t="s">
        <v>64</v>
      </c>
      <c r="CI161" s="87" t="s">
        <v>64</v>
      </c>
      <c r="CJ161" s="87" t="s">
        <v>64</v>
      </c>
      <c r="CK161" s="50"/>
      <c r="CO161" s="50"/>
      <c r="CP161" s="50"/>
      <c r="CQ161" s="50"/>
      <c r="CR161" s="50"/>
      <c r="CS161" s="50"/>
      <c r="CT161" s="50"/>
      <c r="CU161" s="50"/>
      <c r="CV161" s="50"/>
      <c r="CW161" s="50"/>
      <c r="CX161" s="50"/>
      <c r="CY161" s="50"/>
      <c r="DA161" s="53" t="s">
        <v>682</v>
      </c>
      <c r="DC161" s="86">
        <v>2.0</v>
      </c>
      <c r="DD161" s="86">
        <v>2.0</v>
      </c>
      <c r="DE161" s="86">
        <v>2.0</v>
      </c>
      <c r="DF161" s="86">
        <v>2.0</v>
      </c>
      <c r="DG161" s="86">
        <v>2.0</v>
      </c>
      <c r="DH161" s="86">
        <v>2.0</v>
      </c>
      <c r="DI161" s="86">
        <v>2.0</v>
      </c>
      <c r="DJ161" s="87" t="s">
        <v>64</v>
      </c>
      <c r="DK161" s="87" t="s">
        <v>64</v>
      </c>
      <c r="DL161" s="87" t="s">
        <v>64</v>
      </c>
      <c r="DM161" s="50"/>
      <c r="DO161" s="59" t="s">
        <v>2903</v>
      </c>
      <c r="DQ161" s="86">
        <v>2.0</v>
      </c>
      <c r="DR161" s="86">
        <v>2.0</v>
      </c>
      <c r="DS161" s="86">
        <v>2.0</v>
      </c>
      <c r="DT161" s="86">
        <v>2.0</v>
      </c>
      <c r="DU161" s="86">
        <v>2.0</v>
      </c>
      <c r="DV161" s="86">
        <v>2.0</v>
      </c>
      <c r="DW161" s="86">
        <v>2.0</v>
      </c>
      <c r="DX161" s="87" t="s">
        <v>64</v>
      </c>
      <c r="DY161" s="87" t="s">
        <v>64</v>
      </c>
      <c r="DZ161" s="87" t="s">
        <v>64</v>
      </c>
      <c r="EA161" s="50"/>
    </row>
    <row r="162" ht="15.75" customHeight="1">
      <c r="A162" s="14">
        <v>15.0</v>
      </c>
      <c r="B162" s="14" t="s">
        <v>269</v>
      </c>
      <c r="C162" s="14" t="str">
        <f t="array" ref="C162">IFERROR(INDEX(DOCUMENTOS!$E:$E,MATCH($A162,DOCUMENTOS!$A:$A,0)),"")</f>
        <v/>
      </c>
      <c r="D162" s="14" t="str">
        <f t="array" ref="D162">IFERROR(INDEX('BANCO DE PERGUNTAS'!$D:$D,MATCH($B162,'BANCO DE PERGUNTAS'!$A:$A,0)),"")</f>
        <v>Quais informações foram alteradas?</v>
      </c>
      <c r="E162" s="14" t="str">
        <f t="array" ref="E162">IFERROR(INDEX('BANCO DE PERGUNTAS'!$B:$B,MATCH($B162,'BANCO DE PERGUNTAS'!$A:$A,0)),"")</f>
        <v>Análise de Relações entre Informações</v>
      </c>
      <c r="F162" s="17">
        <f t="array" ref="F162">IFERROR(INDEX('BANCO DE PERGUNTAS'!$H:$H,MATCH($B162,'BANCO DE PERGUNTAS'!$A:$A,0)),"")</f>
        <v>5</v>
      </c>
      <c r="I162" s="50"/>
      <c r="J162" s="50"/>
      <c r="K162" s="50"/>
      <c r="L162" s="50"/>
      <c r="M162" s="50"/>
      <c r="N162" s="50"/>
      <c r="O162" s="50"/>
      <c r="P162" s="50"/>
      <c r="Q162" s="50"/>
      <c r="R162" s="50"/>
      <c r="S162" s="50"/>
      <c r="U162" s="97" t="s">
        <v>2904</v>
      </c>
      <c r="W162" s="86">
        <v>2.0</v>
      </c>
      <c r="X162" s="86">
        <v>2.0</v>
      </c>
      <c r="Y162" s="86">
        <v>2.0</v>
      </c>
      <c r="Z162" s="86">
        <v>2.0</v>
      </c>
      <c r="AA162" s="86">
        <v>2.0</v>
      </c>
      <c r="AB162" s="86">
        <v>2.0</v>
      </c>
      <c r="AC162" s="86">
        <v>2.0</v>
      </c>
      <c r="AD162" s="87" t="s">
        <v>64</v>
      </c>
      <c r="AE162" s="87" t="s">
        <v>64</v>
      </c>
      <c r="AF162" s="87" t="s">
        <v>64</v>
      </c>
      <c r="AG162" s="50"/>
      <c r="AI162" s="103" t="s">
        <v>2905</v>
      </c>
      <c r="AK162" s="86">
        <v>2.0</v>
      </c>
      <c r="AL162" s="86">
        <v>2.0</v>
      </c>
      <c r="AM162" s="86">
        <v>2.0</v>
      </c>
      <c r="AN162" s="86">
        <v>2.0</v>
      </c>
      <c r="AO162" s="86">
        <v>2.0</v>
      </c>
      <c r="AP162" s="86">
        <v>2.0</v>
      </c>
      <c r="AQ162" s="86">
        <v>2.0</v>
      </c>
      <c r="AR162" s="87" t="s">
        <v>64</v>
      </c>
      <c r="AS162" s="87" t="s">
        <v>64</v>
      </c>
      <c r="AT162" s="87" t="s">
        <v>64</v>
      </c>
      <c r="AU162" s="50"/>
      <c r="AY162" s="50"/>
      <c r="AZ162" s="50"/>
      <c r="BA162" s="50"/>
      <c r="BB162" s="50"/>
      <c r="BC162" s="50"/>
      <c r="BD162" s="50"/>
      <c r="BE162" s="50"/>
      <c r="BF162" s="50"/>
      <c r="BG162" s="50"/>
      <c r="BH162" s="50"/>
      <c r="BI162" s="50"/>
      <c r="BK162" s="104" t="s">
        <v>2906</v>
      </c>
      <c r="BM162" s="86">
        <v>2.0</v>
      </c>
      <c r="BN162" s="86">
        <v>2.0</v>
      </c>
      <c r="BO162" s="86">
        <v>2.0</v>
      </c>
      <c r="BP162" s="86">
        <v>2.0</v>
      </c>
      <c r="BQ162" s="86">
        <v>2.0</v>
      </c>
      <c r="BR162" s="86">
        <v>2.0</v>
      </c>
      <c r="BS162" s="86">
        <v>2.0</v>
      </c>
      <c r="BT162" s="87" t="s">
        <v>64</v>
      </c>
      <c r="BU162" s="87" t="s">
        <v>64</v>
      </c>
      <c r="BV162" s="87" t="s">
        <v>64</v>
      </c>
      <c r="BW162" s="50"/>
      <c r="BY162" s="53" t="s">
        <v>2907</v>
      </c>
      <c r="CA162" s="86">
        <v>2.0</v>
      </c>
      <c r="CB162" s="86">
        <v>2.0</v>
      </c>
      <c r="CC162" s="86">
        <v>2.0</v>
      </c>
      <c r="CD162" s="86">
        <v>2.0</v>
      </c>
      <c r="CE162" s="86">
        <v>2.0</v>
      </c>
      <c r="CF162" s="86">
        <v>2.0</v>
      </c>
      <c r="CG162" s="86">
        <v>2.0</v>
      </c>
      <c r="CH162" s="87" t="s">
        <v>64</v>
      </c>
      <c r="CI162" s="87" t="s">
        <v>64</v>
      </c>
      <c r="CJ162" s="87" t="s">
        <v>64</v>
      </c>
      <c r="CK162" s="50"/>
      <c r="CO162" s="50"/>
      <c r="CP162" s="50"/>
      <c r="CQ162" s="50"/>
      <c r="CR162" s="50"/>
      <c r="CS162" s="50"/>
      <c r="CT162" s="50"/>
      <c r="CU162" s="50"/>
      <c r="CV162" s="50"/>
      <c r="CW162" s="50"/>
      <c r="CX162" s="50"/>
      <c r="CY162" s="50"/>
      <c r="DA162" s="53" t="s">
        <v>2908</v>
      </c>
      <c r="DC162" s="86">
        <v>2.0</v>
      </c>
      <c r="DD162" s="86">
        <v>2.0</v>
      </c>
      <c r="DE162" s="86">
        <v>2.0</v>
      </c>
      <c r="DF162" s="86">
        <v>2.0</v>
      </c>
      <c r="DG162" s="86">
        <v>2.0</v>
      </c>
      <c r="DH162" s="86">
        <v>2.0</v>
      </c>
      <c r="DI162" s="86">
        <v>2.0</v>
      </c>
      <c r="DJ162" s="87" t="s">
        <v>64</v>
      </c>
      <c r="DK162" s="87" t="s">
        <v>64</v>
      </c>
      <c r="DL162" s="87" t="s">
        <v>64</v>
      </c>
      <c r="DM162" s="50"/>
      <c r="DO162" s="59" t="s">
        <v>2909</v>
      </c>
      <c r="DQ162" s="86">
        <v>2.0</v>
      </c>
      <c r="DR162" s="86">
        <v>2.0</v>
      </c>
      <c r="DS162" s="86">
        <v>2.0</v>
      </c>
      <c r="DT162" s="86">
        <v>2.0</v>
      </c>
      <c r="DU162" s="86">
        <v>2.0</v>
      </c>
      <c r="DV162" s="86">
        <v>2.0</v>
      </c>
      <c r="DW162" s="86">
        <v>2.0</v>
      </c>
      <c r="DX162" s="87" t="s">
        <v>64</v>
      </c>
      <c r="DY162" s="87" t="s">
        <v>64</v>
      </c>
      <c r="DZ162" s="87" t="s">
        <v>64</v>
      </c>
      <c r="EA162" s="50"/>
    </row>
    <row r="163" ht="15.75" customHeight="1">
      <c r="A163" s="11">
        <v>15.0</v>
      </c>
      <c r="B163" s="11" t="s">
        <v>276</v>
      </c>
      <c r="C163" s="11" t="str">
        <f t="array" ref="C163">IFERROR(INDEX(DOCUMENTOS!$E:$E,MATCH($A163,DOCUMENTOS!$A:$A,0)),"")</f>
        <v/>
      </c>
      <c r="D163" s="11" t="str">
        <f t="array" ref="D163">IFERROR(INDEX('BANCO DE PERGUNTAS'!$D:$D,MATCH($B163,'BANCO DE PERGUNTAS'!$A:$A,0)),"")</f>
        <v>Identifique possíveis pontos de atenção administrativa.</v>
      </c>
      <c r="E163" s="11" t="str">
        <f t="array" ref="E163">IFERROR(INDEX('BANCO DE PERGUNTAS'!$B:$B,MATCH($B163,'BANCO DE PERGUNTAS'!$A:$A,0)),"")</f>
        <v>Análise de Risco</v>
      </c>
      <c r="F163" s="12">
        <f t="array" ref="F163">IFERROR(INDEX('BANCO DE PERGUNTAS'!$H:$H,MATCH($B163,'BANCO DE PERGUNTAS'!$A:$A,0)),"")</f>
        <v>4</v>
      </c>
      <c r="I163" s="50"/>
      <c r="J163" s="50"/>
      <c r="K163" s="50"/>
      <c r="L163" s="50"/>
      <c r="M163" s="50"/>
      <c r="N163" s="50"/>
      <c r="O163" s="50"/>
      <c r="P163" s="50"/>
      <c r="Q163" s="50"/>
      <c r="R163" s="50"/>
      <c r="S163" s="50"/>
      <c r="U163" s="101" t="s">
        <v>2910</v>
      </c>
      <c r="W163" s="86">
        <v>1.0</v>
      </c>
      <c r="X163" s="86">
        <v>2.0</v>
      </c>
      <c r="Y163" s="86">
        <v>1.0</v>
      </c>
      <c r="Z163" s="86">
        <v>1.0</v>
      </c>
      <c r="AA163" s="86">
        <v>2.0</v>
      </c>
      <c r="AB163" s="86">
        <v>1.0</v>
      </c>
      <c r="AC163" s="86">
        <v>2.0</v>
      </c>
      <c r="AD163" s="87" t="s">
        <v>64</v>
      </c>
      <c r="AE163" s="87" t="s">
        <v>64</v>
      </c>
      <c r="AF163" s="87" t="s">
        <v>64</v>
      </c>
      <c r="AG163" s="50"/>
      <c r="AI163" s="103" t="s">
        <v>2911</v>
      </c>
      <c r="AK163" s="86">
        <v>1.0</v>
      </c>
      <c r="AL163" s="86">
        <v>2.0</v>
      </c>
      <c r="AM163" s="86">
        <v>1.0</v>
      </c>
      <c r="AN163" s="86">
        <v>1.0</v>
      </c>
      <c r="AO163" s="86">
        <v>2.0</v>
      </c>
      <c r="AP163" s="86">
        <v>1.0</v>
      </c>
      <c r="AQ163" s="86">
        <v>2.0</v>
      </c>
      <c r="AR163" s="87" t="s">
        <v>64</v>
      </c>
      <c r="AS163" s="87" t="s">
        <v>64</v>
      </c>
      <c r="AT163" s="87" t="s">
        <v>64</v>
      </c>
      <c r="AU163" s="50"/>
      <c r="AY163" s="50"/>
      <c r="AZ163" s="50"/>
      <c r="BA163" s="50"/>
      <c r="BB163" s="50"/>
      <c r="BC163" s="50"/>
      <c r="BD163" s="50"/>
      <c r="BE163" s="50"/>
      <c r="BF163" s="50"/>
      <c r="BG163" s="50"/>
      <c r="BH163" s="50"/>
      <c r="BI163" s="50"/>
      <c r="BK163" s="104" t="s">
        <v>2912</v>
      </c>
      <c r="BM163" s="86">
        <v>1.0</v>
      </c>
      <c r="BN163" s="86">
        <v>2.0</v>
      </c>
      <c r="BO163" s="86">
        <v>1.0</v>
      </c>
      <c r="BP163" s="86">
        <v>1.0</v>
      </c>
      <c r="BQ163" s="86">
        <v>2.0</v>
      </c>
      <c r="BR163" s="86">
        <v>1.0</v>
      </c>
      <c r="BS163" s="86">
        <v>2.0</v>
      </c>
      <c r="BT163" s="87" t="s">
        <v>64</v>
      </c>
      <c r="BU163" s="87" t="s">
        <v>64</v>
      </c>
      <c r="BV163" s="87" t="s">
        <v>64</v>
      </c>
      <c r="BW163" s="50"/>
      <c r="BY163" s="53" t="s">
        <v>2913</v>
      </c>
      <c r="CA163" s="86">
        <v>1.0</v>
      </c>
      <c r="CB163" s="86">
        <v>2.0</v>
      </c>
      <c r="CC163" s="86">
        <v>1.0</v>
      </c>
      <c r="CD163" s="86">
        <v>1.0</v>
      </c>
      <c r="CE163" s="86">
        <v>2.0</v>
      </c>
      <c r="CF163" s="86">
        <v>1.0</v>
      </c>
      <c r="CG163" s="86">
        <v>2.0</v>
      </c>
      <c r="CH163" s="87" t="s">
        <v>64</v>
      </c>
      <c r="CI163" s="87" t="s">
        <v>64</v>
      </c>
      <c r="CJ163" s="87" t="s">
        <v>64</v>
      </c>
      <c r="CK163" s="50"/>
      <c r="CO163" s="50"/>
      <c r="CP163" s="50"/>
      <c r="CQ163" s="50"/>
      <c r="CR163" s="50"/>
      <c r="CS163" s="50"/>
      <c r="CT163" s="50"/>
      <c r="CU163" s="50"/>
      <c r="CV163" s="50"/>
      <c r="CW163" s="50"/>
      <c r="CX163" s="50"/>
      <c r="CY163" s="50"/>
      <c r="DA163" s="53" t="s">
        <v>2914</v>
      </c>
      <c r="DC163" s="86">
        <v>1.0</v>
      </c>
      <c r="DD163" s="86">
        <v>2.0</v>
      </c>
      <c r="DE163" s="86">
        <v>1.0</v>
      </c>
      <c r="DF163" s="86">
        <v>1.0</v>
      </c>
      <c r="DG163" s="86">
        <v>2.0</v>
      </c>
      <c r="DH163" s="86">
        <v>1.0</v>
      </c>
      <c r="DI163" s="86">
        <v>2.0</v>
      </c>
      <c r="DJ163" s="87" t="s">
        <v>64</v>
      </c>
      <c r="DK163" s="87" t="s">
        <v>64</v>
      </c>
      <c r="DL163" s="87" t="s">
        <v>64</v>
      </c>
      <c r="DM163" s="50"/>
      <c r="DO163" s="59" t="s">
        <v>2915</v>
      </c>
      <c r="DQ163" s="86">
        <v>0.0</v>
      </c>
      <c r="DR163" s="86">
        <v>2.0</v>
      </c>
      <c r="DS163" s="86">
        <v>1.0</v>
      </c>
      <c r="DT163" s="86">
        <v>1.0</v>
      </c>
      <c r="DU163" s="86">
        <v>2.0</v>
      </c>
      <c r="DV163" s="86">
        <v>1.0</v>
      </c>
      <c r="DW163" s="86">
        <v>2.0</v>
      </c>
      <c r="DX163" s="87" t="s">
        <v>64</v>
      </c>
      <c r="DY163" s="87" t="s">
        <v>64</v>
      </c>
      <c r="DZ163" s="87" t="s">
        <v>64</v>
      </c>
      <c r="EA163" s="50"/>
    </row>
    <row r="164" ht="15.75" customHeight="1">
      <c r="A164" s="14">
        <v>15.0</v>
      </c>
      <c r="B164" s="14" t="s">
        <v>284</v>
      </c>
      <c r="C164" s="14" t="str">
        <f t="array" ref="C164">IFERROR(INDEX(DOCUMENTOS!$E:$E,MATCH($A164,DOCUMENTOS!$A:$A,0)),"")</f>
        <v/>
      </c>
      <c r="D164" s="14" t="str">
        <f t="array" ref="D164">IFERROR(INDEX('BANCO DE PERGUNTAS'!$D:$D,MATCH($B164,'BANCO DE PERGUNTAS'!$A:$A,0)),"")</f>
        <v>Quais informações deveriam ser verificadas antes de uma decisão administrativa?</v>
      </c>
      <c r="E164" s="14" t="str">
        <f t="array" ref="E164">IFERROR(INDEX('BANCO DE PERGUNTAS'!$B:$B,MATCH($B164,'BANCO DE PERGUNTAS'!$A:$A,0)),"")</f>
        <v>Análise de Risco</v>
      </c>
      <c r="F164" s="17">
        <f t="array" ref="F164">IFERROR(INDEX('BANCO DE PERGUNTAS'!$H:$H,MATCH($B164,'BANCO DE PERGUNTAS'!$A:$A,0)),"")</f>
        <v>4</v>
      </c>
      <c r="I164" s="50"/>
      <c r="J164" s="50"/>
      <c r="K164" s="50"/>
      <c r="L164" s="50"/>
      <c r="M164" s="50"/>
      <c r="N164" s="50"/>
      <c r="O164" s="50"/>
      <c r="P164" s="50"/>
      <c r="Q164" s="50"/>
      <c r="R164" s="50"/>
      <c r="S164" s="50"/>
      <c r="U164" s="97" t="s">
        <v>2916</v>
      </c>
      <c r="W164" s="86">
        <v>1.0</v>
      </c>
      <c r="X164" s="86">
        <v>2.0</v>
      </c>
      <c r="Y164" s="86">
        <v>1.0</v>
      </c>
      <c r="Z164" s="86">
        <v>1.0</v>
      </c>
      <c r="AA164" s="86">
        <v>2.0</v>
      </c>
      <c r="AB164" s="86">
        <v>1.0</v>
      </c>
      <c r="AC164" s="86">
        <v>2.0</v>
      </c>
      <c r="AD164" s="87" t="s">
        <v>64</v>
      </c>
      <c r="AE164" s="87" t="s">
        <v>64</v>
      </c>
      <c r="AF164" s="87" t="s">
        <v>64</v>
      </c>
      <c r="AG164" s="50"/>
      <c r="AI164" s="103" t="s">
        <v>2917</v>
      </c>
      <c r="AK164" s="86">
        <v>2.0</v>
      </c>
      <c r="AL164" s="86">
        <v>2.0</v>
      </c>
      <c r="AM164" s="86">
        <v>2.0</v>
      </c>
      <c r="AN164" s="86">
        <v>2.0</v>
      </c>
      <c r="AO164" s="86">
        <v>2.0</v>
      </c>
      <c r="AP164" s="86">
        <v>2.0</v>
      </c>
      <c r="AQ164" s="86">
        <v>2.0</v>
      </c>
      <c r="AR164" s="87" t="s">
        <v>64</v>
      </c>
      <c r="AS164" s="87" t="s">
        <v>64</v>
      </c>
      <c r="AT164" s="87" t="s">
        <v>64</v>
      </c>
      <c r="AU164" s="50"/>
      <c r="AY164" s="50"/>
      <c r="AZ164" s="50"/>
      <c r="BA164" s="50"/>
      <c r="BB164" s="50"/>
      <c r="BC164" s="50"/>
      <c r="BD164" s="50"/>
      <c r="BE164" s="50"/>
      <c r="BF164" s="50"/>
      <c r="BG164" s="50"/>
      <c r="BH164" s="50"/>
      <c r="BI164" s="50"/>
      <c r="BK164" s="104" t="s">
        <v>2918</v>
      </c>
      <c r="BM164" s="86">
        <v>1.0</v>
      </c>
      <c r="BN164" s="86">
        <v>2.0</v>
      </c>
      <c r="BO164" s="86">
        <v>1.0</v>
      </c>
      <c r="BP164" s="86">
        <v>1.0</v>
      </c>
      <c r="BQ164" s="86">
        <v>2.0</v>
      </c>
      <c r="BR164" s="86">
        <v>1.0</v>
      </c>
      <c r="BS164" s="86">
        <v>2.0</v>
      </c>
      <c r="BT164" s="87" t="s">
        <v>64</v>
      </c>
      <c r="BU164" s="87" t="s">
        <v>64</v>
      </c>
      <c r="BV164" s="87" t="s">
        <v>64</v>
      </c>
      <c r="BW164" s="50"/>
      <c r="BY164" s="53" t="s">
        <v>2919</v>
      </c>
      <c r="CA164" s="86">
        <v>2.0</v>
      </c>
      <c r="CB164" s="86">
        <v>2.0</v>
      </c>
      <c r="CC164" s="86">
        <v>2.0</v>
      </c>
      <c r="CD164" s="86">
        <v>2.0</v>
      </c>
      <c r="CE164" s="86">
        <v>2.0</v>
      </c>
      <c r="CF164" s="86">
        <v>2.0</v>
      </c>
      <c r="CG164" s="86">
        <v>2.0</v>
      </c>
      <c r="CH164" s="87" t="s">
        <v>64</v>
      </c>
      <c r="CI164" s="87" t="s">
        <v>64</v>
      </c>
      <c r="CJ164" s="87" t="s">
        <v>64</v>
      </c>
      <c r="CK164" s="50"/>
      <c r="CO164" s="50"/>
      <c r="CP164" s="50"/>
      <c r="CQ164" s="50"/>
      <c r="CR164" s="50"/>
      <c r="CS164" s="50"/>
      <c r="CT164" s="50"/>
      <c r="CU164" s="50"/>
      <c r="CV164" s="50"/>
      <c r="CW164" s="50"/>
      <c r="CX164" s="50"/>
      <c r="CY164" s="50"/>
      <c r="DA164" s="53" t="s">
        <v>2920</v>
      </c>
      <c r="DC164" s="86">
        <v>1.0</v>
      </c>
      <c r="DD164" s="86">
        <v>2.0</v>
      </c>
      <c r="DE164" s="86">
        <v>1.0</v>
      </c>
      <c r="DF164" s="86">
        <v>1.0</v>
      </c>
      <c r="DG164" s="86">
        <v>2.0</v>
      </c>
      <c r="DH164" s="86">
        <v>1.0</v>
      </c>
      <c r="DI164" s="86">
        <v>2.0</v>
      </c>
      <c r="DJ164" s="87" t="s">
        <v>64</v>
      </c>
      <c r="DK164" s="87" t="s">
        <v>64</v>
      </c>
      <c r="DL164" s="87" t="s">
        <v>64</v>
      </c>
      <c r="DM164" s="50"/>
      <c r="DO164" s="59" t="s">
        <v>2921</v>
      </c>
      <c r="DQ164" s="86">
        <v>0.0</v>
      </c>
      <c r="DR164" s="86">
        <v>2.0</v>
      </c>
      <c r="DS164" s="86">
        <v>1.0</v>
      </c>
      <c r="DT164" s="86">
        <v>1.0</v>
      </c>
      <c r="DU164" s="86">
        <v>2.0</v>
      </c>
      <c r="DV164" s="86">
        <v>1.0</v>
      </c>
      <c r="DW164" s="86">
        <v>2.0</v>
      </c>
      <c r="DX164" s="87" t="s">
        <v>64</v>
      </c>
      <c r="DY164" s="87" t="s">
        <v>64</v>
      </c>
      <c r="DZ164" s="87" t="s">
        <v>64</v>
      </c>
      <c r="EA164" s="50"/>
    </row>
    <row r="165" ht="15.75" customHeight="1">
      <c r="A165" s="11">
        <v>15.0</v>
      </c>
      <c r="B165" s="11" t="s">
        <v>288</v>
      </c>
      <c r="C165" s="11" t="str">
        <f t="array" ref="C165">IFERROR(INDEX(DOCUMENTOS!$E:$E,MATCH($A165,DOCUMENTOS!$A:$A,0)),"")</f>
        <v/>
      </c>
      <c r="D165" s="11" t="str">
        <f t="array" ref="D165">IFERROR(INDEX('BANCO DE PERGUNTAS'!$D:$D,MATCH($B165,'BANCO DE PERGUNTAS'!$A:$A,0)),"")</f>
        <v>Identifique situações que possam representar risco administrativo.</v>
      </c>
      <c r="E165" s="11" t="str">
        <f t="array" ref="E165">IFERROR(INDEX('BANCO DE PERGUNTAS'!$B:$B,MATCH($B165,'BANCO DE PERGUNTAS'!$A:$A,0)),"")</f>
        <v>Análise de Risco</v>
      </c>
      <c r="F165" s="12">
        <f t="array" ref="F165">IFERROR(INDEX('BANCO DE PERGUNTAS'!$H:$H,MATCH($B165,'BANCO DE PERGUNTAS'!$A:$A,0)),"")</f>
        <v>4</v>
      </c>
      <c r="I165" s="50"/>
      <c r="J165" s="50"/>
      <c r="K165" s="50"/>
      <c r="L165" s="50"/>
      <c r="M165" s="50"/>
      <c r="N165" s="50"/>
      <c r="O165" s="50"/>
      <c r="P165" s="50"/>
      <c r="Q165" s="50"/>
      <c r="R165" s="50"/>
      <c r="S165" s="50"/>
      <c r="U165" s="101" t="s">
        <v>2922</v>
      </c>
      <c r="W165" s="86">
        <v>1.0</v>
      </c>
      <c r="X165" s="86">
        <v>2.0</v>
      </c>
      <c r="Y165" s="86">
        <v>1.0</v>
      </c>
      <c r="Z165" s="86">
        <v>1.0</v>
      </c>
      <c r="AA165" s="86">
        <v>2.0</v>
      </c>
      <c r="AB165" s="86">
        <v>1.0</v>
      </c>
      <c r="AC165" s="86">
        <v>2.0</v>
      </c>
      <c r="AD165" s="87" t="s">
        <v>64</v>
      </c>
      <c r="AE165" s="87" t="s">
        <v>64</v>
      </c>
      <c r="AF165" s="87" t="s">
        <v>64</v>
      </c>
      <c r="AG165" s="50"/>
      <c r="AI165" s="103" t="s">
        <v>2923</v>
      </c>
      <c r="AK165" s="86">
        <v>1.0</v>
      </c>
      <c r="AL165" s="86">
        <v>2.0</v>
      </c>
      <c r="AM165" s="86">
        <v>1.0</v>
      </c>
      <c r="AN165" s="86">
        <v>1.0</v>
      </c>
      <c r="AO165" s="86">
        <v>2.0</v>
      </c>
      <c r="AP165" s="86">
        <v>1.0</v>
      </c>
      <c r="AQ165" s="86">
        <v>2.0</v>
      </c>
      <c r="AR165" s="87" t="s">
        <v>64</v>
      </c>
      <c r="AS165" s="87" t="s">
        <v>64</v>
      </c>
      <c r="AT165" s="87" t="s">
        <v>64</v>
      </c>
      <c r="AU165" s="50"/>
      <c r="AY165" s="50"/>
      <c r="AZ165" s="50"/>
      <c r="BA165" s="50"/>
      <c r="BB165" s="50"/>
      <c r="BC165" s="50"/>
      <c r="BD165" s="50"/>
      <c r="BE165" s="50"/>
      <c r="BF165" s="50"/>
      <c r="BG165" s="50"/>
      <c r="BH165" s="50"/>
      <c r="BI165" s="50"/>
      <c r="BK165" s="104" t="s">
        <v>2924</v>
      </c>
      <c r="BM165" s="86">
        <v>1.0</v>
      </c>
      <c r="BN165" s="86">
        <v>2.0</v>
      </c>
      <c r="BO165" s="86">
        <v>1.0</v>
      </c>
      <c r="BP165" s="86">
        <v>1.0</v>
      </c>
      <c r="BQ165" s="86">
        <v>2.0</v>
      </c>
      <c r="BR165" s="86">
        <v>1.0</v>
      </c>
      <c r="BS165" s="86">
        <v>2.0</v>
      </c>
      <c r="BT165" s="87" t="s">
        <v>64</v>
      </c>
      <c r="BU165" s="87" t="s">
        <v>64</v>
      </c>
      <c r="BV165" s="87" t="s">
        <v>64</v>
      </c>
      <c r="BW165" s="50"/>
      <c r="BY165" s="53" t="s">
        <v>2925</v>
      </c>
      <c r="CA165" s="86">
        <v>2.0</v>
      </c>
      <c r="CB165" s="86">
        <v>2.0</v>
      </c>
      <c r="CC165" s="86">
        <v>2.0</v>
      </c>
      <c r="CD165" s="86">
        <v>2.0</v>
      </c>
      <c r="CE165" s="86">
        <v>2.0</v>
      </c>
      <c r="CF165" s="86">
        <v>2.0</v>
      </c>
      <c r="CG165" s="86">
        <v>2.0</v>
      </c>
      <c r="CH165" s="87" t="s">
        <v>64</v>
      </c>
      <c r="CI165" s="87" t="s">
        <v>64</v>
      </c>
      <c r="CJ165" s="87" t="s">
        <v>64</v>
      </c>
      <c r="CK165" s="50"/>
      <c r="CO165" s="50"/>
      <c r="CP165" s="50"/>
      <c r="CQ165" s="50"/>
      <c r="CR165" s="50"/>
      <c r="CS165" s="50"/>
      <c r="CT165" s="50"/>
      <c r="CU165" s="50"/>
      <c r="CV165" s="50"/>
      <c r="CW165" s="50"/>
      <c r="CX165" s="50"/>
      <c r="CY165" s="50"/>
      <c r="DA165" s="53" t="s">
        <v>2926</v>
      </c>
      <c r="DC165" s="86">
        <v>1.0</v>
      </c>
      <c r="DD165" s="86">
        <v>2.0</v>
      </c>
      <c r="DE165" s="86">
        <v>1.0</v>
      </c>
      <c r="DF165" s="86">
        <v>1.0</v>
      </c>
      <c r="DG165" s="86">
        <v>2.0</v>
      </c>
      <c r="DH165" s="86">
        <v>1.0</v>
      </c>
      <c r="DI165" s="86">
        <v>2.0</v>
      </c>
      <c r="DJ165" s="87" t="s">
        <v>64</v>
      </c>
      <c r="DK165" s="87" t="s">
        <v>64</v>
      </c>
      <c r="DL165" s="87" t="s">
        <v>64</v>
      </c>
      <c r="DM165" s="50"/>
      <c r="DO165" s="59" t="s">
        <v>2927</v>
      </c>
      <c r="DQ165" s="86">
        <v>0.0</v>
      </c>
      <c r="DR165" s="86">
        <v>2.0</v>
      </c>
      <c r="DS165" s="86">
        <v>1.0</v>
      </c>
      <c r="DT165" s="86">
        <v>1.0</v>
      </c>
      <c r="DU165" s="86">
        <v>2.0</v>
      </c>
      <c r="DV165" s="86">
        <v>1.0</v>
      </c>
      <c r="DW165" s="86">
        <v>2.0</v>
      </c>
      <c r="DX165" s="87" t="s">
        <v>64</v>
      </c>
      <c r="DY165" s="87" t="s">
        <v>64</v>
      </c>
      <c r="DZ165" s="87" t="s">
        <v>64</v>
      </c>
      <c r="EA165" s="50"/>
    </row>
    <row r="166" ht="15.75" customHeight="1">
      <c r="A166" s="14">
        <v>15.0</v>
      </c>
      <c r="B166" s="14" t="s">
        <v>294</v>
      </c>
      <c r="C166" s="14" t="str">
        <f t="array" ref="C166">IFERROR(INDEX(DOCUMENTOS!$E:$E,MATCH($A166,DOCUMENTOS!$A:$A,0)),"")</f>
        <v/>
      </c>
      <c r="D166" s="14" t="str">
        <f t="array" ref="D166">IFERROR(INDEX('BANCO DE PERGUNTAS'!$D:$D,MATCH($B166,'BANCO DE PERGUNTAS'!$A:$A,0)),"")</f>
        <v>Resuma o documento em até cinco pontos objetivos.</v>
      </c>
      <c r="E166" s="14" t="str">
        <f t="array" ref="E166">IFERROR(INDEX('BANCO DE PERGUNTAS'!$B:$B,MATCH($B166,'BANCO DE PERGUNTAS'!$A:$A,0)),"")</f>
        <v>Síntese</v>
      </c>
      <c r="F166" s="17">
        <f t="array" ref="F166">IFERROR(INDEX('BANCO DE PERGUNTAS'!$H:$H,MATCH($B166,'BANCO DE PERGUNTAS'!$A:$A,0)),"")</f>
        <v>3</v>
      </c>
      <c r="I166" s="50"/>
      <c r="J166" s="50"/>
      <c r="K166" s="50"/>
      <c r="L166" s="50"/>
      <c r="M166" s="50"/>
      <c r="N166" s="50"/>
      <c r="O166" s="50"/>
      <c r="P166" s="50"/>
      <c r="Q166" s="50"/>
      <c r="R166" s="50"/>
      <c r="S166" s="50"/>
      <c r="U166" s="97" t="s">
        <v>2928</v>
      </c>
      <c r="W166" s="86">
        <v>2.0</v>
      </c>
      <c r="X166" s="86">
        <v>2.0</v>
      </c>
      <c r="Y166" s="86">
        <v>2.0</v>
      </c>
      <c r="Z166" s="86">
        <v>2.0</v>
      </c>
      <c r="AA166" s="86">
        <v>2.0</v>
      </c>
      <c r="AB166" s="86">
        <v>2.0</v>
      </c>
      <c r="AC166" s="86">
        <v>2.0</v>
      </c>
      <c r="AD166" s="87" t="s">
        <v>64</v>
      </c>
      <c r="AE166" s="87" t="s">
        <v>64</v>
      </c>
      <c r="AF166" s="87" t="s">
        <v>64</v>
      </c>
      <c r="AG166" s="50"/>
      <c r="AI166" s="103" t="s">
        <v>2929</v>
      </c>
      <c r="AK166" s="86">
        <v>2.0</v>
      </c>
      <c r="AL166" s="86">
        <v>2.0</v>
      </c>
      <c r="AM166" s="86">
        <v>2.0</v>
      </c>
      <c r="AN166" s="86">
        <v>2.0</v>
      </c>
      <c r="AO166" s="86">
        <v>2.0</v>
      </c>
      <c r="AP166" s="86">
        <v>2.0</v>
      </c>
      <c r="AQ166" s="86">
        <v>2.0</v>
      </c>
      <c r="AR166" s="87" t="s">
        <v>64</v>
      </c>
      <c r="AS166" s="87" t="s">
        <v>64</v>
      </c>
      <c r="AT166" s="87" t="s">
        <v>64</v>
      </c>
      <c r="AU166" s="50"/>
      <c r="AY166" s="50"/>
      <c r="AZ166" s="50"/>
      <c r="BA166" s="50"/>
      <c r="BB166" s="50"/>
      <c r="BC166" s="50"/>
      <c r="BD166" s="50"/>
      <c r="BE166" s="50"/>
      <c r="BF166" s="50"/>
      <c r="BG166" s="50"/>
      <c r="BH166" s="50"/>
      <c r="BI166" s="50"/>
      <c r="BK166" s="104" t="s">
        <v>2930</v>
      </c>
      <c r="BM166" s="86">
        <v>2.0</v>
      </c>
      <c r="BN166" s="86">
        <v>2.0</v>
      </c>
      <c r="BO166" s="86">
        <v>2.0</v>
      </c>
      <c r="BP166" s="86">
        <v>2.0</v>
      </c>
      <c r="BQ166" s="86">
        <v>2.0</v>
      </c>
      <c r="BR166" s="86">
        <v>2.0</v>
      </c>
      <c r="BS166" s="86">
        <v>2.0</v>
      </c>
      <c r="BT166" s="87" t="s">
        <v>64</v>
      </c>
      <c r="BU166" s="87" t="s">
        <v>64</v>
      </c>
      <c r="BV166" s="87" t="s">
        <v>64</v>
      </c>
      <c r="BW166" s="50"/>
      <c r="BY166" s="53" t="s">
        <v>2931</v>
      </c>
      <c r="CA166" s="86">
        <v>2.0</v>
      </c>
      <c r="CB166" s="86">
        <v>2.0</v>
      </c>
      <c r="CC166" s="86">
        <v>2.0</v>
      </c>
      <c r="CD166" s="86">
        <v>2.0</v>
      </c>
      <c r="CE166" s="86">
        <v>2.0</v>
      </c>
      <c r="CF166" s="86">
        <v>2.0</v>
      </c>
      <c r="CG166" s="86">
        <v>2.0</v>
      </c>
      <c r="CH166" s="87" t="s">
        <v>64</v>
      </c>
      <c r="CI166" s="87" t="s">
        <v>64</v>
      </c>
      <c r="CJ166" s="87" t="s">
        <v>64</v>
      </c>
      <c r="CK166" s="50"/>
      <c r="CO166" s="50"/>
      <c r="CP166" s="50"/>
      <c r="CQ166" s="50"/>
      <c r="CR166" s="50"/>
      <c r="CS166" s="50"/>
      <c r="CT166" s="50"/>
      <c r="CU166" s="50"/>
      <c r="CV166" s="50"/>
      <c r="CW166" s="50"/>
      <c r="CX166" s="50"/>
      <c r="CY166" s="50"/>
      <c r="DA166" s="53" t="s">
        <v>2932</v>
      </c>
      <c r="DC166" s="86">
        <v>2.0</v>
      </c>
      <c r="DD166" s="86">
        <v>2.0</v>
      </c>
      <c r="DE166" s="86">
        <v>2.0</v>
      </c>
      <c r="DF166" s="86">
        <v>2.0</v>
      </c>
      <c r="DG166" s="86">
        <v>2.0</v>
      </c>
      <c r="DH166" s="86">
        <v>2.0</v>
      </c>
      <c r="DI166" s="86">
        <v>2.0</v>
      </c>
      <c r="DJ166" s="87" t="s">
        <v>64</v>
      </c>
      <c r="DK166" s="87" t="s">
        <v>64</v>
      </c>
      <c r="DL166" s="87" t="s">
        <v>64</v>
      </c>
      <c r="DM166" s="50"/>
      <c r="DO166" s="59" t="s">
        <v>2933</v>
      </c>
      <c r="DQ166" s="86">
        <v>2.0</v>
      </c>
      <c r="DR166" s="86">
        <v>2.0</v>
      </c>
      <c r="DS166" s="86">
        <v>2.0</v>
      </c>
      <c r="DT166" s="86">
        <v>2.0</v>
      </c>
      <c r="DU166" s="86">
        <v>2.0</v>
      </c>
      <c r="DV166" s="86">
        <v>2.0</v>
      </c>
      <c r="DW166" s="86">
        <v>2.0</v>
      </c>
      <c r="DX166" s="87" t="s">
        <v>64</v>
      </c>
      <c r="DY166" s="87" t="s">
        <v>64</v>
      </c>
      <c r="DZ166" s="87" t="s">
        <v>64</v>
      </c>
      <c r="EA166" s="50"/>
    </row>
    <row r="167" ht="15.75" customHeight="1">
      <c r="A167" s="11">
        <v>15.0</v>
      </c>
      <c r="B167" s="11" t="s">
        <v>302</v>
      </c>
      <c r="C167" s="11" t="str">
        <f t="array" ref="C167">IFERROR(INDEX(DOCUMENTOS!$E:$E,MATCH($A167,DOCUMENTOS!$A:$A,0)),"")</f>
        <v/>
      </c>
      <c r="D167" s="11" t="str">
        <f t="array" ref="D167">IFERROR(INDEX('BANCO DE PERGUNTAS'!$D:$D,MATCH($B167,'BANCO DE PERGUNTAS'!$A:$A,0)),"")</f>
        <v>Qual é a principal finalidade do documento?</v>
      </c>
      <c r="E167" s="11" t="str">
        <f t="array" ref="E167">IFERROR(INDEX('BANCO DE PERGUNTAS'!$B:$B,MATCH($B167,'BANCO DE PERGUNTAS'!$A:$A,0)),"")</f>
        <v>Síntese</v>
      </c>
      <c r="F167" s="12">
        <f t="array" ref="F167">IFERROR(INDEX('BANCO DE PERGUNTAS'!$H:$H,MATCH($B167,'BANCO DE PERGUNTAS'!$A:$A,0)),"")</f>
        <v>2</v>
      </c>
      <c r="I167" s="50"/>
      <c r="J167" s="50"/>
      <c r="K167" s="50"/>
      <c r="L167" s="50"/>
      <c r="M167" s="50"/>
      <c r="N167" s="50"/>
      <c r="O167" s="50"/>
      <c r="P167" s="50"/>
      <c r="Q167" s="50"/>
      <c r="R167" s="50"/>
      <c r="S167" s="50"/>
      <c r="U167" s="101" t="s">
        <v>2934</v>
      </c>
      <c r="W167" s="86">
        <v>2.0</v>
      </c>
      <c r="X167" s="86">
        <v>2.0</v>
      </c>
      <c r="Y167" s="86">
        <v>2.0</v>
      </c>
      <c r="Z167" s="86">
        <v>2.0</v>
      </c>
      <c r="AA167" s="86">
        <v>2.0</v>
      </c>
      <c r="AB167" s="86">
        <v>2.0</v>
      </c>
      <c r="AC167" s="86">
        <v>2.0</v>
      </c>
      <c r="AD167" s="87" t="s">
        <v>64</v>
      </c>
      <c r="AE167" s="87" t="s">
        <v>64</v>
      </c>
      <c r="AF167" s="87" t="s">
        <v>64</v>
      </c>
      <c r="AG167" s="50"/>
      <c r="AI167" s="103" t="s">
        <v>2935</v>
      </c>
      <c r="AK167" s="86">
        <v>2.0</v>
      </c>
      <c r="AL167" s="86">
        <v>2.0</v>
      </c>
      <c r="AM167" s="86">
        <v>2.0</v>
      </c>
      <c r="AN167" s="86">
        <v>2.0</v>
      </c>
      <c r="AO167" s="86">
        <v>2.0</v>
      </c>
      <c r="AP167" s="86">
        <v>2.0</v>
      </c>
      <c r="AQ167" s="86">
        <v>2.0</v>
      </c>
      <c r="AR167" s="87" t="s">
        <v>64</v>
      </c>
      <c r="AS167" s="87" t="s">
        <v>64</v>
      </c>
      <c r="AT167" s="87" t="s">
        <v>64</v>
      </c>
      <c r="AU167" s="50"/>
      <c r="AY167" s="50"/>
      <c r="AZ167" s="50"/>
      <c r="BA167" s="50"/>
      <c r="BB167" s="50"/>
      <c r="BC167" s="50"/>
      <c r="BD167" s="50"/>
      <c r="BE167" s="50"/>
      <c r="BF167" s="50"/>
      <c r="BG167" s="50"/>
      <c r="BH167" s="50"/>
      <c r="BI167" s="50"/>
      <c r="BK167" s="104" t="s">
        <v>2936</v>
      </c>
      <c r="BM167" s="86">
        <v>2.0</v>
      </c>
      <c r="BN167" s="86">
        <v>2.0</v>
      </c>
      <c r="BO167" s="86">
        <v>2.0</v>
      </c>
      <c r="BP167" s="86">
        <v>2.0</v>
      </c>
      <c r="BQ167" s="86">
        <v>2.0</v>
      </c>
      <c r="BR167" s="86">
        <v>2.0</v>
      </c>
      <c r="BS167" s="86">
        <v>2.0</v>
      </c>
      <c r="BT167" s="87" t="s">
        <v>64</v>
      </c>
      <c r="BU167" s="87" t="s">
        <v>64</v>
      </c>
      <c r="BV167" s="87" t="s">
        <v>64</v>
      </c>
      <c r="BW167" s="50"/>
      <c r="BY167" s="53" t="s">
        <v>2937</v>
      </c>
      <c r="CA167" s="86">
        <v>2.0</v>
      </c>
      <c r="CB167" s="86">
        <v>2.0</v>
      </c>
      <c r="CC167" s="86">
        <v>2.0</v>
      </c>
      <c r="CD167" s="86">
        <v>2.0</v>
      </c>
      <c r="CE167" s="86">
        <v>2.0</v>
      </c>
      <c r="CF167" s="86">
        <v>2.0</v>
      </c>
      <c r="CG167" s="86">
        <v>2.0</v>
      </c>
      <c r="CH167" s="87" t="s">
        <v>64</v>
      </c>
      <c r="CI167" s="87" t="s">
        <v>64</v>
      </c>
      <c r="CJ167" s="87" t="s">
        <v>64</v>
      </c>
      <c r="CK167" s="50"/>
      <c r="CO167" s="50"/>
      <c r="CP167" s="50"/>
      <c r="CQ167" s="50"/>
      <c r="CR167" s="50"/>
      <c r="CS167" s="50"/>
      <c r="CT167" s="50"/>
      <c r="CU167" s="50"/>
      <c r="CV167" s="50"/>
      <c r="CW167" s="50"/>
      <c r="CX167" s="50"/>
      <c r="CY167" s="50"/>
      <c r="DA167" s="53" t="s">
        <v>2938</v>
      </c>
      <c r="DC167" s="86">
        <v>2.0</v>
      </c>
      <c r="DD167" s="86">
        <v>2.0</v>
      </c>
      <c r="DE167" s="86">
        <v>2.0</v>
      </c>
      <c r="DF167" s="86">
        <v>2.0</v>
      </c>
      <c r="DG167" s="86">
        <v>2.0</v>
      </c>
      <c r="DH167" s="86">
        <v>2.0</v>
      </c>
      <c r="DI167" s="86">
        <v>2.0</v>
      </c>
      <c r="DJ167" s="87" t="s">
        <v>64</v>
      </c>
      <c r="DK167" s="87" t="s">
        <v>64</v>
      </c>
      <c r="DL167" s="87" t="s">
        <v>64</v>
      </c>
      <c r="DM167" s="50"/>
      <c r="DO167" s="59" t="s">
        <v>2939</v>
      </c>
      <c r="DQ167" s="86">
        <v>2.0</v>
      </c>
      <c r="DR167" s="86">
        <v>2.0</v>
      </c>
      <c r="DS167" s="86">
        <v>2.0</v>
      </c>
      <c r="DT167" s="86">
        <v>2.0</v>
      </c>
      <c r="DU167" s="86">
        <v>2.0</v>
      </c>
      <c r="DV167" s="86">
        <v>2.0</v>
      </c>
      <c r="DW167" s="86">
        <v>2.0</v>
      </c>
      <c r="DX167" s="87" t="s">
        <v>64</v>
      </c>
      <c r="DY167" s="87" t="s">
        <v>64</v>
      </c>
      <c r="DZ167" s="87" t="s">
        <v>64</v>
      </c>
      <c r="EA167" s="50"/>
    </row>
    <row r="168" ht="15.75" customHeight="1">
      <c r="A168" s="14">
        <v>15.0</v>
      </c>
      <c r="B168" s="14" t="s">
        <v>307</v>
      </c>
      <c r="C168" s="14" t="str">
        <f t="array" ref="C168">IFERROR(INDEX(DOCUMENTOS!$E:$E,MATCH($A168,DOCUMENTOS!$A:$A,0)),"")</f>
        <v/>
      </c>
      <c r="D168" s="14" t="str">
        <f t="array" ref="D168">IFERROR(INDEX('BANCO DE PERGUNTAS'!$D:$D,MATCH($B168,'BANCO DE PERGUNTAS'!$A:$A,0)),"")</f>
        <v>Quais são as três informações mais importantes para um servidor responsável pela análise?</v>
      </c>
      <c r="E168" s="14" t="str">
        <f t="array" ref="E168">IFERROR(INDEX('BANCO DE PERGUNTAS'!$B:$B,MATCH($B168,'BANCO DE PERGUNTAS'!$A:$A,0)),"")</f>
        <v>Síntese</v>
      </c>
      <c r="F168" s="17">
        <f t="array" ref="F168">IFERROR(INDEX('BANCO DE PERGUNTAS'!$H:$H,MATCH($B168,'BANCO DE PERGUNTAS'!$A:$A,0)),"")</f>
        <v>3</v>
      </c>
      <c r="I168" s="50"/>
      <c r="J168" s="50"/>
      <c r="K168" s="50"/>
      <c r="L168" s="50"/>
      <c r="M168" s="50"/>
      <c r="N168" s="50"/>
      <c r="O168" s="50"/>
      <c r="P168" s="50"/>
      <c r="Q168" s="50"/>
      <c r="R168" s="50"/>
      <c r="S168" s="50"/>
      <c r="U168" s="97" t="s">
        <v>2940</v>
      </c>
      <c r="W168" s="86">
        <v>2.0</v>
      </c>
      <c r="X168" s="86">
        <v>2.0</v>
      </c>
      <c r="Y168" s="86">
        <v>2.0</v>
      </c>
      <c r="Z168" s="86">
        <v>2.0</v>
      </c>
      <c r="AA168" s="86">
        <v>2.0</v>
      </c>
      <c r="AB168" s="86">
        <v>2.0</v>
      </c>
      <c r="AC168" s="86">
        <v>2.0</v>
      </c>
      <c r="AD168" s="87" t="s">
        <v>64</v>
      </c>
      <c r="AE168" s="87" t="s">
        <v>64</v>
      </c>
      <c r="AF168" s="87" t="s">
        <v>64</v>
      </c>
      <c r="AG168" s="50"/>
      <c r="AI168" s="105" t="s">
        <v>2941</v>
      </c>
      <c r="AK168" s="86">
        <v>2.0</v>
      </c>
      <c r="AL168" s="86">
        <v>2.0</v>
      </c>
      <c r="AM168" s="86">
        <v>2.0</v>
      </c>
      <c r="AN168" s="86">
        <v>2.0</v>
      </c>
      <c r="AO168" s="86">
        <v>2.0</v>
      </c>
      <c r="AP168" s="86">
        <v>2.0</v>
      </c>
      <c r="AQ168" s="86">
        <v>2.0</v>
      </c>
      <c r="AR168" s="87" t="s">
        <v>64</v>
      </c>
      <c r="AS168" s="87" t="s">
        <v>64</v>
      </c>
      <c r="AT168" s="87" t="s">
        <v>64</v>
      </c>
      <c r="AU168" s="50"/>
      <c r="AY168" s="50"/>
      <c r="AZ168" s="50"/>
      <c r="BA168" s="50"/>
      <c r="BB168" s="50"/>
      <c r="BC168" s="50"/>
      <c r="BD168" s="50"/>
      <c r="BE168" s="50"/>
      <c r="BF168" s="50"/>
      <c r="BG168" s="50"/>
      <c r="BH168" s="50"/>
      <c r="BI168" s="50"/>
      <c r="BK168" s="104" t="s">
        <v>2942</v>
      </c>
      <c r="BM168" s="86">
        <v>2.0</v>
      </c>
      <c r="BN168" s="86">
        <v>2.0</v>
      </c>
      <c r="BO168" s="86">
        <v>2.0</v>
      </c>
      <c r="BP168" s="86">
        <v>2.0</v>
      </c>
      <c r="BQ168" s="86">
        <v>2.0</v>
      </c>
      <c r="BR168" s="86">
        <v>2.0</v>
      </c>
      <c r="BS168" s="86">
        <v>2.0</v>
      </c>
      <c r="BT168" s="87" t="s">
        <v>64</v>
      </c>
      <c r="BU168" s="87" t="s">
        <v>64</v>
      </c>
      <c r="BV168" s="87" t="s">
        <v>64</v>
      </c>
      <c r="BW168" s="50"/>
      <c r="BY168" s="53" t="s">
        <v>2943</v>
      </c>
      <c r="CA168" s="86">
        <v>2.0</v>
      </c>
      <c r="CB168" s="86">
        <v>2.0</v>
      </c>
      <c r="CC168" s="86">
        <v>2.0</v>
      </c>
      <c r="CD168" s="86">
        <v>2.0</v>
      </c>
      <c r="CE168" s="86">
        <v>2.0</v>
      </c>
      <c r="CF168" s="86">
        <v>2.0</v>
      </c>
      <c r="CG168" s="86">
        <v>2.0</v>
      </c>
      <c r="CH168" s="87" t="s">
        <v>64</v>
      </c>
      <c r="CI168" s="87" t="s">
        <v>64</v>
      </c>
      <c r="CJ168" s="87" t="s">
        <v>64</v>
      </c>
      <c r="CK168" s="50"/>
      <c r="CO168" s="50"/>
      <c r="CP168" s="50"/>
      <c r="CQ168" s="50"/>
      <c r="CR168" s="50"/>
      <c r="CS168" s="50"/>
      <c r="CT168" s="50"/>
      <c r="CU168" s="50"/>
      <c r="CV168" s="50"/>
      <c r="CW168" s="50"/>
      <c r="CX168" s="50"/>
      <c r="CY168" s="50"/>
      <c r="DA168" s="53" t="s">
        <v>2944</v>
      </c>
      <c r="DC168" s="86">
        <v>2.0</v>
      </c>
      <c r="DD168" s="86">
        <v>2.0</v>
      </c>
      <c r="DE168" s="86">
        <v>2.0</v>
      </c>
      <c r="DF168" s="86">
        <v>2.0</v>
      </c>
      <c r="DG168" s="86">
        <v>2.0</v>
      </c>
      <c r="DH168" s="86">
        <v>2.0</v>
      </c>
      <c r="DI168" s="86">
        <v>2.0</v>
      </c>
      <c r="DJ168" s="87" t="s">
        <v>64</v>
      </c>
      <c r="DK168" s="87" t="s">
        <v>64</v>
      </c>
      <c r="DL168" s="87" t="s">
        <v>64</v>
      </c>
      <c r="DM168" s="50"/>
      <c r="DO168" s="59" t="s">
        <v>2945</v>
      </c>
      <c r="DQ168" s="86">
        <v>2.0</v>
      </c>
      <c r="DR168" s="86">
        <v>2.0</v>
      </c>
      <c r="DS168" s="86">
        <v>2.0</v>
      </c>
      <c r="DT168" s="86">
        <v>2.0</v>
      </c>
      <c r="DU168" s="86">
        <v>2.0</v>
      </c>
      <c r="DV168" s="86">
        <v>2.0</v>
      </c>
      <c r="DW168" s="86">
        <v>2.0</v>
      </c>
      <c r="DX168" s="87" t="s">
        <v>64</v>
      </c>
      <c r="DY168" s="87" t="s">
        <v>64</v>
      </c>
      <c r="DZ168" s="87" t="s">
        <v>64</v>
      </c>
      <c r="EA168" s="50"/>
    </row>
    <row r="169" ht="15.75" customHeight="1">
      <c r="A169" s="11">
        <v>16.0</v>
      </c>
      <c r="B169" s="11" t="s">
        <v>33</v>
      </c>
      <c r="C169" s="11" t="str">
        <f t="array" ref="C169">IFERROR(INDEX(DOCUMENTOS!$E:$E,MATCH($A169,DOCUMENTOS!$A:$A,0)),"")</f>
        <v/>
      </c>
      <c r="D169" s="11" t="str">
        <f t="array" ref="D169">IFERROR(INDEX('BANCO DE PERGUNTAS'!$D:$D,MATCH($B169,'BANCO DE PERGUNTAS'!$A:$A,0)),"")</f>
        <v>Qual é o objeto principal deste documento?</v>
      </c>
      <c r="E169" s="11" t="str">
        <f t="array" ref="E169">IFERROR(INDEX('BANCO DE PERGUNTAS'!$B:$B,MATCH($B169,'BANCO DE PERGUNTAS'!$A:$A,0)),"")</f>
        <v>Identificação</v>
      </c>
      <c r="F169" s="12">
        <f t="array" ref="F169">IFERROR(INDEX('BANCO DE PERGUNTAS'!$H:$H,MATCH($B169,'BANCO DE PERGUNTAS'!$A:$A,0)),"")</f>
        <v>1</v>
      </c>
      <c r="I169" s="50"/>
      <c r="J169" s="50"/>
      <c r="K169" s="50"/>
      <c r="L169" s="50"/>
      <c r="M169" s="50"/>
      <c r="N169" s="50"/>
      <c r="O169" s="50"/>
      <c r="P169" s="50"/>
      <c r="Q169" s="50"/>
      <c r="R169" s="50"/>
      <c r="S169" s="50"/>
      <c r="U169" s="97" t="s">
        <v>2946</v>
      </c>
      <c r="W169" s="86">
        <v>2.0</v>
      </c>
      <c r="X169" s="86">
        <v>2.0</v>
      </c>
      <c r="Y169" s="86">
        <v>2.0</v>
      </c>
      <c r="Z169" s="86">
        <v>2.0</v>
      </c>
      <c r="AA169" s="86">
        <v>2.0</v>
      </c>
      <c r="AB169" s="86">
        <v>2.0</v>
      </c>
      <c r="AC169" s="86">
        <v>2.0</v>
      </c>
      <c r="AD169" s="87" t="s">
        <v>64</v>
      </c>
      <c r="AE169" s="87" t="s">
        <v>64</v>
      </c>
      <c r="AF169" s="87" t="s">
        <v>64</v>
      </c>
      <c r="AG169" s="50"/>
      <c r="AI169" s="106" t="s">
        <v>2947</v>
      </c>
      <c r="AK169" s="86">
        <v>2.0</v>
      </c>
      <c r="AL169" s="86">
        <v>2.0</v>
      </c>
      <c r="AM169" s="86">
        <v>2.0</v>
      </c>
      <c r="AN169" s="86">
        <v>2.0</v>
      </c>
      <c r="AO169" s="86">
        <v>2.0</v>
      </c>
      <c r="AP169" s="86">
        <v>2.0</v>
      </c>
      <c r="AQ169" s="86">
        <v>2.0</v>
      </c>
      <c r="AR169" s="87" t="s">
        <v>64</v>
      </c>
      <c r="AS169" s="87" t="s">
        <v>64</v>
      </c>
      <c r="AT169" s="87" t="s">
        <v>64</v>
      </c>
      <c r="AU169" s="50"/>
      <c r="AY169" s="50"/>
      <c r="AZ169" s="50"/>
      <c r="BA169" s="50"/>
      <c r="BB169" s="50"/>
      <c r="BC169" s="50"/>
      <c r="BD169" s="50"/>
      <c r="BE169" s="50"/>
      <c r="BF169" s="50"/>
      <c r="BG169" s="50"/>
      <c r="BH169" s="50"/>
      <c r="BI169" s="50"/>
      <c r="BK169" s="104" t="s">
        <v>2948</v>
      </c>
      <c r="BM169" s="86">
        <v>2.0</v>
      </c>
      <c r="BN169" s="86">
        <v>2.0</v>
      </c>
      <c r="BO169" s="86">
        <v>2.0</v>
      </c>
      <c r="BP169" s="86">
        <v>2.0</v>
      </c>
      <c r="BQ169" s="86">
        <v>2.0</v>
      </c>
      <c r="BR169" s="86">
        <v>2.0</v>
      </c>
      <c r="BS169" s="86">
        <v>2.0</v>
      </c>
      <c r="BT169" s="87" t="s">
        <v>64</v>
      </c>
      <c r="BU169" s="87" t="s">
        <v>64</v>
      </c>
      <c r="BV169" s="87" t="s">
        <v>64</v>
      </c>
      <c r="BW169" s="50"/>
      <c r="BY169" s="53" t="s">
        <v>2949</v>
      </c>
      <c r="CA169" s="86">
        <v>2.0</v>
      </c>
      <c r="CB169" s="86">
        <v>2.0</v>
      </c>
      <c r="CC169" s="86">
        <v>2.0</v>
      </c>
      <c r="CD169" s="86">
        <v>2.0</v>
      </c>
      <c r="CE169" s="86">
        <v>2.0</v>
      </c>
      <c r="CF169" s="86">
        <v>2.0</v>
      </c>
      <c r="CG169" s="86">
        <v>2.0</v>
      </c>
      <c r="CH169" s="87" t="s">
        <v>64</v>
      </c>
      <c r="CI169" s="87" t="s">
        <v>64</v>
      </c>
      <c r="CJ169" s="87" t="s">
        <v>64</v>
      </c>
      <c r="CK169" s="50"/>
      <c r="CO169" s="50"/>
      <c r="CP169" s="50"/>
      <c r="CQ169" s="50"/>
      <c r="CR169" s="50"/>
      <c r="CS169" s="50"/>
      <c r="CT169" s="50"/>
      <c r="CU169" s="50"/>
      <c r="CV169" s="50"/>
      <c r="CW169" s="50"/>
      <c r="CX169" s="50"/>
      <c r="CY169" s="50"/>
      <c r="DA169" s="53" t="s">
        <v>2950</v>
      </c>
      <c r="DC169" s="86">
        <v>2.0</v>
      </c>
      <c r="DD169" s="86">
        <v>2.0</v>
      </c>
      <c r="DE169" s="86">
        <v>1.0</v>
      </c>
      <c r="DF169" s="86">
        <v>1.0</v>
      </c>
      <c r="DG169" s="86">
        <v>2.0</v>
      </c>
      <c r="DH169" s="86">
        <v>1.0</v>
      </c>
      <c r="DI169" s="86">
        <v>2.0</v>
      </c>
      <c r="DJ169" s="50" t="s">
        <v>64</v>
      </c>
      <c r="DK169" s="50" t="s">
        <v>64</v>
      </c>
      <c r="DL169" s="50" t="s">
        <v>64</v>
      </c>
      <c r="DM169" s="50"/>
      <c r="DO169" s="107" t="s">
        <v>2951</v>
      </c>
      <c r="DQ169" s="86">
        <v>2.0</v>
      </c>
      <c r="DR169" s="86">
        <v>2.0</v>
      </c>
      <c r="DS169" s="86">
        <v>1.0</v>
      </c>
      <c r="DT169" s="86">
        <v>1.0</v>
      </c>
      <c r="DU169" s="86">
        <v>2.0</v>
      </c>
      <c r="DV169" s="86">
        <v>1.0</v>
      </c>
      <c r="DW169" s="86">
        <v>2.0</v>
      </c>
      <c r="DX169" s="50" t="s">
        <v>64</v>
      </c>
      <c r="DY169" s="50" t="s">
        <v>64</v>
      </c>
      <c r="DZ169" s="50" t="s">
        <v>64</v>
      </c>
      <c r="EA169" s="50"/>
    </row>
    <row r="170" ht="15.75" customHeight="1">
      <c r="A170" s="14">
        <v>16.0</v>
      </c>
      <c r="B170" s="14" t="s">
        <v>68</v>
      </c>
      <c r="C170" s="14" t="str">
        <f t="array" ref="C170">IFERROR(INDEX(DOCUMENTOS!$E:$E,MATCH($A170,DOCUMENTOS!$A:$A,0)),"")</f>
        <v/>
      </c>
      <c r="D170" s="14" t="str">
        <f t="array" ref="D170">IFERROR(INDEX('BANCO DE PERGUNTAS'!$D:$D,MATCH($B170,'BANCO DE PERGUNTAS'!$A:$A,0)),"")</f>
        <v>Qual é o número ou identificação do documento?</v>
      </c>
      <c r="E170" s="14" t="str">
        <f t="array" ref="E170">IFERROR(INDEX('BANCO DE PERGUNTAS'!$B:$B,MATCH($B170,'BANCO DE PERGUNTAS'!$A:$A,0)),"")</f>
        <v>Identificação</v>
      </c>
      <c r="F170" s="17">
        <f t="array" ref="F170">IFERROR(INDEX('BANCO DE PERGUNTAS'!$H:$H,MATCH($B170,'BANCO DE PERGUNTAS'!$A:$A,0)),"")</f>
        <v>1</v>
      </c>
      <c r="I170" s="50"/>
      <c r="J170" s="50"/>
      <c r="K170" s="50"/>
      <c r="L170" s="50"/>
      <c r="M170" s="50"/>
      <c r="N170" s="50"/>
      <c r="O170" s="50"/>
      <c r="P170" s="50"/>
      <c r="Q170" s="50"/>
      <c r="R170" s="50"/>
      <c r="S170" s="50"/>
      <c r="U170" s="101" t="s">
        <v>2952</v>
      </c>
      <c r="W170" s="86">
        <v>2.0</v>
      </c>
      <c r="X170" s="86">
        <v>2.0</v>
      </c>
      <c r="Y170" s="86">
        <v>2.0</v>
      </c>
      <c r="Z170" s="86">
        <v>2.0</v>
      </c>
      <c r="AA170" s="86">
        <v>2.0</v>
      </c>
      <c r="AB170" s="86">
        <v>2.0</v>
      </c>
      <c r="AC170" s="86">
        <v>2.0</v>
      </c>
      <c r="AD170" s="87" t="s">
        <v>64</v>
      </c>
      <c r="AE170" s="87" t="s">
        <v>64</v>
      </c>
      <c r="AF170" s="87" t="s">
        <v>64</v>
      </c>
      <c r="AG170" s="50"/>
      <c r="AI170" s="106" t="s">
        <v>2953</v>
      </c>
      <c r="AK170" s="86">
        <v>2.0</v>
      </c>
      <c r="AL170" s="86">
        <v>2.0</v>
      </c>
      <c r="AM170" s="86">
        <v>2.0</v>
      </c>
      <c r="AN170" s="86">
        <v>2.0</v>
      </c>
      <c r="AO170" s="86">
        <v>2.0</v>
      </c>
      <c r="AP170" s="86">
        <v>2.0</v>
      </c>
      <c r="AQ170" s="86">
        <v>2.0</v>
      </c>
      <c r="AR170" s="87" t="s">
        <v>64</v>
      </c>
      <c r="AS170" s="87" t="s">
        <v>64</v>
      </c>
      <c r="AT170" s="87" t="s">
        <v>64</v>
      </c>
      <c r="AU170" s="50"/>
      <c r="AY170" s="50"/>
      <c r="AZ170" s="50"/>
      <c r="BA170" s="50"/>
      <c r="BB170" s="50"/>
      <c r="BC170" s="50"/>
      <c r="BD170" s="50"/>
      <c r="BE170" s="50"/>
      <c r="BF170" s="50"/>
      <c r="BG170" s="50"/>
      <c r="BH170" s="50"/>
      <c r="BI170" s="50"/>
      <c r="BK170" s="104" t="s">
        <v>2954</v>
      </c>
      <c r="BM170" s="86">
        <v>2.0</v>
      </c>
      <c r="BN170" s="86">
        <v>2.0</v>
      </c>
      <c r="BO170" s="86">
        <v>2.0</v>
      </c>
      <c r="BP170" s="86">
        <v>2.0</v>
      </c>
      <c r="BQ170" s="86">
        <v>2.0</v>
      </c>
      <c r="BR170" s="86">
        <v>2.0</v>
      </c>
      <c r="BS170" s="86">
        <v>2.0</v>
      </c>
      <c r="BT170" s="87" t="s">
        <v>64</v>
      </c>
      <c r="BU170" s="87" t="s">
        <v>64</v>
      </c>
      <c r="BV170" s="87" t="s">
        <v>64</v>
      </c>
      <c r="BW170" s="50"/>
      <c r="BY170" s="108" t="s">
        <v>2955</v>
      </c>
      <c r="CA170" s="86">
        <v>2.0</v>
      </c>
      <c r="CB170" s="86">
        <v>2.0</v>
      </c>
      <c r="CC170" s="86">
        <v>2.0</v>
      </c>
      <c r="CD170" s="86">
        <v>2.0</v>
      </c>
      <c r="CE170" s="86">
        <v>2.0</v>
      </c>
      <c r="CF170" s="86">
        <v>2.0</v>
      </c>
      <c r="CG170" s="86">
        <v>2.0</v>
      </c>
      <c r="CH170" s="87" t="s">
        <v>64</v>
      </c>
      <c r="CI170" s="87" t="s">
        <v>64</v>
      </c>
      <c r="CJ170" s="87" t="s">
        <v>64</v>
      </c>
      <c r="CK170" s="50"/>
      <c r="CO170" s="50"/>
      <c r="CP170" s="50"/>
      <c r="CQ170" s="50"/>
      <c r="CR170" s="50"/>
      <c r="CS170" s="50"/>
      <c r="CT170" s="50"/>
      <c r="CU170" s="50"/>
      <c r="CV170" s="50"/>
      <c r="CW170" s="50"/>
      <c r="CX170" s="50"/>
      <c r="CY170" s="50"/>
      <c r="DA170" s="53" t="s">
        <v>2956</v>
      </c>
      <c r="DC170" s="86">
        <v>2.0</v>
      </c>
      <c r="DD170" s="86">
        <v>2.0</v>
      </c>
      <c r="DE170" s="86">
        <v>2.0</v>
      </c>
      <c r="DF170" s="86">
        <v>2.0</v>
      </c>
      <c r="DG170" s="86">
        <v>2.0</v>
      </c>
      <c r="DH170" s="86">
        <v>2.0</v>
      </c>
      <c r="DI170" s="86">
        <v>2.0</v>
      </c>
      <c r="DJ170" s="87" t="s">
        <v>64</v>
      </c>
      <c r="DK170" s="87" t="s">
        <v>64</v>
      </c>
      <c r="DL170" s="87" t="s">
        <v>64</v>
      </c>
      <c r="DM170" s="50"/>
      <c r="DO170" s="109" t="s">
        <v>2957</v>
      </c>
      <c r="DQ170" s="86">
        <v>2.0</v>
      </c>
      <c r="DR170" s="86">
        <v>2.0</v>
      </c>
      <c r="DS170" s="86">
        <v>2.0</v>
      </c>
      <c r="DT170" s="86">
        <v>2.0</v>
      </c>
      <c r="DU170" s="86">
        <v>2.0</v>
      </c>
      <c r="DV170" s="86">
        <v>2.0</v>
      </c>
      <c r="DW170" s="86">
        <v>2.0</v>
      </c>
      <c r="DX170" s="87" t="s">
        <v>64</v>
      </c>
      <c r="DY170" s="87" t="s">
        <v>64</v>
      </c>
      <c r="DZ170" s="87" t="s">
        <v>64</v>
      </c>
      <c r="EA170" s="50"/>
    </row>
    <row r="171" ht="15.75" customHeight="1">
      <c r="A171" s="11">
        <v>16.0</v>
      </c>
      <c r="B171" s="11" t="s">
        <v>90</v>
      </c>
      <c r="C171" s="11" t="str">
        <f t="array" ref="C171">IFERROR(INDEX(DOCUMENTOS!$E:$E,MATCH($A171,DOCUMENTOS!$A:$A,0)),"")</f>
        <v/>
      </c>
      <c r="D171" s="11" t="str">
        <f t="array" ref="D171">IFERROR(INDEX('BANCO DE PERGUNTAS'!$D:$D,MATCH($B171,'BANCO DE PERGUNTAS'!$A:$A,0)),"")</f>
        <v>Qual é o número do processo relacionado?</v>
      </c>
      <c r="E171" s="11" t="str">
        <f t="array" ref="E171">IFERROR(INDEX('BANCO DE PERGUNTAS'!$B:$B,MATCH($B171,'BANCO DE PERGUNTAS'!$A:$A,0)),"")</f>
        <v>Identificação</v>
      </c>
      <c r="F171" s="12">
        <f t="array" ref="F171">IFERROR(INDEX('BANCO DE PERGUNTAS'!$H:$H,MATCH($B171,'BANCO DE PERGUNTAS'!$A:$A,0)),"")</f>
        <v>1</v>
      </c>
      <c r="I171" s="50"/>
      <c r="J171" s="50"/>
      <c r="K171" s="50"/>
      <c r="L171" s="50"/>
      <c r="M171" s="50"/>
      <c r="N171" s="50"/>
      <c r="O171" s="50"/>
      <c r="P171" s="50"/>
      <c r="Q171" s="50"/>
      <c r="R171" s="50"/>
      <c r="S171" s="50"/>
      <c r="U171" s="97" t="s">
        <v>2958</v>
      </c>
      <c r="W171" s="86">
        <v>2.0</v>
      </c>
      <c r="X171" s="86">
        <v>2.0</v>
      </c>
      <c r="Y171" s="86">
        <v>2.0</v>
      </c>
      <c r="Z171" s="86">
        <v>2.0</v>
      </c>
      <c r="AA171" s="86">
        <v>2.0</v>
      </c>
      <c r="AB171" s="86">
        <v>2.0</v>
      </c>
      <c r="AC171" s="86">
        <v>2.0</v>
      </c>
      <c r="AD171" s="87" t="s">
        <v>64</v>
      </c>
      <c r="AE171" s="87" t="s">
        <v>64</v>
      </c>
      <c r="AF171" s="87" t="s">
        <v>64</v>
      </c>
      <c r="AG171" s="50"/>
      <c r="AI171" s="106" t="s">
        <v>2958</v>
      </c>
      <c r="AK171" s="86">
        <v>2.0</v>
      </c>
      <c r="AL171" s="86">
        <v>2.0</v>
      </c>
      <c r="AM171" s="86">
        <v>2.0</v>
      </c>
      <c r="AN171" s="86">
        <v>2.0</v>
      </c>
      <c r="AO171" s="86">
        <v>2.0</v>
      </c>
      <c r="AP171" s="86">
        <v>2.0</v>
      </c>
      <c r="AQ171" s="86">
        <v>2.0</v>
      </c>
      <c r="AR171" s="87" t="s">
        <v>64</v>
      </c>
      <c r="AS171" s="87" t="s">
        <v>64</v>
      </c>
      <c r="AT171" s="87" t="s">
        <v>64</v>
      </c>
      <c r="AU171" s="50"/>
      <c r="AY171" s="50"/>
      <c r="AZ171" s="50"/>
      <c r="BA171" s="50"/>
      <c r="BB171" s="50"/>
      <c r="BC171" s="50"/>
      <c r="BD171" s="50"/>
      <c r="BE171" s="50"/>
      <c r="BF171" s="50"/>
      <c r="BG171" s="50"/>
      <c r="BH171" s="50"/>
      <c r="BI171" s="50"/>
      <c r="BK171" s="104" t="s">
        <v>157</v>
      </c>
      <c r="BM171" s="86">
        <v>2.0</v>
      </c>
      <c r="BN171" s="86">
        <v>2.0</v>
      </c>
      <c r="BO171" s="86">
        <v>2.0</v>
      </c>
      <c r="BP171" s="86">
        <v>2.0</v>
      </c>
      <c r="BQ171" s="86">
        <v>2.0</v>
      </c>
      <c r="BR171" s="86">
        <v>2.0</v>
      </c>
      <c r="BS171" s="86">
        <v>2.0</v>
      </c>
      <c r="BT171" s="87" t="s">
        <v>64</v>
      </c>
      <c r="BU171" s="87" t="s">
        <v>64</v>
      </c>
      <c r="BV171" s="87" t="s">
        <v>64</v>
      </c>
      <c r="BW171" s="50"/>
      <c r="BY171" s="53" t="s">
        <v>2958</v>
      </c>
      <c r="CA171" s="86">
        <v>2.0</v>
      </c>
      <c r="CB171" s="86">
        <v>2.0</v>
      </c>
      <c r="CC171" s="86">
        <v>2.0</v>
      </c>
      <c r="CD171" s="86">
        <v>2.0</v>
      </c>
      <c r="CE171" s="86">
        <v>2.0</v>
      </c>
      <c r="CF171" s="86">
        <v>2.0</v>
      </c>
      <c r="CG171" s="86">
        <v>2.0</v>
      </c>
      <c r="CH171" s="87" t="s">
        <v>64</v>
      </c>
      <c r="CI171" s="87" t="s">
        <v>64</v>
      </c>
      <c r="CJ171" s="87" t="s">
        <v>64</v>
      </c>
      <c r="CK171" s="50"/>
      <c r="CO171" s="50"/>
      <c r="CP171" s="50"/>
      <c r="CQ171" s="50"/>
      <c r="CR171" s="50"/>
      <c r="CS171" s="50"/>
      <c r="CT171" s="50"/>
      <c r="CU171" s="50"/>
      <c r="CV171" s="50"/>
      <c r="CW171" s="50"/>
      <c r="CX171" s="50"/>
      <c r="CY171" s="50"/>
      <c r="DA171" s="53" t="s">
        <v>157</v>
      </c>
      <c r="DC171" s="86">
        <v>2.0</v>
      </c>
      <c r="DD171" s="86">
        <v>2.0</v>
      </c>
      <c r="DE171" s="86">
        <v>2.0</v>
      </c>
      <c r="DF171" s="86">
        <v>2.0</v>
      </c>
      <c r="DG171" s="86">
        <v>2.0</v>
      </c>
      <c r="DH171" s="86">
        <v>2.0</v>
      </c>
      <c r="DI171" s="86">
        <v>2.0</v>
      </c>
      <c r="DJ171" s="87" t="s">
        <v>64</v>
      </c>
      <c r="DK171" s="87" t="s">
        <v>64</v>
      </c>
      <c r="DL171" s="87" t="s">
        <v>64</v>
      </c>
      <c r="DM171" s="50"/>
      <c r="DO171" s="107" t="s">
        <v>2959</v>
      </c>
      <c r="DQ171" s="86">
        <v>2.0</v>
      </c>
      <c r="DR171" s="86">
        <v>2.0</v>
      </c>
      <c r="DS171" s="86">
        <v>2.0</v>
      </c>
      <c r="DT171" s="86">
        <v>2.0</v>
      </c>
      <c r="DU171" s="86">
        <v>2.0</v>
      </c>
      <c r="DV171" s="86">
        <v>2.0</v>
      </c>
      <c r="DW171" s="86">
        <v>2.0</v>
      </c>
      <c r="DX171" s="87" t="s">
        <v>64</v>
      </c>
      <c r="DY171" s="87" t="s">
        <v>64</v>
      </c>
      <c r="DZ171" s="87" t="s">
        <v>64</v>
      </c>
      <c r="EA171" s="50"/>
    </row>
    <row r="172" ht="15.75" customHeight="1">
      <c r="A172" s="14">
        <v>16.0</v>
      </c>
      <c r="B172" s="14" t="s">
        <v>103</v>
      </c>
      <c r="C172" s="14" t="str">
        <f t="array" ref="C172">IFERROR(INDEX(DOCUMENTOS!$E:$E,MATCH($A172,DOCUMENTOS!$A:$A,0)),"")</f>
        <v/>
      </c>
      <c r="D172" s="14" t="str">
        <f t="array" ref="D172">IFERROR(INDEX('BANCO DE PERGUNTAS'!$D:$D,MATCH($B172,'BANCO DE PERGUNTAS'!$A:$A,0)),"")</f>
        <v>Qual é a data do documento?</v>
      </c>
      <c r="E172" s="14" t="str">
        <f t="array" ref="E172">IFERROR(INDEX('BANCO DE PERGUNTAS'!$B:$B,MATCH($B172,'BANCO DE PERGUNTAS'!$A:$A,0)),"")</f>
        <v>Identificação</v>
      </c>
      <c r="F172" s="17">
        <f t="array" ref="F172">IFERROR(INDEX('BANCO DE PERGUNTAS'!$H:$H,MATCH($B172,'BANCO DE PERGUNTAS'!$A:$A,0)),"")</f>
        <v>1</v>
      </c>
      <c r="I172" s="50"/>
      <c r="J172" s="50"/>
      <c r="K172" s="50"/>
      <c r="L172" s="50"/>
      <c r="M172" s="50"/>
      <c r="N172" s="50"/>
      <c r="O172" s="50"/>
      <c r="P172" s="50"/>
      <c r="Q172" s="50"/>
      <c r="R172" s="50"/>
      <c r="S172" s="50"/>
      <c r="U172" s="101" t="s">
        <v>2960</v>
      </c>
      <c r="W172" s="86">
        <v>2.0</v>
      </c>
      <c r="X172" s="86">
        <v>2.0</v>
      </c>
      <c r="Y172" s="86">
        <v>2.0</v>
      </c>
      <c r="Z172" s="86">
        <v>2.0</v>
      </c>
      <c r="AA172" s="86">
        <v>2.0</v>
      </c>
      <c r="AB172" s="86">
        <v>2.0</v>
      </c>
      <c r="AC172" s="86">
        <v>2.0</v>
      </c>
      <c r="AD172" s="87" t="s">
        <v>64</v>
      </c>
      <c r="AE172" s="87" t="s">
        <v>64</v>
      </c>
      <c r="AF172" s="87" t="s">
        <v>64</v>
      </c>
      <c r="AG172" s="50"/>
      <c r="AI172" s="106" t="s">
        <v>2961</v>
      </c>
      <c r="AK172" s="86">
        <v>2.0</v>
      </c>
      <c r="AL172" s="86">
        <v>2.0</v>
      </c>
      <c r="AM172" s="86">
        <v>2.0</v>
      </c>
      <c r="AN172" s="86">
        <v>2.0</v>
      </c>
      <c r="AO172" s="86">
        <v>2.0</v>
      </c>
      <c r="AP172" s="86">
        <v>2.0</v>
      </c>
      <c r="AQ172" s="86">
        <v>2.0</v>
      </c>
      <c r="AR172" s="87" t="s">
        <v>64</v>
      </c>
      <c r="AS172" s="87" t="s">
        <v>64</v>
      </c>
      <c r="AT172" s="87" t="s">
        <v>64</v>
      </c>
      <c r="AU172" s="50"/>
      <c r="AY172" s="50"/>
      <c r="AZ172" s="50"/>
      <c r="BA172" s="50"/>
      <c r="BB172" s="50"/>
      <c r="BC172" s="50"/>
      <c r="BD172" s="50"/>
      <c r="BE172" s="50"/>
      <c r="BF172" s="50"/>
      <c r="BG172" s="50"/>
      <c r="BH172" s="50"/>
      <c r="BI172" s="50"/>
      <c r="BK172" s="104" t="s">
        <v>2962</v>
      </c>
      <c r="BM172" s="86">
        <v>2.0</v>
      </c>
      <c r="BN172" s="86">
        <v>2.0</v>
      </c>
      <c r="BO172" s="86">
        <v>2.0</v>
      </c>
      <c r="BP172" s="86">
        <v>2.0</v>
      </c>
      <c r="BQ172" s="86">
        <v>2.0</v>
      </c>
      <c r="BR172" s="86">
        <v>2.0</v>
      </c>
      <c r="BS172" s="86">
        <v>2.0</v>
      </c>
      <c r="BT172" s="87" t="s">
        <v>64</v>
      </c>
      <c r="BU172" s="87" t="s">
        <v>64</v>
      </c>
      <c r="BV172" s="87" t="s">
        <v>64</v>
      </c>
      <c r="BW172" s="50"/>
      <c r="BY172" s="108" t="s">
        <v>2963</v>
      </c>
      <c r="CA172" s="86">
        <v>2.0</v>
      </c>
      <c r="CB172" s="86">
        <v>2.0</v>
      </c>
      <c r="CC172" s="86">
        <v>2.0</v>
      </c>
      <c r="CD172" s="86">
        <v>2.0</v>
      </c>
      <c r="CE172" s="86">
        <v>2.0</v>
      </c>
      <c r="CF172" s="86">
        <v>2.0</v>
      </c>
      <c r="CG172" s="86">
        <v>2.0</v>
      </c>
      <c r="CH172" s="87" t="s">
        <v>64</v>
      </c>
      <c r="CI172" s="87" t="s">
        <v>64</v>
      </c>
      <c r="CJ172" s="87" t="s">
        <v>64</v>
      </c>
      <c r="CK172" s="50"/>
      <c r="CO172" s="50"/>
      <c r="CP172" s="50"/>
      <c r="CQ172" s="50"/>
      <c r="CR172" s="50"/>
      <c r="CS172" s="50"/>
      <c r="CT172" s="50"/>
      <c r="CU172" s="50"/>
      <c r="CV172" s="50"/>
      <c r="CW172" s="50"/>
      <c r="CX172" s="50"/>
      <c r="CY172" s="50"/>
      <c r="DA172" s="53" t="s">
        <v>2964</v>
      </c>
      <c r="DC172" s="86">
        <v>2.0</v>
      </c>
      <c r="DD172" s="86">
        <v>2.0</v>
      </c>
      <c r="DE172" s="86">
        <v>2.0</v>
      </c>
      <c r="DF172" s="86">
        <v>2.0</v>
      </c>
      <c r="DG172" s="86">
        <v>2.0</v>
      </c>
      <c r="DH172" s="86">
        <v>2.0</v>
      </c>
      <c r="DI172" s="86">
        <v>2.0</v>
      </c>
      <c r="DJ172" s="87" t="s">
        <v>64</v>
      </c>
      <c r="DK172" s="87" t="s">
        <v>64</v>
      </c>
      <c r="DL172" s="87" t="s">
        <v>64</v>
      </c>
      <c r="DM172" s="50"/>
      <c r="DO172" s="109" t="s">
        <v>2964</v>
      </c>
      <c r="DQ172" s="86">
        <v>2.0</v>
      </c>
      <c r="DR172" s="86">
        <v>2.0</v>
      </c>
      <c r="DS172" s="86">
        <v>2.0</v>
      </c>
      <c r="DT172" s="86">
        <v>2.0</v>
      </c>
      <c r="DU172" s="86">
        <v>2.0</v>
      </c>
      <c r="DV172" s="86">
        <v>2.0</v>
      </c>
      <c r="DW172" s="86">
        <v>2.0</v>
      </c>
      <c r="DX172" s="87" t="s">
        <v>64</v>
      </c>
      <c r="DY172" s="87" t="s">
        <v>64</v>
      </c>
      <c r="DZ172" s="87" t="s">
        <v>64</v>
      </c>
      <c r="EA172" s="50"/>
    </row>
    <row r="173" ht="15.75" customHeight="1">
      <c r="A173" s="11">
        <v>16.0</v>
      </c>
      <c r="B173" s="11" t="s">
        <v>117</v>
      </c>
      <c r="C173" s="11" t="str">
        <f t="array" ref="C173">IFERROR(INDEX(DOCUMENTOS!$E:$E,MATCH($A173,DOCUMENTOS!$A:$A,0)),"")</f>
        <v/>
      </c>
      <c r="D173" s="11" t="str">
        <f t="array" ref="D173">IFERROR(INDEX('BANCO DE PERGUNTAS'!$D:$D,MATCH($B173,'BANCO DE PERGUNTAS'!$A:$A,0)),"")</f>
        <v>Qual setor ou unidade está relacionado ao documento?</v>
      </c>
      <c r="E173" s="11" t="str">
        <f t="array" ref="E173">IFERROR(INDEX('BANCO DE PERGUNTAS'!$B:$B,MATCH($B173,'BANCO DE PERGUNTAS'!$A:$A,0)),"")</f>
        <v>Identificação</v>
      </c>
      <c r="F173" s="12">
        <f t="array" ref="F173">IFERROR(INDEX('BANCO DE PERGUNTAS'!$H:$H,MATCH($B173,'BANCO DE PERGUNTAS'!$A:$A,0)),"")</f>
        <v>1</v>
      </c>
      <c r="I173" s="50"/>
      <c r="J173" s="50"/>
      <c r="K173" s="50"/>
      <c r="L173" s="50"/>
      <c r="M173" s="50"/>
      <c r="N173" s="50"/>
      <c r="O173" s="50"/>
      <c r="P173" s="50"/>
      <c r="Q173" s="50"/>
      <c r="R173" s="50"/>
      <c r="S173" s="50"/>
      <c r="U173" s="97" t="s">
        <v>2965</v>
      </c>
      <c r="W173" s="86">
        <v>2.0</v>
      </c>
      <c r="X173" s="86">
        <v>2.0</v>
      </c>
      <c r="Y173" s="86">
        <v>2.0</v>
      </c>
      <c r="Z173" s="86">
        <v>2.0</v>
      </c>
      <c r="AA173" s="86">
        <v>2.0</v>
      </c>
      <c r="AB173" s="86">
        <v>2.0</v>
      </c>
      <c r="AC173" s="86">
        <v>2.0</v>
      </c>
      <c r="AD173" s="87" t="s">
        <v>64</v>
      </c>
      <c r="AE173" s="87" t="s">
        <v>64</v>
      </c>
      <c r="AF173" s="87" t="s">
        <v>64</v>
      </c>
      <c r="AG173" s="50"/>
      <c r="AI173" s="106" t="s">
        <v>2966</v>
      </c>
      <c r="AK173" s="86">
        <v>2.0</v>
      </c>
      <c r="AL173" s="86">
        <v>2.0</v>
      </c>
      <c r="AM173" s="86">
        <v>2.0</v>
      </c>
      <c r="AN173" s="86">
        <v>2.0</v>
      </c>
      <c r="AO173" s="86">
        <v>2.0</v>
      </c>
      <c r="AP173" s="86">
        <v>2.0</v>
      </c>
      <c r="AQ173" s="86">
        <v>2.0</v>
      </c>
      <c r="AR173" s="87" t="s">
        <v>64</v>
      </c>
      <c r="AS173" s="87" t="s">
        <v>64</v>
      </c>
      <c r="AT173" s="87" t="s">
        <v>64</v>
      </c>
      <c r="AU173" s="50"/>
      <c r="AY173" s="50"/>
      <c r="AZ173" s="50"/>
      <c r="BA173" s="50"/>
      <c r="BB173" s="50"/>
      <c r="BC173" s="50"/>
      <c r="BD173" s="50"/>
      <c r="BE173" s="50"/>
      <c r="BF173" s="50"/>
      <c r="BG173" s="50"/>
      <c r="BH173" s="50"/>
      <c r="BI173" s="50"/>
      <c r="BK173" s="104" t="s">
        <v>2967</v>
      </c>
      <c r="BM173" s="86">
        <v>2.0</v>
      </c>
      <c r="BN173" s="86">
        <v>2.0</v>
      </c>
      <c r="BO173" s="86">
        <v>2.0</v>
      </c>
      <c r="BP173" s="86">
        <v>2.0</v>
      </c>
      <c r="BQ173" s="86">
        <v>2.0</v>
      </c>
      <c r="BR173" s="86">
        <v>2.0</v>
      </c>
      <c r="BS173" s="86">
        <v>2.0</v>
      </c>
      <c r="BT173" s="87" t="s">
        <v>64</v>
      </c>
      <c r="BU173" s="87" t="s">
        <v>64</v>
      </c>
      <c r="BV173" s="87" t="s">
        <v>64</v>
      </c>
      <c r="BW173" s="50"/>
      <c r="BY173" s="53" t="s">
        <v>2968</v>
      </c>
      <c r="CA173" s="86">
        <v>2.0</v>
      </c>
      <c r="CB173" s="86">
        <v>2.0</v>
      </c>
      <c r="CC173" s="86">
        <v>2.0</v>
      </c>
      <c r="CD173" s="86">
        <v>2.0</v>
      </c>
      <c r="CE173" s="86">
        <v>2.0</v>
      </c>
      <c r="CF173" s="86">
        <v>2.0</v>
      </c>
      <c r="CG173" s="86">
        <v>2.0</v>
      </c>
      <c r="CH173" s="87" t="s">
        <v>64</v>
      </c>
      <c r="CI173" s="87" t="s">
        <v>64</v>
      </c>
      <c r="CJ173" s="87" t="s">
        <v>64</v>
      </c>
      <c r="CK173" s="50"/>
      <c r="CO173" s="50"/>
      <c r="CP173" s="50"/>
      <c r="CQ173" s="50"/>
      <c r="CR173" s="50"/>
      <c r="CS173" s="50"/>
      <c r="CT173" s="50"/>
      <c r="CU173" s="50"/>
      <c r="CV173" s="50"/>
      <c r="CW173" s="50"/>
      <c r="CX173" s="50"/>
      <c r="CY173" s="50"/>
      <c r="DA173" s="53" t="s">
        <v>2969</v>
      </c>
      <c r="DC173" s="86">
        <v>2.0</v>
      </c>
      <c r="DD173" s="86">
        <v>2.0</v>
      </c>
      <c r="DE173" s="86">
        <v>2.0</v>
      </c>
      <c r="DF173" s="86">
        <v>2.0</v>
      </c>
      <c r="DG173" s="86">
        <v>2.0</v>
      </c>
      <c r="DH173" s="86">
        <v>2.0</v>
      </c>
      <c r="DI173" s="86">
        <v>2.0</v>
      </c>
      <c r="DJ173" s="87" t="s">
        <v>64</v>
      </c>
      <c r="DK173" s="87" t="s">
        <v>64</v>
      </c>
      <c r="DL173" s="87" t="s">
        <v>64</v>
      </c>
      <c r="DM173" s="50"/>
      <c r="DO173" s="107" t="s">
        <v>2970</v>
      </c>
      <c r="DQ173" s="86">
        <v>2.0</v>
      </c>
      <c r="DR173" s="86">
        <v>2.0</v>
      </c>
      <c r="DS173" s="86">
        <v>2.0</v>
      </c>
      <c r="DT173" s="86">
        <v>2.0</v>
      </c>
      <c r="DU173" s="86">
        <v>2.0</v>
      </c>
      <c r="DV173" s="86">
        <v>2.0</v>
      </c>
      <c r="DW173" s="86">
        <v>2.0</v>
      </c>
      <c r="DX173" s="87" t="s">
        <v>64</v>
      </c>
      <c r="DY173" s="87" t="s">
        <v>64</v>
      </c>
      <c r="DZ173" s="87" t="s">
        <v>64</v>
      </c>
      <c r="EA173" s="50"/>
    </row>
    <row r="174" ht="15.75" customHeight="1">
      <c r="A174" s="14">
        <v>16.0</v>
      </c>
      <c r="B174" s="14" t="s">
        <v>131</v>
      </c>
      <c r="C174" s="14" t="str">
        <f t="array" ref="C174">IFERROR(INDEX(DOCUMENTOS!$E:$E,MATCH($A174,DOCUMENTOS!$A:$A,0)),"")</f>
        <v/>
      </c>
      <c r="D174" s="14" t="str">
        <f t="array" ref="D174">IFERROR(INDEX('BANCO DE PERGUNTAS'!$D:$D,MATCH($B174,'BANCO DE PERGUNTAS'!$A:$A,0)),"")</f>
        <v>Quais são as partes ou instituições mencionadas?</v>
      </c>
      <c r="E174" s="14" t="str">
        <f t="array" ref="E174">IFERROR(INDEX('BANCO DE PERGUNTAS'!$B:$B,MATCH($B174,'BANCO DE PERGUNTAS'!$A:$A,0)),"")</f>
        <v>Identificação</v>
      </c>
      <c r="F174" s="17">
        <f t="array" ref="F174">IFERROR(INDEX('BANCO DE PERGUNTAS'!$H:$H,MATCH($B174,'BANCO DE PERGUNTAS'!$A:$A,0)),"")</f>
        <v>2</v>
      </c>
      <c r="I174" s="50"/>
      <c r="J174" s="50"/>
      <c r="K174" s="50"/>
      <c r="L174" s="50"/>
      <c r="M174" s="50"/>
      <c r="N174" s="50"/>
      <c r="O174" s="50"/>
      <c r="P174" s="50"/>
      <c r="Q174" s="50"/>
      <c r="R174" s="50"/>
      <c r="S174" s="50"/>
      <c r="U174" s="101" t="s">
        <v>2971</v>
      </c>
      <c r="W174" s="86">
        <v>2.0</v>
      </c>
      <c r="X174" s="86">
        <v>2.0</v>
      </c>
      <c r="Y174" s="86">
        <v>2.0</v>
      </c>
      <c r="Z174" s="86">
        <v>2.0</v>
      </c>
      <c r="AA174" s="86">
        <v>2.0</v>
      </c>
      <c r="AB174" s="86">
        <v>2.0</v>
      </c>
      <c r="AC174" s="86">
        <v>2.0</v>
      </c>
      <c r="AD174" s="87" t="s">
        <v>64</v>
      </c>
      <c r="AE174" s="87" t="s">
        <v>64</v>
      </c>
      <c r="AF174" s="87" t="s">
        <v>64</v>
      </c>
      <c r="AG174" s="50"/>
      <c r="AI174" s="106" t="s">
        <v>2972</v>
      </c>
      <c r="AK174" s="86">
        <v>2.0</v>
      </c>
      <c r="AL174" s="86">
        <v>2.0</v>
      </c>
      <c r="AM174" s="86">
        <v>2.0</v>
      </c>
      <c r="AN174" s="86">
        <v>2.0</v>
      </c>
      <c r="AO174" s="86">
        <v>2.0</v>
      </c>
      <c r="AP174" s="86">
        <v>2.0</v>
      </c>
      <c r="AQ174" s="86">
        <v>2.0</v>
      </c>
      <c r="AR174" s="87" t="s">
        <v>64</v>
      </c>
      <c r="AS174" s="87" t="s">
        <v>64</v>
      </c>
      <c r="AT174" s="87" t="s">
        <v>64</v>
      </c>
      <c r="AU174" s="50"/>
      <c r="AY174" s="50"/>
      <c r="AZ174" s="50"/>
      <c r="BA174" s="50"/>
      <c r="BB174" s="50"/>
      <c r="BC174" s="50"/>
      <c r="BD174" s="50"/>
      <c r="BE174" s="50"/>
      <c r="BF174" s="50"/>
      <c r="BG174" s="50"/>
      <c r="BH174" s="50"/>
      <c r="BI174" s="50"/>
      <c r="BK174" s="104" t="s">
        <v>2973</v>
      </c>
      <c r="BM174" s="86">
        <v>2.0</v>
      </c>
      <c r="BN174" s="86">
        <v>2.0</v>
      </c>
      <c r="BO174" s="86">
        <v>2.0</v>
      </c>
      <c r="BP174" s="86">
        <v>2.0</v>
      </c>
      <c r="BQ174" s="86">
        <v>2.0</v>
      </c>
      <c r="BR174" s="86">
        <v>2.0</v>
      </c>
      <c r="BS174" s="86">
        <v>2.0</v>
      </c>
      <c r="BT174" s="87" t="s">
        <v>64</v>
      </c>
      <c r="BU174" s="87" t="s">
        <v>64</v>
      </c>
      <c r="BV174" s="87" t="s">
        <v>64</v>
      </c>
      <c r="BW174" s="50"/>
      <c r="BY174" s="110" t="s">
        <v>2974</v>
      </c>
      <c r="CA174" s="86">
        <v>2.0</v>
      </c>
      <c r="CB174" s="86">
        <v>2.0</v>
      </c>
      <c r="CC174" s="86">
        <v>2.0</v>
      </c>
      <c r="CD174" s="86">
        <v>2.0</v>
      </c>
      <c r="CE174" s="86">
        <v>2.0</v>
      </c>
      <c r="CF174" s="86">
        <v>2.0</v>
      </c>
      <c r="CG174" s="86">
        <v>2.0</v>
      </c>
      <c r="CH174" s="87" t="s">
        <v>64</v>
      </c>
      <c r="CI174" s="87" t="s">
        <v>64</v>
      </c>
      <c r="CJ174" s="87" t="s">
        <v>64</v>
      </c>
      <c r="CK174" s="50"/>
      <c r="CO174" s="50"/>
      <c r="CP174" s="50"/>
      <c r="CQ174" s="50"/>
      <c r="CR174" s="50"/>
      <c r="CS174" s="50"/>
      <c r="CT174" s="50"/>
      <c r="CU174" s="50"/>
      <c r="CV174" s="50"/>
      <c r="CW174" s="50"/>
      <c r="CX174" s="50"/>
      <c r="CY174" s="50"/>
      <c r="DA174" s="53" t="s">
        <v>2975</v>
      </c>
      <c r="DC174" s="86">
        <v>2.0</v>
      </c>
      <c r="DD174" s="86">
        <v>2.0</v>
      </c>
      <c r="DE174" s="86">
        <v>2.0</v>
      </c>
      <c r="DF174" s="86">
        <v>2.0</v>
      </c>
      <c r="DG174" s="86">
        <v>2.0</v>
      </c>
      <c r="DH174" s="86">
        <v>2.0</v>
      </c>
      <c r="DI174" s="86">
        <v>2.0</v>
      </c>
      <c r="DJ174" s="87" t="s">
        <v>64</v>
      </c>
      <c r="DK174" s="87" t="s">
        <v>64</v>
      </c>
      <c r="DL174" s="87" t="s">
        <v>64</v>
      </c>
      <c r="DM174" s="50"/>
      <c r="DO174" s="109" t="s">
        <v>2976</v>
      </c>
      <c r="DQ174" s="86">
        <v>2.0</v>
      </c>
      <c r="DR174" s="86">
        <v>2.0</v>
      </c>
      <c r="DS174" s="86">
        <v>2.0</v>
      </c>
      <c r="DT174" s="86">
        <v>2.0</v>
      </c>
      <c r="DU174" s="86">
        <v>2.0</v>
      </c>
      <c r="DV174" s="86">
        <v>2.0</v>
      </c>
      <c r="DW174" s="86">
        <v>2.0</v>
      </c>
      <c r="DX174" s="87" t="s">
        <v>64</v>
      </c>
      <c r="DY174" s="87" t="s">
        <v>64</v>
      </c>
      <c r="DZ174" s="87" t="s">
        <v>64</v>
      </c>
      <c r="EA174" s="50"/>
    </row>
    <row r="175" ht="15.75" customHeight="1">
      <c r="A175" s="11">
        <v>16.0</v>
      </c>
      <c r="B175" s="11" t="s">
        <v>144</v>
      </c>
      <c r="C175" s="11" t="str">
        <f t="array" ref="C175">IFERROR(INDEX(DOCUMENTOS!$E:$E,MATCH($A175,DOCUMENTOS!$A:$A,0)),"")</f>
        <v/>
      </c>
      <c r="D175" s="11" t="str">
        <f t="array" ref="D175">IFERROR(INDEX('BANCO DE PERGUNTAS'!$D:$D,MATCH($B175,'BANCO DE PERGUNTAS'!$A:$A,0)),"")</f>
        <v>Qual informação específica está apresentada na seção 08?</v>
      </c>
      <c r="E175" s="11" t="str">
        <f t="array" ref="E175">IFERROR(INDEX('BANCO DE PERGUNTAS'!$B:$B,MATCH($B175,'BANCO DE PERGUNTAS'!$A:$A,0)),"")</f>
        <v>Localização</v>
      </c>
      <c r="F175" s="12">
        <f t="array" ref="F175">IFERROR(INDEX('BANCO DE PERGUNTAS'!$H:$H,MATCH($B175,'BANCO DE PERGUNTAS'!$A:$A,0)),"")</f>
        <v>2</v>
      </c>
      <c r="I175" s="50"/>
      <c r="J175" s="50"/>
      <c r="K175" s="50"/>
      <c r="L175" s="50"/>
      <c r="M175" s="50"/>
      <c r="N175" s="50"/>
      <c r="O175" s="50"/>
      <c r="P175" s="50"/>
      <c r="Q175" s="50"/>
      <c r="R175" s="50"/>
      <c r="S175" s="50"/>
      <c r="U175" s="97" t="s">
        <v>2977</v>
      </c>
      <c r="W175" s="86">
        <v>2.0</v>
      </c>
      <c r="X175" s="86">
        <v>2.0</v>
      </c>
      <c r="Y175" s="86">
        <v>2.0</v>
      </c>
      <c r="Z175" s="86">
        <v>2.0</v>
      </c>
      <c r="AA175" s="86">
        <v>2.0</v>
      </c>
      <c r="AB175" s="86">
        <v>2.0</v>
      </c>
      <c r="AC175" s="86">
        <v>2.0</v>
      </c>
      <c r="AD175" s="87" t="s">
        <v>64</v>
      </c>
      <c r="AE175" s="87" t="s">
        <v>64</v>
      </c>
      <c r="AF175" s="87" t="s">
        <v>64</v>
      </c>
      <c r="AG175" s="50"/>
      <c r="AI175" s="106" t="s">
        <v>2978</v>
      </c>
      <c r="AK175" s="86">
        <v>2.0</v>
      </c>
      <c r="AL175" s="86">
        <v>2.0</v>
      </c>
      <c r="AM175" s="86">
        <v>2.0</v>
      </c>
      <c r="AN175" s="86">
        <v>2.0</v>
      </c>
      <c r="AO175" s="86">
        <v>2.0</v>
      </c>
      <c r="AP175" s="86">
        <v>2.0</v>
      </c>
      <c r="AQ175" s="86">
        <v>2.0</v>
      </c>
      <c r="AR175" s="87" t="s">
        <v>64</v>
      </c>
      <c r="AS175" s="87" t="s">
        <v>64</v>
      </c>
      <c r="AT175" s="87" t="s">
        <v>64</v>
      </c>
      <c r="AU175" s="50"/>
      <c r="AY175" s="50"/>
      <c r="AZ175" s="50"/>
      <c r="BA175" s="50"/>
      <c r="BB175" s="50"/>
      <c r="BC175" s="50"/>
      <c r="BD175" s="50"/>
      <c r="BE175" s="50"/>
      <c r="BF175" s="50"/>
      <c r="BG175" s="50"/>
      <c r="BH175" s="50"/>
      <c r="BI175" s="50"/>
      <c r="BK175" s="104" t="s">
        <v>2979</v>
      </c>
      <c r="BM175" s="86">
        <v>2.0</v>
      </c>
      <c r="BN175" s="86">
        <v>2.0</v>
      </c>
      <c r="BO175" s="86">
        <v>2.0</v>
      </c>
      <c r="BP175" s="86">
        <v>2.0</v>
      </c>
      <c r="BQ175" s="86">
        <v>2.0</v>
      </c>
      <c r="BR175" s="86">
        <v>2.0</v>
      </c>
      <c r="BS175" s="86">
        <v>2.0</v>
      </c>
      <c r="BT175" s="87" t="s">
        <v>64</v>
      </c>
      <c r="BU175" s="87" t="s">
        <v>64</v>
      </c>
      <c r="BV175" s="87" t="s">
        <v>64</v>
      </c>
      <c r="BW175" s="50"/>
      <c r="BY175" s="53" t="s">
        <v>2980</v>
      </c>
      <c r="CA175" s="86">
        <v>2.0</v>
      </c>
      <c r="CB175" s="86">
        <v>2.0</v>
      </c>
      <c r="CC175" s="86">
        <v>2.0</v>
      </c>
      <c r="CD175" s="86">
        <v>2.0</v>
      </c>
      <c r="CE175" s="86">
        <v>2.0</v>
      </c>
      <c r="CF175" s="86">
        <v>2.0</v>
      </c>
      <c r="CG175" s="86">
        <v>2.0</v>
      </c>
      <c r="CH175" s="87" t="s">
        <v>64</v>
      </c>
      <c r="CI175" s="87" t="s">
        <v>64</v>
      </c>
      <c r="CJ175" s="87" t="s">
        <v>64</v>
      </c>
      <c r="CK175" s="50"/>
      <c r="CO175" s="50"/>
      <c r="CP175" s="50"/>
      <c r="CQ175" s="50"/>
      <c r="CR175" s="50"/>
      <c r="CS175" s="50"/>
      <c r="CT175" s="50"/>
      <c r="CU175" s="50"/>
      <c r="CV175" s="50"/>
      <c r="CW175" s="50"/>
      <c r="CX175" s="50"/>
      <c r="CY175" s="50"/>
      <c r="DA175" s="111" t="s">
        <v>2981</v>
      </c>
      <c r="DC175" s="86">
        <v>2.0</v>
      </c>
      <c r="DD175" s="86">
        <v>2.0</v>
      </c>
      <c r="DE175" s="86">
        <v>2.0</v>
      </c>
      <c r="DF175" s="86">
        <v>2.0</v>
      </c>
      <c r="DG175" s="86">
        <v>2.0</v>
      </c>
      <c r="DH175" s="86">
        <v>2.0</v>
      </c>
      <c r="DI175" s="86">
        <v>2.0</v>
      </c>
      <c r="DJ175" s="87" t="s">
        <v>64</v>
      </c>
      <c r="DK175" s="87" t="s">
        <v>64</v>
      </c>
      <c r="DL175" s="87" t="s">
        <v>64</v>
      </c>
      <c r="DM175" s="50"/>
      <c r="DO175" s="107" t="s">
        <v>2982</v>
      </c>
      <c r="DQ175" s="86">
        <v>2.0</v>
      </c>
      <c r="DR175" s="86">
        <v>2.0</v>
      </c>
      <c r="DS175" s="86">
        <v>2.0</v>
      </c>
      <c r="DT175" s="86">
        <v>2.0</v>
      </c>
      <c r="DU175" s="86">
        <v>2.0</v>
      </c>
      <c r="DV175" s="86">
        <v>2.0</v>
      </c>
      <c r="DW175" s="86">
        <v>2.0</v>
      </c>
      <c r="DX175" s="87" t="s">
        <v>64</v>
      </c>
      <c r="DY175" s="87" t="s">
        <v>64</v>
      </c>
      <c r="DZ175" s="87" t="s">
        <v>64</v>
      </c>
      <c r="EA175" s="50"/>
    </row>
    <row r="176" ht="15.75" customHeight="1">
      <c r="A176" s="14">
        <v>16.0</v>
      </c>
      <c r="B176" s="14" t="s">
        <v>156</v>
      </c>
      <c r="C176" s="14" t="str">
        <f t="array" ref="C176">IFERROR(INDEX(DOCUMENTOS!$E:$E,MATCH($A176,DOCUMENTOS!$A:$A,0)),"")</f>
        <v/>
      </c>
      <c r="D176" s="14" t="str">
        <f t="array" ref="D176">IFERROR(INDEX('BANCO DE PERGUNTAS'!$D:$D,MATCH($B176,'BANCO DE PERGUNTAS'!$A:$A,0)),"")</f>
        <v>Em qual seção do documento está localizada a informação solicitada?</v>
      </c>
      <c r="E176" s="14" t="str">
        <f t="array" ref="E176">IFERROR(INDEX('BANCO DE PERGUNTAS'!$B:$B,MATCH($B176,'BANCO DE PERGUNTAS'!$A:$A,0)),"")</f>
        <v>Localização</v>
      </c>
      <c r="F176" s="17">
        <f t="array" ref="F176">IFERROR(INDEX('BANCO DE PERGUNTAS'!$H:$H,MATCH($B176,'BANCO DE PERGUNTAS'!$A:$A,0)),"")</f>
        <v>2</v>
      </c>
      <c r="I176" s="50"/>
      <c r="J176" s="50"/>
      <c r="K176" s="50"/>
      <c r="L176" s="50"/>
      <c r="M176" s="50"/>
      <c r="N176" s="50"/>
      <c r="O176" s="50"/>
      <c r="P176" s="50"/>
      <c r="Q176" s="50"/>
      <c r="R176" s="50"/>
      <c r="S176" s="50"/>
      <c r="U176" s="101" t="s">
        <v>2983</v>
      </c>
      <c r="W176" s="86">
        <v>2.0</v>
      </c>
      <c r="X176" s="86">
        <v>2.0</v>
      </c>
      <c r="Y176" s="86">
        <v>2.0</v>
      </c>
      <c r="Z176" s="86">
        <v>2.0</v>
      </c>
      <c r="AA176" s="86">
        <v>2.0</v>
      </c>
      <c r="AB176" s="86">
        <v>2.0</v>
      </c>
      <c r="AC176" s="86">
        <v>2.0</v>
      </c>
      <c r="AD176" s="87" t="s">
        <v>64</v>
      </c>
      <c r="AE176" s="87" t="s">
        <v>64</v>
      </c>
      <c r="AF176" s="87" t="s">
        <v>64</v>
      </c>
      <c r="AG176" s="50"/>
      <c r="AI176" s="106" t="s">
        <v>2984</v>
      </c>
      <c r="AK176" s="86">
        <v>2.0</v>
      </c>
      <c r="AL176" s="86">
        <v>2.0</v>
      </c>
      <c r="AM176" s="86">
        <v>2.0</v>
      </c>
      <c r="AN176" s="86">
        <v>2.0</v>
      </c>
      <c r="AO176" s="86">
        <v>2.0</v>
      </c>
      <c r="AP176" s="86">
        <v>2.0</v>
      </c>
      <c r="AQ176" s="86">
        <v>2.0</v>
      </c>
      <c r="AR176" s="87" t="s">
        <v>64</v>
      </c>
      <c r="AS176" s="87" t="s">
        <v>64</v>
      </c>
      <c r="AT176" s="87" t="s">
        <v>64</v>
      </c>
      <c r="AU176" s="50"/>
      <c r="AY176" s="50"/>
      <c r="AZ176" s="50"/>
      <c r="BA176" s="50"/>
      <c r="BB176" s="50"/>
      <c r="BC176" s="50"/>
      <c r="BD176" s="50"/>
      <c r="BE176" s="50"/>
      <c r="BF176" s="50"/>
      <c r="BG176" s="50"/>
      <c r="BH176" s="50"/>
      <c r="BI176" s="50"/>
      <c r="BK176" s="104" t="s">
        <v>2985</v>
      </c>
      <c r="BM176" s="86">
        <v>2.0</v>
      </c>
      <c r="BN176" s="86">
        <v>2.0</v>
      </c>
      <c r="BO176" s="86">
        <v>2.0</v>
      </c>
      <c r="BP176" s="86">
        <v>2.0</v>
      </c>
      <c r="BQ176" s="86">
        <v>2.0</v>
      </c>
      <c r="BR176" s="86">
        <v>2.0</v>
      </c>
      <c r="BS176" s="86">
        <v>2.0</v>
      </c>
      <c r="BT176" s="87" t="s">
        <v>64</v>
      </c>
      <c r="BU176" s="87" t="s">
        <v>64</v>
      </c>
      <c r="BV176" s="87" t="s">
        <v>64</v>
      </c>
      <c r="BW176" s="50"/>
      <c r="BY176" s="108" t="s">
        <v>2986</v>
      </c>
      <c r="CA176" s="86">
        <v>2.0</v>
      </c>
      <c r="CB176" s="86">
        <v>2.0</v>
      </c>
      <c r="CC176" s="86">
        <v>2.0</v>
      </c>
      <c r="CD176" s="86">
        <v>2.0</v>
      </c>
      <c r="CE176" s="86">
        <v>2.0</v>
      </c>
      <c r="CF176" s="86">
        <v>2.0</v>
      </c>
      <c r="CG176" s="86">
        <v>2.0</v>
      </c>
      <c r="CH176" s="87" t="s">
        <v>64</v>
      </c>
      <c r="CI176" s="87" t="s">
        <v>64</v>
      </c>
      <c r="CJ176" s="87" t="s">
        <v>64</v>
      </c>
      <c r="CK176" s="50"/>
      <c r="CO176" s="50"/>
      <c r="CP176" s="50"/>
      <c r="CQ176" s="50"/>
      <c r="CR176" s="50"/>
      <c r="CS176" s="50"/>
      <c r="CT176" s="50"/>
      <c r="CU176" s="50"/>
      <c r="CV176" s="50"/>
      <c r="CW176" s="50"/>
      <c r="CX176" s="50"/>
      <c r="CY176" s="50"/>
      <c r="DA176" s="111" t="s">
        <v>2987</v>
      </c>
      <c r="DC176" s="86">
        <v>2.0</v>
      </c>
      <c r="DD176" s="86">
        <v>2.0</v>
      </c>
      <c r="DE176" s="86">
        <v>2.0</v>
      </c>
      <c r="DF176" s="86">
        <v>2.0</v>
      </c>
      <c r="DG176" s="86">
        <v>2.0</v>
      </c>
      <c r="DH176" s="86">
        <v>2.0</v>
      </c>
      <c r="DI176" s="86">
        <v>2.0</v>
      </c>
      <c r="DJ176" s="87" t="s">
        <v>64</v>
      </c>
      <c r="DK176" s="87" t="s">
        <v>64</v>
      </c>
      <c r="DL176" s="87" t="s">
        <v>64</v>
      </c>
      <c r="DM176" s="50"/>
      <c r="DO176" s="109" t="s">
        <v>2988</v>
      </c>
      <c r="DQ176" s="86">
        <v>2.0</v>
      </c>
      <c r="DR176" s="86">
        <v>2.0</v>
      </c>
      <c r="DS176" s="86">
        <v>2.0</v>
      </c>
      <c r="DT176" s="86">
        <v>2.0</v>
      </c>
      <c r="DU176" s="86">
        <v>2.0</v>
      </c>
      <c r="DV176" s="86">
        <v>2.0</v>
      </c>
      <c r="DW176" s="86">
        <v>2.0</v>
      </c>
      <c r="DX176" s="87" t="s">
        <v>64</v>
      </c>
      <c r="DY176" s="87" t="s">
        <v>64</v>
      </c>
      <c r="DZ176" s="87" t="s">
        <v>64</v>
      </c>
      <c r="EA176" s="50"/>
    </row>
    <row r="177" ht="15.75" customHeight="1">
      <c r="A177" s="11">
        <v>16.0</v>
      </c>
      <c r="B177" s="11" t="s">
        <v>162</v>
      </c>
      <c r="C177" s="11" t="str">
        <f t="array" ref="C177">IFERROR(INDEX(DOCUMENTOS!$E:$E,MATCH($A177,DOCUMENTOS!$A:$A,0)),"")</f>
        <v/>
      </c>
      <c r="D177" s="11" t="str">
        <f t="array" ref="D177">IFERROR(INDEX('BANCO DE PERGUNTAS'!$D:$D,MATCH($B177,'BANCO DE PERGUNTAS'!$A:$A,0)),"")</f>
        <v>Qual é o valor indicado para o Valor Total Anual do Objeto licitado?</v>
      </c>
      <c r="E177" s="11" t="str">
        <f t="array" ref="E177">IFERROR(INDEX('BANCO DE PERGUNTAS'!$B:$B,MATCH($B177,'BANCO DE PERGUNTAS'!$A:$A,0)),"")</f>
        <v>Localização</v>
      </c>
      <c r="F177" s="12">
        <f t="array" ref="F177">IFERROR(INDEX('BANCO DE PERGUNTAS'!$H:$H,MATCH($B177,'BANCO DE PERGUNTAS'!$A:$A,0)),"")</f>
        <v>1</v>
      </c>
      <c r="I177" s="50"/>
      <c r="J177" s="50"/>
      <c r="K177" s="50"/>
      <c r="L177" s="50"/>
      <c r="M177" s="50"/>
      <c r="N177" s="50"/>
      <c r="O177" s="50"/>
      <c r="P177" s="50"/>
      <c r="Q177" s="50"/>
      <c r="R177" s="50"/>
      <c r="S177" s="50"/>
      <c r="U177" s="97" t="s">
        <v>2989</v>
      </c>
      <c r="W177" s="86">
        <v>2.0</v>
      </c>
      <c r="X177" s="86">
        <v>2.0</v>
      </c>
      <c r="Y177" s="86">
        <v>2.0</v>
      </c>
      <c r="Z177" s="86">
        <v>2.0</v>
      </c>
      <c r="AA177" s="86">
        <v>2.0</v>
      </c>
      <c r="AB177" s="86">
        <v>2.0</v>
      </c>
      <c r="AC177" s="86">
        <v>2.0</v>
      </c>
      <c r="AD177" s="87" t="s">
        <v>64</v>
      </c>
      <c r="AE177" s="87" t="s">
        <v>64</v>
      </c>
      <c r="AF177" s="87" t="s">
        <v>64</v>
      </c>
      <c r="AG177" s="50"/>
      <c r="AI177" s="106" t="s">
        <v>2990</v>
      </c>
      <c r="AK177" s="86">
        <v>2.0</v>
      </c>
      <c r="AL177" s="86">
        <v>2.0</v>
      </c>
      <c r="AM177" s="86">
        <v>2.0</v>
      </c>
      <c r="AN177" s="86">
        <v>2.0</v>
      </c>
      <c r="AO177" s="86">
        <v>2.0</v>
      </c>
      <c r="AP177" s="86">
        <v>2.0</v>
      </c>
      <c r="AQ177" s="86">
        <v>2.0</v>
      </c>
      <c r="AR177" s="87" t="s">
        <v>64</v>
      </c>
      <c r="AS177" s="87" t="s">
        <v>64</v>
      </c>
      <c r="AT177" s="87" t="s">
        <v>64</v>
      </c>
      <c r="AU177" s="50"/>
      <c r="AY177" s="50"/>
      <c r="AZ177" s="50"/>
      <c r="BA177" s="50"/>
      <c r="BB177" s="50"/>
      <c r="BC177" s="50"/>
      <c r="BD177" s="50"/>
      <c r="BE177" s="50"/>
      <c r="BF177" s="50"/>
      <c r="BG177" s="50"/>
      <c r="BH177" s="50"/>
      <c r="BI177" s="50"/>
      <c r="BK177" s="104" t="s">
        <v>2991</v>
      </c>
      <c r="BM177" s="86">
        <v>2.0</v>
      </c>
      <c r="BN177" s="86">
        <v>2.0</v>
      </c>
      <c r="BO177" s="86">
        <v>2.0</v>
      </c>
      <c r="BP177" s="86">
        <v>2.0</v>
      </c>
      <c r="BQ177" s="86">
        <v>2.0</v>
      </c>
      <c r="BR177" s="86">
        <v>2.0</v>
      </c>
      <c r="BS177" s="86">
        <v>2.0</v>
      </c>
      <c r="BT177" s="87" t="s">
        <v>64</v>
      </c>
      <c r="BU177" s="87" t="s">
        <v>64</v>
      </c>
      <c r="BV177" s="87" t="s">
        <v>64</v>
      </c>
      <c r="BW177" s="50"/>
      <c r="BY177" s="53" t="s">
        <v>2992</v>
      </c>
      <c r="CA177" s="86">
        <v>2.0</v>
      </c>
      <c r="CB177" s="86">
        <v>2.0</v>
      </c>
      <c r="CC177" s="86">
        <v>2.0</v>
      </c>
      <c r="CD177" s="86">
        <v>2.0</v>
      </c>
      <c r="CE177" s="86">
        <v>2.0</v>
      </c>
      <c r="CF177" s="86">
        <v>2.0</v>
      </c>
      <c r="CG177" s="86">
        <v>2.0</v>
      </c>
      <c r="CH177" s="87" t="s">
        <v>64</v>
      </c>
      <c r="CI177" s="87" t="s">
        <v>64</v>
      </c>
      <c r="CJ177" s="87" t="s">
        <v>64</v>
      </c>
      <c r="CK177" s="50"/>
      <c r="CO177" s="50"/>
      <c r="CP177" s="50"/>
      <c r="CQ177" s="50"/>
      <c r="CR177" s="50"/>
      <c r="CS177" s="50"/>
      <c r="CT177" s="50"/>
      <c r="CU177" s="50"/>
      <c r="CV177" s="50"/>
      <c r="CW177" s="50"/>
      <c r="CX177" s="50"/>
      <c r="CY177" s="50"/>
      <c r="DA177" s="111" t="s">
        <v>2993</v>
      </c>
      <c r="DC177" s="86">
        <v>2.0</v>
      </c>
      <c r="DD177" s="86">
        <v>2.0</v>
      </c>
      <c r="DE177" s="86">
        <v>2.0</v>
      </c>
      <c r="DF177" s="86">
        <v>2.0</v>
      </c>
      <c r="DG177" s="86">
        <v>2.0</v>
      </c>
      <c r="DH177" s="86">
        <v>2.0</v>
      </c>
      <c r="DI177" s="86">
        <v>2.0</v>
      </c>
      <c r="DJ177" s="87" t="s">
        <v>64</v>
      </c>
      <c r="DK177" s="87" t="s">
        <v>64</v>
      </c>
      <c r="DL177" s="87" t="s">
        <v>64</v>
      </c>
      <c r="DM177" s="50"/>
      <c r="DO177" s="107" t="s">
        <v>2994</v>
      </c>
      <c r="DQ177" s="86">
        <v>2.0</v>
      </c>
      <c r="DR177" s="86">
        <v>2.0</v>
      </c>
      <c r="DS177" s="86">
        <v>2.0</v>
      </c>
      <c r="DT177" s="86">
        <v>2.0</v>
      </c>
      <c r="DU177" s="86">
        <v>2.0</v>
      </c>
      <c r="DV177" s="86">
        <v>2.0</v>
      </c>
      <c r="DW177" s="86">
        <v>2.0</v>
      </c>
      <c r="DX177" s="87" t="s">
        <v>64</v>
      </c>
      <c r="DY177" s="87" t="s">
        <v>64</v>
      </c>
      <c r="DZ177" s="87" t="s">
        <v>64</v>
      </c>
      <c r="EA177" s="50"/>
    </row>
    <row r="178" ht="15.75" customHeight="1">
      <c r="A178" s="14">
        <v>16.0</v>
      </c>
      <c r="B178" s="14" t="s">
        <v>168</v>
      </c>
      <c r="C178" s="14" t="str">
        <f t="array" ref="C178">IFERROR(INDEX(DOCUMENTOS!$E:$E,MATCH($A178,DOCUMENTOS!$A:$A,0)),"")</f>
        <v/>
      </c>
      <c r="D178" s="14" t="str">
        <f t="array" ref="D178">IFERROR(INDEX('BANCO DE PERGUNTAS'!$D:$D,MATCH($B178,'BANCO DE PERGUNTAS'!$A:$A,0)),"")</f>
        <v>Qual é a data indicada para de assinatura de todos os membros da comissão da contratação?</v>
      </c>
      <c r="E178" s="14" t="str">
        <f t="array" ref="E178">IFERROR(INDEX('BANCO DE PERGUNTAS'!$B:$B,MATCH($B178,'BANCO DE PERGUNTAS'!$A:$A,0)),"")</f>
        <v>Localização</v>
      </c>
      <c r="F178" s="17">
        <f t="array" ref="F178">IFERROR(INDEX('BANCO DE PERGUNTAS'!$H:$H,MATCH($B178,'BANCO DE PERGUNTAS'!$A:$A,0)),"")</f>
        <v>1</v>
      </c>
      <c r="I178" s="50"/>
      <c r="J178" s="50"/>
      <c r="K178" s="50"/>
      <c r="L178" s="50"/>
      <c r="M178" s="50"/>
      <c r="N178" s="50"/>
      <c r="O178" s="50"/>
      <c r="P178" s="50"/>
      <c r="Q178" s="50"/>
      <c r="R178" s="50"/>
      <c r="S178" s="50"/>
      <c r="U178" s="101" t="s">
        <v>2995</v>
      </c>
      <c r="W178" s="86">
        <v>2.0</v>
      </c>
      <c r="X178" s="86">
        <v>2.0</v>
      </c>
      <c r="Y178" s="86">
        <v>2.0</v>
      </c>
      <c r="Z178" s="86">
        <v>2.0</v>
      </c>
      <c r="AA178" s="86">
        <v>2.0</v>
      </c>
      <c r="AB178" s="86">
        <v>2.0</v>
      </c>
      <c r="AC178" s="86">
        <v>2.0</v>
      </c>
      <c r="AD178" s="87" t="s">
        <v>64</v>
      </c>
      <c r="AE178" s="87" t="s">
        <v>64</v>
      </c>
      <c r="AF178" s="87" t="s">
        <v>64</v>
      </c>
      <c r="AG178" s="50"/>
      <c r="AI178" s="106" t="s">
        <v>2996</v>
      </c>
      <c r="AK178" s="86">
        <v>2.0</v>
      </c>
      <c r="AL178" s="86">
        <v>2.0</v>
      </c>
      <c r="AM178" s="86">
        <v>2.0</v>
      </c>
      <c r="AN178" s="86">
        <v>2.0</v>
      </c>
      <c r="AO178" s="86">
        <v>2.0</v>
      </c>
      <c r="AP178" s="86">
        <v>2.0</v>
      </c>
      <c r="AQ178" s="86">
        <v>2.0</v>
      </c>
      <c r="AR178" s="87" t="s">
        <v>64</v>
      </c>
      <c r="AS178" s="87" t="s">
        <v>64</v>
      </c>
      <c r="AT178" s="87" t="s">
        <v>64</v>
      </c>
      <c r="AU178" s="50"/>
      <c r="AY178" s="50"/>
      <c r="AZ178" s="50"/>
      <c r="BA178" s="50"/>
      <c r="BB178" s="50"/>
      <c r="BC178" s="50"/>
      <c r="BD178" s="50"/>
      <c r="BE178" s="50"/>
      <c r="BF178" s="50"/>
      <c r="BG178" s="50"/>
      <c r="BH178" s="50"/>
      <c r="BI178" s="50"/>
      <c r="BK178" s="104" t="s">
        <v>2997</v>
      </c>
      <c r="BM178" s="86">
        <v>2.0</v>
      </c>
      <c r="BN178" s="86">
        <v>2.0</v>
      </c>
      <c r="BO178" s="86">
        <v>2.0</v>
      </c>
      <c r="BP178" s="86">
        <v>2.0</v>
      </c>
      <c r="BQ178" s="86">
        <v>2.0</v>
      </c>
      <c r="BR178" s="86">
        <v>2.0</v>
      </c>
      <c r="BS178" s="86">
        <v>2.0</v>
      </c>
      <c r="BT178" s="87" t="s">
        <v>64</v>
      </c>
      <c r="BU178" s="87" t="s">
        <v>64</v>
      </c>
      <c r="BV178" s="87" t="s">
        <v>64</v>
      </c>
      <c r="BW178" s="50"/>
      <c r="BY178" s="110" t="s">
        <v>2998</v>
      </c>
      <c r="CA178" s="86">
        <v>2.0</v>
      </c>
      <c r="CB178" s="86">
        <v>2.0</v>
      </c>
      <c r="CC178" s="86">
        <v>2.0</v>
      </c>
      <c r="CD178" s="86">
        <v>2.0</v>
      </c>
      <c r="CE178" s="86">
        <v>2.0</v>
      </c>
      <c r="CF178" s="86">
        <v>2.0</v>
      </c>
      <c r="CG178" s="86">
        <v>2.0</v>
      </c>
      <c r="CH178" s="87" t="s">
        <v>64</v>
      </c>
      <c r="CI178" s="87" t="s">
        <v>64</v>
      </c>
      <c r="CJ178" s="87" t="s">
        <v>64</v>
      </c>
      <c r="CK178" s="50"/>
      <c r="CO178" s="50"/>
      <c r="CP178" s="50"/>
      <c r="CQ178" s="50"/>
      <c r="CR178" s="50"/>
      <c r="CS178" s="50"/>
      <c r="CT178" s="50"/>
      <c r="CU178" s="50"/>
      <c r="CV178" s="50"/>
      <c r="CW178" s="50"/>
      <c r="CX178" s="50"/>
      <c r="CY178" s="50"/>
      <c r="DA178" s="111" t="s">
        <v>2999</v>
      </c>
      <c r="DC178" s="86">
        <v>2.0</v>
      </c>
      <c r="DD178" s="86">
        <v>2.0</v>
      </c>
      <c r="DE178" s="86">
        <v>2.0</v>
      </c>
      <c r="DF178" s="86">
        <v>2.0</v>
      </c>
      <c r="DG178" s="86">
        <v>2.0</v>
      </c>
      <c r="DH178" s="86">
        <v>2.0</v>
      </c>
      <c r="DI178" s="86">
        <v>2.0</v>
      </c>
      <c r="DJ178" s="87" t="s">
        <v>64</v>
      </c>
      <c r="DK178" s="87" t="s">
        <v>64</v>
      </c>
      <c r="DL178" s="87" t="s">
        <v>64</v>
      </c>
      <c r="DM178" s="50"/>
      <c r="DO178" s="109" t="s">
        <v>3000</v>
      </c>
      <c r="DQ178" s="86">
        <v>2.0</v>
      </c>
      <c r="DR178" s="86">
        <v>2.0</v>
      </c>
      <c r="DS178" s="86">
        <v>2.0</v>
      </c>
      <c r="DT178" s="86">
        <v>2.0</v>
      </c>
      <c r="DU178" s="86">
        <v>2.0</v>
      </c>
      <c r="DV178" s="86">
        <v>2.0</v>
      </c>
      <c r="DW178" s="86">
        <v>2.0</v>
      </c>
      <c r="DX178" s="87" t="s">
        <v>64</v>
      </c>
      <c r="DY178" s="87" t="s">
        <v>64</v>
      </c>
      <c r="DZ178" s="87" t="s">
        <v>64</v>
      </c>
      <c r="EA178" s="50"/>
    </row>
    <row r="179" ht="15.75" customHeight="1">
      <c r="A179" s="11">
        <v>16.0</v>
      </c>
      <c r="B179" s="11" t="s">
        <v>172</v>
      </c>
      <c r="C179" s="11" t="str">
        <f t="array" ref="C179">IFERROR(INDEX(DOCUMENTOS!$E:$E,MATCH($A179,DOCUMENTOS!$A:$A,0)),"")</f>
        <v/>
      </c>
      <c r="D179" s="11" t="str">
        <f t="array" ref="D179">IFERROR(INDEX('BANCO DE PERGUNTAS'!$D:$D,MATCH($B179,'BANCO DE PERGUNTAS'!$A:$A,0)),"")</f>
        <v>Extraia os principais dados do documento em formato estruturado.</v>
      </c>
      <c r="E179" s="11" t="str">
        <f t="array" ref="E179">IFERROR(INDEX('BANCO DE PERGUNTAS'!$B:$B,MATCH($B179,'BANCO DE PERGUNTAS'!$A:$A,0)),"")</f>
        <v>Extração</v>
      </c>
      <c r="F179" s="12">
        <f t="array" ref="F179">IFERROR(INDEX('BANCO DE PERGUNTAS'!$H:$H,MATCH($B179,'BANCO DE PERGUNTAS'!$A:$A,0)),"")</f>
        <v>2</v>
      </c>
      <c r="I179" s="50"/>
      <c r="J179" s="50"/>
      <c r="K179" s="50"/>
      <c r="L179" s="50"/>
      <c r="M179" s="50"/>
      <c r="N179" s="50"/>
      <c r="O179" s="50"/>
      <c r="P179" s="50"/>
      <c r="Q179" s="50"/>
      <c r="R179" s="50"/>
      <c r="S179" s="50"/>
      <c r="U179" s="97" t="s">
        <v>3001</v>
      </c>
      <c r="W179" s="86">
        <v>2.0</v>
      </c>
      <c r="X179" s="86">
        <v>2.0</v>
      </c>
      <c r="Y179" s="86">
        <v>2.0</v>
      </c>
      <c r="Z179" s="86">
        <v>2.0</v>
      </c>
      <c r="AA179" s="86">
        <v>2.0</v>
      </c>
      <c r="AB179" s="86">
        <v>2.0</v>
      </c>
      <c r="AC179" s="86">
        <v>2.0</v>
      </c>
      <c r="AD179" s="87" t="s">
        <v>64</v>
      </c>
      <c r="AE179" s="87" t="s">
        <v>64</v>
      </c>
      <c r="AF179" s="87" t="s">
        <v>64</v>
      </c>
      <c r="AG179" s="50"/>
      <c r="AI179" s="106" t="s">
        <v>3002</v>
      </c>
      <c r="AK179" s="86">
        <v>2.0</v>
      </c>
      <c r="AL179" s="86">
        <v>2.0</v>
      </c>
      <c r="AM179" s="86">
        <v>2.0</v>
      </c>
      <c r="AN179" s="86">
        <v>2.0</v>
      </c>
      <c r="AO179" s="86">
        <v>2.0</v>
      </c>
      <c r="AP179" s="86">
        <v>2.0</v>
      </c>
      <c r="AQ179" s="86">
        <v>2.0</v>
      </c>
      <c r="AR179" s="87" t="s">
        <v>64</v>
      </c>
      <c r="AS179" s="87" t="s">
        <v>64</v>
      </c>
      <c r="AT179" s="87" t="s">
        <v>64</v>
      </c>
      <c r="AU179" s="50"/>
      <c r="AY179" s="50"/>
      <c r="AZ179" s="50"/>
      <c r="BA179" s="50"/>
      <c r="BB179" s="50"/>
      <c r="BC179" s="50"/>
      <c r="BD179" s="50"/>
      <c r="BE179" s="50"/>
      <c r="BF179" s="50"/>
      <c r="BG179" s="50"/>
      <c r="BH179" s="50"/>
      <c r="BI179" s="50"/>
      <c r="BK179" s="104" t="s">
        <v>3003</v>
      </c>
      <c r="BM179" s="86">
        <v>2.0</v>
      </c>
      <c r="BN179" s="86">
        <v>2.0</v>
      </c>
      <c r="BO179" s="86">
        <v>2.0</v>
      </c>
      <c r="BP179" s="86">
        <v>2.0</v>
      </c>
      <c r="BQ179" s="86">
        <v>2.0</v>
      </c>
      <c r="BR179" s="86">
        <v>2.0</v>
      </c>
      <c r="BS179" s="86">
        <v>2.0</v>
      </c>
      <c r="BT179" s="87" t="s">
        <v>64</v>
      </c>
      <c r="BU179" s="87" t="s">
        <v>64</v>
      </c>
      <c r="BV179" s="87" t="s">
        <v>64</v>
      </c>
      <c r="BW179" s="50"/>
      <c r="BY179" s="112" t="s">
        <v>3004</v>
      </c>
      <c r="CA179" s="86">
        <v>2.0</v>
      </c>
      <c r="CB179" s="86">
        <v>2.0</v>
      </c>
      <c r="CC179" s="86">
        <v>2.0</v>
      </c>
      <c r="CD179" s="86">
        <v>2.0</v>
      </c>
      <c r="CE179" s="86">
        <v>2.0</v>
      </c>
      <c r="CF179" s="86">
        <v>2.0</v>
      </c>
      <c r="CG179" s="86">
        <v>2.0</v>
      </c>
      <c r="CH179" s="87" t="s">
        <v>64</v>
      </c>
      <c r="CI179" s="87" t="s">
        <v>64</v>
      </c>
      <c r="CJ179" s="87" t="s">
        <v>64</v>
      </c>
      <c r="CK179" s="50"/>
      <c r="CO179" s="50"/>
      <c r="CP179" s="50"/>
      <c r="CQ179" s="50"/>
      <c r="CR179" s="50"/>
      <c r="CS179" s="50"/>
      <c r="CT179" s="50"/>
      <c r="CU179" s="50"/>
      <c r="CV179" s="50"/>
      <c r="CW179" s="50"/>
      <c r="CX179" s="50"/>
      <c r="CY179" s="50"/>
      <c r="DA179" s="111" t="s">
        <v>3005</v>
      </c>
      <c r="DC179" s="86">
        <v>2.0</v>
      </c>
      <c r="DD179" s="86">
        <v>2.0</v>
      </c>
      <c r="DE179" s="86">
        <v>2.0</v>
      </c>
      <c r="DF179" s="86">
        <v>2.0</v>
      </c>
      <c r="DG179" s="86">
        <v>2.0</v>
      </c>
      <c r="DH179" s="86">
        <v>2.0</v>
      </c>
      <c r="DI179" s="86">
        <v>2.0</v>
      </c>
      <c r="DJ179" s="87" t="s">
        <v>64</v>
      </c>
      <c r="DK179" s="87" t="s">
        <v>64</v>
      </c>
      <c r="DL179" s="87" t="s">
        <v>64</v>
      </c>
      <c r="DM179" s="50"/>
      <c r="DO179" s="107" t="s">
        <v>3006</v>
      </c>
      <c r="DQ179" s="86">
        <v>2.0</v>
      </c>
      <c r="DR179" s="86">
        <v>2.0</v>
      </c>
      <c r="DS179" s="86">
        <v>2.0</v>
      </c>
      <c r="DT179" s="86">
        <v>2.0</v>
      </c>
      <c r="DU179" s="86">
        <v>2.0</v>
      </c>
      <c r="DV179" s="86">
        <v>2.0</v>
      </c>
      <c r="DW179" s="86">
        <v>2.0</v>
      </c>
      <c r="DX179" s="87" t="s">
        <v>64</v>
      </c>
      <c r="DY179" s="87" t="s">
        <v>64</v>
      </c>
      <c r="DZ179" s="87" t="s">
        <v>64</v>
      </c>
      <c r="EA179" s="50"/>
    </row>
    <row r="180" ht="15.75" customHeight="1">
      <c r="A180" s="14">
        <v>16.0</v>
      </c>
      <c r="B180" s="14" t="s">
        <v>179</v>
      </c>
      <c r="C180" s="14" t="str">
        <f t="array" ref="C180">IFERROR(INDEX(DOCUMENTOS!$E:$E,MATCH($A180,DOCUMENTOS!$A:$A,0)),"")</f>
        <v/>
      </c>
      <c r="D180" s="14" t="str">
        <f t="array" ref="D180">IFERROR(INDEX('BANCO DE PERGUNTAS'!$D:$D,MATCH($B180,'BANCO DE PERGUNTAS'!$A:$A,0)),"")</f>
        <v>Liste os valores financeiros presentes no documento.</v>
      </c>
      <c r="E180" s="14" t="str">
        <f t="array" ref="E180">IFERROR(INDEX('BANCO DE PERGUNTAS'!$B:$B,MATCH($B180,'BANCO DE PERGUNTAS'!$A:$A,0)),"")</f>
        <v>Extração</v>
      </c>
      <c r="F180" s="17">
        <f t="array" ref="F180">IFERROR(INDEX('BANCO DE PERGUNTAS'!$H:$H,MATCH($B180,'BANCO DE PERGUNTAS'!$A:$A,0)),"")</f>
        <v>2</v>
      </c>
      <c r="I180" s="50"/>
      <c r="J180" s="50"/>
      <c r="K180" s="50"/>
      <c r="L180" s="50"/>
      <c r="M180" s="50"/>
      <c r="N180" s="50"/>
      <c r="O180" s="50"/>
      <c r="P180" s="50"/>
      <c r="Q180" s="50"/>
      <c r="R180" s="50"/>
      <c r="S180" s="50"/>
      <c r="U180" s="101" t="s">
        <v>3007</v>
      </c>
      <c r="W180" s="86">
        <v>2.0</v>
      </c>
      <c r="X180" s="86">
        <v>2.0</v>
      </c>
      <c r="Y180" s="86">
        <v>2.0</v>
      </c>
      <c r="Z180" s="86">
        <v>2.0</v>
      </c>
      <c r="AA180" s="86">
        <v>2.0</v>
      </c>
      <c r="AB180" s="86">
        <v>2.0</v>
      </c>
      <c r="AC180" s="86">
        <v>2.0</v>
      </c>
      <c r="AD180" s="87" t="s">
        <v>64</v>
      </c>
      <c r="AE180" s="87" t="s">
        <v>64</v>
      </c>
      <c r="AF180" s="87" t="s">
        <v>64</v>
      </c>
      <c r="AG180" s="50"/>
      <c r="AI180" s="106" t="s">
        <v>3008</v>
      </c>
      <c r="AK180" s="86">
        <v>2.0</v>
      </c>
      <c r="AL180" s="86">
        <v>2.0</v>
      </c>
      <c r="AM180" s="86">
        <v>2.0</v>
      </c>
      <c r="AN180" s="86">
        <v>2.0</v>
      </c>
      <c r="AO180" s="86">
        <v>2.0</v>
      </c>
      <c r="AP180" s="86">
        <v>2.0</v>
      </c>
      <c r="AQ180" s="86">
        <v>2.0</v>
      </c>
      <c r="AR180" s="87" t="s">
        <v>64</v>
      </c>
      <c r="AS180" s="87" t="s">
        <v>64</v>
      </c>
      <c r="AT180" s="87" t="s">
        <v>64</v>
      </c>
      <c r="AU180" s="50"/>
      <c r="AY180" s="50"/>
      <c r="AZ180" s="50"/>
      <c r="BA180" s="50"/>
      <c r="BB180" s="50"/>
      <c r="BC180" s="50"/>
      <c r="BD180" s="50"/>
      <c r="BE180" s="50"/>
      <c r="BF180" s="50"/>
      <c r="BG180" s="50"/>
      <c r="BH180" s="50"/>
      <c r="BI180" s="50"/>
      <c r="BK180" s="104" t="s">
        <v>3009</v>
      </c>
      <c r="BM180" s="86">
        <v>2.0</v>
      </c>
      <c r="BN180" s="86">
        <v>2.0</v>
      </c>
      <c r="BO180" s="86">
        <v>2.0</v>
      </c>
      <c r="BP180" s="86">
        <v>2.0</v>
      </c>
      <c r="BQ180" s="86">
        <v>2.0</v>
      </c>
      <c r="BR180" s="86">
        <v>2.0</v>
      </c>
      <c r="BS180" s="86">
        <v>2.0</v>
      </c>
      <c r="BT180" s="87" t="s">
        <v>64</v>
      </c>
      <c r="BU180" s="87" t="s">
        <v>64</v>
      </c>
      <c r="BV180" s="87" t="s">
        <v>64</v>
      </c>
      <c r="BW180" s="50"/>
      <c r="BY180" s="108" t="s">
        <v>3010</v>
      </c>
      <c r="CA180" s="86">
        <v>2.0</v>
      </c>
      <c r="CB180" s="86">
        <v>2.0</v>
      </c>
      <c r="CC180" s="86">
        <v>2.0</v>
      </c>
      <c r="CD180" s="86">
        <v>2.0</v>
      </c>
      <c r="CE180" s="86">
        <v>2.0</v>
      </c>
      <c r="CF180" s="86">
        <v>2.0</v>
      </c>
      <c r="CG180" s="86">
        <v>2.0</v>
      </c>
      <c r="CH180" s="87" t="s">
        <v>64</v>
      </c>
      <c r="CI180" s="87" t="s">
        <v>64</v>
      </c>
      <c r="CJ180" s="87" t="s">
        <v>64</v>
      </c>
      <c r="CK180" s="50"/>
      <c r="CO180" s="50"/>
      <c r="CP180" s="50"/>
      <c r="CQ180" s="50"/>
      <c r="CR180" s="50"/>
      <c r="CS180" s="50"/>
      <c r="CT180" s="50"/>
      <c r="CU180" s="50"/>
      <c r="CV180" s="50"/>
      <c r="CW180" s="50"/>
      <c r="CX180" s="50"/>
      <c r="CY180" s="50"/>
      <c r="DA180" s="111" t="s">
        <v>3011</v>
      </c>
      <c r="DC180" s="86">
        <v>2.0</v>
      </c>
      <c r="DD180" s="86">
        <v>2.0</v>
      </c>
      <c r="DE180" s="86">
        <v>2.0</v>
      </c>
      <c r="DF180" s="86">
        <v>2.0</v>
      </c>
      <c r="DG180" s="86">
        <v>2.0</v>
      </c>
      <c r="DH180" s="86">
        <v>2.0</v>
      </c>
      <c r="DI180" s="86">
        <v>2.0</v>
      </c>
      <c r="DJ180" s="87" t="s">
        <v>64</v>
      </c>
      <c r="DK180" s="87" t="s">
        <v>64</v>
      </c>
      <c r="DL180" s="87" t="s">
        <v>64</v>
      </c>
      <c r="DM180" s="50"/>
      <c r="DO180" s="109" t="s">
        <v>3011</v>
      </c>
      <c r="DQ180" s="86">
        <v>2.0</v>
      </c>
      <c r="DR180" s="86">
        <v>2.0</v>
      </c>
      <c r="DS180" s="86">
        <v>2.0</v>
      </c>
      <c r="DT180" s="86">
        <v>2.0</v>
      </c>
      <c r="DU180" s="86">
        <v>2.0</v>
      </c>
      <c r="DV180" s="86">
        <v>2.0</v>
      </c>
      <c r="DW180" s="86">
        <v>2.0</v>
      </c>
      <c r="DX180" s="87" t="s">
        <v>64</v>
      </c>
      <c r="DY180" s="87" t="s">
        <v>64</v>
      </c>
      <c r="DZ180" s="87" t="s">
        <v>64</v>
      </c>
      <c r="EA180" s="50"/>
    </row>
    <row r="181" ht="15.75" customHeight="1">
      <c r="A181" s="11">
        <v>16.0</v>
      </c>
      <c r="B181" s="11" t="s">
        <v>186</v>
      </c>
      <c r="C181" s="11" t="str">
        <f t="array" ref="C181">IFERROR(INDEX(DOCUMENTOS!$E:$E,MATCH($A181,DOCUMENTOS!$A:$A,0)),"")</f>
        <v/>
      </c>
      <c r="D181" s="11" t="str">
        <f t="array" ref="D181">IFERROR(INDEX('BANCO DE PERGUNTAS'!$D:$D,MATCH($B181,'BANCO DE PERGUNTAS'!$A:$A,0)),"")</f>
        <v>Liste as obrigações ou responsabilidades estabelecidas.</v>
      </c>
      <c r="E181" s="11" t="str">
        <f t="array" ref="E181">IFERROR(INDEX('BANCO DE PERGUNTAS'!$B:$B,MATCH($B181,'BANCO DE PERGUNTAS'!$A:$A,0)),"")</f>
        <v>Extração</v>
      </c>
      <c r="F181" s="12">
        <f t="array" ref="F181">IFERROR(INDEX('BANCO DE PERGUNTAS'!$H:$H,MATCH($B181,'BANCO DE PERGUNTAS'!$A:$A,0)),"")</f>
        <v>2</v>
      </c>
      <c r="I181" s="50"/>
      <c r="J181" s="50"/>
      <c r="K181" s="50"/>
      <c r="L181" s="50"/>
      <c r="M181" s="50"/>
      <c r="N181" s="50"/>
      <c r="O181" s="50"/>
      <c r="P181" s="50"/>
      <c r="Q181" s="50"/>
      <c r="R181" s="50"/>
      <c r="S181" s="50"/>
      <c r="U181" s="97" t="s">
        <v>3012</v>
      </c>
      <c r="W181" s="86">
        <v>2.0</v>
      </c>
      <c r="X181" s="86">
        <v>2.0</v>
      </c>
      <c r="Y181" s="86">
        <v>2.0</v>
      </c>
      <c r="Z181" s="86">
        <v>2.0</v>
      </c>
      <c r="AA181" s="86">
        <v>2.0</v>
      </c>
      <c r="AB181" s="86">
        <v>2.0</v>
      </c>
      <c r="AC181" s="86">
        <v>2.0</v>
      </c>
      <c r="AD181" s="87" t="s">
        <v>64</v>
      </c>
      <c r="AE181" s="87" t="s">
        <v>64</v>
      </c>
      <c r="AF181" s="87" t="s">
        <v>64</v>
      </c>
      <c r="AG181" s="50"/>
      <c r="AI181" s="106" t="s">
        <v>3013</v>
      </c>
      <c r="AK181" s="86">
        <v>2.0</v>
      </c>
      <c r="AL181" s="86">
        <v>2.0</v>
      </c>
      <c r="AM181" s="86">
        <v>2.0</v>
      </c>
      <c r="AN181" s="86">
        <v>2.0</v>
      </c>
      <c r="AO181" s="86">
        <v>2.0</v>
      </c>
      <c r="AP181" s="86">
        <v>2.0</v>
      </c>
      <c r="AQ181" s="86">
        <v>2.0</v>
      </c>
      <c r="AR181" s="87" t="s">
        <v>64</v>
      </c>
      <c r="AS181" s="87" t="s">
        <v>64</v>
      </c>
      <c r="AT181" s="87" t="s">
        <v>64</v>
      </c>
      <c r="AU181" s="50"/>
      <c r="AY181" s="50"/>
      <c r="AZ181" s="50"/>
      <c r="BA181" s="50"/>
      <c r="BB181" s="50"/>
      <c r="BC181" s="50"/>
      <c r="BD181" s="50"/>
      <c r="BE181" s="50"/>
      <c r="BF181" s="50"/>
      <c r="BG181" s="50"/>
      <c r="BH181" s="50"/>
      <c r="BI181" s="50"/>
      <c r="BK181" s="104" t="s">
        <v>3014</v>
      </c>
      <c r="BM181" s="86">
        <v>2.0</v>
      </c>
      <c r="BN181" s="86">
        <v>2.0</v>
      </c>
      <c r="BO181" s="86">
        <v>2.0</v>
      </c>
      <c r="BP181" s="86">
        <v>2.0</v>
      </c>
      <c r="BQ181" s="86">
        <v>2.0</v>
      </c>
      <c r="BR181" s="86">
        <v>2.0</v>
      </c>
      <c r="BS181" s="86">
        <v>2.0</v>
      </c>
      <c r="BT181" s="87" t="s">
        <v>64</v>
      </c>
      <c r="BU181" s="87" t="s">
        <v>64</v>
      </c>
      <c r="BV181" s="87" t="s">
        <v>64</v>
      </c>
      <c r="BW181" s="50"/>
      <c r="BY181" s="112" t="s">
        <v>3015</v>
      </c>
      <c r="CA181" s="86">
        <v>2.0</v>
      </c>
      <c r="CB181" s="86">
        <v>2.0</v>
      </c>
      <c r="CC181" s="86">
        <v>2.0</v>
      </c>
      <c r="CD181" s="86">
        <v>2.0</v>
      </c>
      <c r="CE181" s="86">
        <v>2.0</v>
      </c>
      <c r="CF181" s="86">
        <v>2.0</v>
      </c>
      <c r="CG181" s="86">
        <v>2.0</v>
      </c>
      <c r="CH181" s="87" t="s">
        <v>64</v>
      </c>
      <c r="CI181" s="87" t="s">
        <v>64</v>
      </c>
      <c r="CJ181" s="87" t="s">
        <v>64</v>
      </c>
      <c r="CK181" s="50"/>
      <c r="CO181" s="50"/>
      <c r="CP181" s="50"/>
      <c r="CQ181" s="50"/>
      <c r="CR181" s="50"/>
      <c r="CS181" s="50"/>
      <c r="CT181" s="50"/>
      <c r="CU181" s="50"/>
      <c r="CV181" s="50"/>
      <c r="CW181" s="50"/>
      <c r="CX181" s="50"/>
      <c r="CY181" s="50"/>
      <c r="DA181" s="111" t="s">
        <v>3016</v>
      </c>
      <c r="DC181" s="86">
        <v>2.0</v>
      </c>
      <c r="DD181" s="86">
        <v>2.0</v>
      </c>
      <c r="DE181" s="86">
        <v>2.0</v>
      </c>
      <c r="DF181" s="86">
        <v>2.0</v>
      </c>
      <c r="DG181" s="86">
        <v>2.0</v>
      </c>
      <c r="DH181" s="86">
        <v>2.0</v>
      </c>
      <c r="DI181" s="86">
        <v>2.0</v>
      </c>
      <c r="DJ181" s="87" t="s">
        <v>64</v>
      </c>
      <c r="DK181" s="87" t="s">
        <v>64</v>
      </c>
      <c r="DL181" s="87" t="s">
        <v>64</v>
      </c>
      <c r="DM181" s="50"/>
      <c r="DO181" s="107" t="s">
        <v>3017</v>
      </c>
      <c r="DQ181" s="86">
        <v>0.0</v>
      </c>
      <c r="DR181" s="86">
        <v>2.0</v>
      </c>
      <c r="DS181" s="86">
        <v>1.0</v>
      </c>
      <c r="DT181" s="86">
        <v>1.0</v>
      </c>
      <c r="DU181" s="86">
        <v>2.0</v>
      </c>
      <c r="DV181" s="86">
        <v>1.0</v>
      </c>
      <c r="DW181" s="86">
        <v>2.0</v>
      </c>
      <c r="DX181" s="87" t="s">
        <v>64</v>
      </c>
      <c r="DY181" s="87" t="s">
        <v>64</v>
      </c>
      <c r="DZ181" s="87" t="s">
        <v>64</v>
      </c>
      <c r="EA181" s="50"/>
    </row>
    <row r="182" ht="15.75" customHeight="1">
      <c r="A182" s="14">
        <v>16.0</v>
      </c>
      <c r="B182" s="14" t="s">
        <v>190</v>
      </c>
      <c r="C182" s="14" t="str">
        <f t="array" ref="C182">IFERROR(INDEX(DOCUMENTOS!$E:$E,MATCH($A182,DOCUMENTOS!$A:$A,0)),"")</f>
        <v/>
      </c>
      <c r="D182" s="14" t="str">
        <f t="array" ref="D182">IFERROR(INDEX('BANCO DE PERGUNTAS'!$D:$D,MATCH($B182,'BANCO DE PERGUNTAS'!$A:$A,0)),"")</f>
        <v>Explique o significado da cláusula/seção 4.1.4..</v>
      </c>
      <c r="E182" s="14" t="str">
        <f t="array" ref="E182">IFERROR(INDEX('BANCO DE PERGUNTAS'!$B:$B,MATCH($B182,'BANCO DE PERGUNTAS'!$A:$A,0)),"")</f>
        <v>Interpretação</v>
      </c>
      <c r="F182" s="17">
        <f t="array" ref="F182">IFERROR(INDEX('BANCO DE PERGUNTAS'!$H:$H,MATCH($B182,'BANCO DE PERGUNTAS'!$A:$A,0)),"")</f>
        <v>3</v>
      </c>
      <c r="I182" s="50"/>
      <c r="J182" s="50"/>
      <c r="K182" s="50"/>
      <c r="L182" s="50"/>
      <c r="M182" s="50"/>
      <c r="N182" s="50"/>
      <c r="O182" s="50"/>
      <c r="P182" s="50"/>
      <c r="Q182" s="50"/>
      <c r="R182" s="50"/>
      <c r="S182" s="50"/>
      <c r="U182" s="101" t="s">
        <v>2634</v>
      </c>
      <c r="W182" s="86">
        <v>2.0</v>
      </c>
      <c r="X182" s="86">
        <v>2.0</v>
      </c>
      <c r="Y182" s="86">
        <v>2.0</v>
      </c>
      <c r="Z182" s="86">
        <v>2.0</v>
      </c>
      <c r="AA182" s="86">
        <v>2.0</v>
      </c>
      <c r="AB182" s="86">
        <v>2.0</v>
      </c>
      <c r="AC182" s="86">
        <v>2.0</v>
      </c>
      <c r="AD182" s="87" t="s">
        <v>64</v>
      </c>
      <c r="AE182" s="87" t="s">
        <v>64</v>
      </c>
      <c r="AF182" s="87" t="s">
        <v>64</v>
      </c>
      <c r="AG182" s="50"/>
      <c r="AI182" s="106" t="s">
        <v>976</v>
      </c>
      <c r="AK182" s="86">
        <v>2.0</v>
      </c>
      <c r="AL182" s="86">
        <v>2.0</v>
      </c>
      <c r="AM182" s="86">
        <v>2.0</v>
      </c>
      <c r="AN182" s="86">
        <v>2.0</v>
      </c>
      <c r="AO182" s="86">
        <v>2.0</v>
      </c>
      <c r="AP182" s="86">
        <v>2.0</v>
      </c>
      <c r="AQ182" s="86">
        <v>2.0</v>
      </c>
      <c r="AR182" s="87" t="s">
        <v>64</v>
      </c>
      <c r="AS182" s="87" t="s">
        <v>64</v>
      </c>
      <c r="AT182" s="87" t="s">
        <v>64</v>
      </c>
      <c r="AU182" s="50"/>
      <c r="AY182" s="50"/>
      <c r="AZ182" s="50"/>
      <c r="BA182" s="50"/>
      <c r="BB182" s="50"/>
      <c r="BC182" s="50"/>
      <c r="BD182" s="50"/>
      <c r="BE182" s="50"/>
      <c r="BF182" s="50"/>
      <c r="BG182" s="50"/>
      <c r="BH182" s="50"/>
      <c r="BI182" s="50"/>
      <c r="BK182" s="104" t="s">
        <v>3018</v>
      </c>
      <c r="BM182" s="86">
        <v>2.0</v>
      </c>
      <c r="BN182" s="86">
        <v>2.0</v>
      </c>
      <c r="BO182" s="86">
        <v>2.0</v>
      </c>
      <c r="BP182" s="86">
        <v>2.0</v>
      </c>
      <c r="BQ182" s="86">
        <v>2.0</v>
      </c>
      <c r="BR182" s="86">
        <v>2.0</v>
      </c>
      <c r="BS182" s="86">
        <v>2.0</v>
      </c>
      <c r="BT182" s="87" t="s">
        <v>64</v>
      </c>
      <c r="BU182" s="87" t="s">
        <v>64</v>
      </c>
      <c r="BV182" s="87" t="s">
        <v>64</v>
      </c>
      <c r="BW182" s="50"/>
      <c r="BY182" s="108" t="s">
        <v>3019</v>
      </c>
      <c r="CA182" s="86">
        <v>2.0</v>
      </c>
      <c r="CB182" s="86">
        <v>2.0</v>
      </c>
      <c r="CC182" s="86">
        <v>2.0</v>
      </c>
      <c r="CD182" s="86">
        <v>2.0</v>
      </c>
      <c r="CE182" s="86">
        <v>2.0</v>
      </c>
      <c r="CF182" s="86">
        <v>2.0</v>
      </c>
      <c r="CG182" s="86">
        <v>2.0</v>
      </c>
      <c r="CH182" s="87" t="s">
        <v>64</v>
      </c>
      <c r="CI182" s="87" t="s">
        <v>64</v>
      </c>
      <c r="CJ182" s="87" t="s">
        <v>64</v>
      </c>
      <c r="CK182" s="50"/>
      <c r="CO182" s="50"/>
      <c r="CP182" s="50"/>
      <c r="CQ182" s="50"/>
      <c r="CR182" s="50"/>
      <c r="CS182" s="50"/>
      <c r="CT182" s="50"/>
      <c r="CU182" s="50"/>
      <c r="CV182" s="50"/>
      <c r="CW182" s="50"/>
      <c r="CX182" s="50"/>
      <c r="CY182" s="50"/>
      <c r="DA182" s="111" t="s">
        <v>3020</v>
      </c>
      <c r="DC182" s="86">
        <v>2.0</v>
      </c>
      <c r="DD182" s="86">
        <v>2.0</v>
      </c>
      <c r="DE182" s="86">
        <v>2.0</v>
      </c>
      <c r="DF182" s="86">
        <v>2.0</v>
      </c>
      <c r="DG182" s="86">
        <v>2.0</v>
      </c>
      <c r="DH182" s="86">
        <v>2.0</v>
      </c>
      <c r="DI182" s="86">
        <v>2.0</v>
      </c>
      <c r="DJ182" s="87" t="s">
        <v>64</v>
      </c>
      <c r="DK182" s="87" t="s">
        <v>64</v>
      </c>
      <c r="DL182" s="87" t="s">
        <v>64</v>
      </c>
      <c r="DM182" s="50"/>
      <c r="DO182" s="109" t="s">
        <v>3021</v>
      </c>
      <c r="DQ182" s="86">
        <v>2.0</v>
      </c>
      <c r="DR182" s="86">
        <v>2.0</v>
      </c>
      <c r="DS182" s="86">
        <v>2.0</v>
      </c>
      <c r="DT182" s="86">
        <v>2.0</v>
      </c>
      <c r="DU182" s="86">
        <v>2.0</v>
      </c>
      <c r="DV182" s="86">
        <v>2.0</v>
      </c>
      <c r="DW182" s="86">
        <v>2.0</v>
      </c>
      <c r="DX182" s="87" t="s">
        <v>64</v>
      </c>
      <c r="DY182" s="87" t="s">
        <v>64</v>
      </c>
      <c r="DZ182" s="87" t="s">
        <v>64</v>
      </c>
      <c r="EA182" s="50"/>
    </row>
    <row r="183" ht="15.75" customHeight="1">
      <c r="A183" s="11">
        <v>16.0</v>
      </c>
      <c r="B183" s="11" t="s">
        <v>199</v>
      </c>
      <c r="C183" s="11" t="str">
        <f t="array" ref="C183">IFERROR(INDEX(DOCUMENTOS!$E:$E,MATCH($A183,DOCUMENTOS!$A:$A,0)),"")</f>
        <v/>
      </c>
      <c r="D183" s="11" t="str">
        <f t="array" ref="D183">IFERROR(INDEX('BANCO DE PERGUNTAS'!$D:$D,MATCH($B183,'BANCO DE PERGUNTAS'!$A:$A,0)),"")</f>
        <v>Qual é a finalidade administrativa deste documento?</v>
      </c>
      <c r="E183" s="11" t="str">
        <f t="array" ref="E183">IFERROR(INDEX('BANCO DE PERGUNTAS'!$B:$B,MATCH($B183,'BANCO DE PERGUNTAS'!$A:$A,0)),"")</f>
        <v>Interpretação</v>
      </c>
      <c r="F183" s="12">
        <f t="array" ref="F183">IFERROR(INDEX('BANCO DE PERGUNTAS'!$H:$H,MATCH($B183,'BANCO DE PERGUNTAS'!$A:$A,0)),"")</f>
        <v>3</v>
      </c>
      <c r="I183" s="50"/>
      <c r="J183" s="50"/>
      <c r="K183" s="50"/>
      <c r="L183" s="50"/>
      <c r="M183" s="50"/>
      <c r="N183" s="50"/>
      <c r="O183" s="50"/>
      <c r="P183" s="50"/>
      <c r="Q183" s="50"/>
      <c r="R183" s="50"/>
      <c r="S183" s="50"/>
      <c r="U183" s="97" t="s">
        <v>3022</v>
      </c>
      <c r="W183" s="86">
        <v>2.0</v>
      </c>
      <c r="X183" s="86">
        <v>2.0</v>
      </c>
      <c r="Y183" s="86">
        <v>2.0</v>
      </c>
      <c r="Z183" s="86">
        <v>2.0</v>
      </c>
      <c r="AA183" s="86">
        <v>2.0</v>
      </c>
      <c r="AB183" s="86">
        <v>2.0</v>
      </c>
      <c r="AC183" s="86">
        <v>2.0</v>
      </c>
      <c r="AD183" s="87" t="s">
        <v>64</v>
      </c>
      <c r="AE183" s="87" t="s">
        <v>64</v>
      </c>
      <c r="AF183" s="87" t="s">
        <v>64</v>
      </c>
      <c r="AG183" s="50"/>
      <c r="AI183" s="106" t="s">
        <v>3023</v>
      </c>
      <c r="AK183" s="86">
        <v>2.0</v>
      </c>
      <c r="AL183" s="86">
        <v>2.0</v>
      </c>
      <c r="AM183" s="86">
        <v>2.0</v>
      </c>
      <c r="AN183" s="86">
        <v>2.0</v>
      </c>
      <c r="AO183" s="86">
        <v>2.0</v>
      </c>
      <c r="AP183" s="86">
        <v>2.0</v>
      </c>
      <c r="AQ183" s="86">
        <v>2.0</v>
      </c>
      <c r="AR183" s="87" t="s">
        <v>64</v>
      </c>
      <c r="AS183" s="87" t="s">
        <v>64</v>
      </c>
      <c r="AT183" s="87" t="s">
        <v>64</v>
      </c>
      <c r="AU183" s="50"/>
      <c r="AY183" s="50"/>
      <c r="AZ183" s="50"/>
      <c r="BA183" s="50"/>
      <c r="BB183" s="50"/>
      <c r="BC183" s="50"/>
      <c r="BD183" s="50"/>
      <c r="BE183" s="50"/>
      <c r="BF183" s="50"/>
      <c r="BG183" s="50"/>
      <c r="BH183" s="50"/>
      <c r="BI183" s="50"/>
      <c r="BK183" s="104" t="s">
        <v>3024</v>
      </c>
      <c r="BM183" s="86">
        <v>2.0</v>
      </c>
      <c r="BN183" s="86">
        <v>2.0</v>
      </c>
      <c r="BO183" s="86">
        <v>2.0</v>
      </c>
      <c r="BP183" s="86">
        <v>2.0</v>
      </c>
      <c r="BQ183" s="86">
        <v>2.0</v>
      </c>
      <c r="BR183" s="86">
        <v>2.0</v>
      </c>
      <c r="BS183" s="86">
        <v>2.0</v>
      </c>
      <c r="BT183" s="87" t="s">
        <v>64</v>
      </c>
      <c r="BU183" s="87" t="s">
        <v>64</v>
      </c>
      <c r="BV183" s="87" t="s">
        <v>64</v>
      </c>
      <c r="BW183" s="50"/>
      <c r="BY183" s="53" t="s">
        <v>3025</v>
      </c>
      <c r="CA183" s="86">
        <v>2.0</v>
      </c>
      <c r="CB183" s="86">
        <v>2.0</v>
      </c>
      <c r="CC183" s="86">
        <v>2.0</v>
      </c>
      <c r="CD183" s="86">
        <v>2.0</v>
      </c>
      <c r="CE183" s="86">
        <v>2.0</v>
      </c>
      <c r="CF183" s="86">
        <v>2.0</v>
      </c>
      <c r="CG183" s="86">
        <v>2.0</v>
      </c>
      <c r="CH183" s="87" t="s">
        <v>64</v>
      </c>
      <c r="CI183" s="87" t="s">
        <v>64</v>
      </c>
      <c r="CJ183" s="87" t="s">
        <v>64</v>
      </c>
      <c r="CK183" s="50"/>
      <c r="CO183" s="50"/>
      <c r="CP183" s="50"/>
      <c r="CQ183" s="50"/>
      <c r="CR183" s="50"/>
      <c r="CS183" s="50"/>
      <c r="CT183" s="50"/>
      <c r="CU183" s="50"/>
      <c r="CV183" s="50"/>
      <c r="CW183" s="50"/>
      <c r="CX183" s="50"/>
      <c r="CY183" s="50"/>
      <c r="DA183" s="111" t="s">
        <v>3026</v>
      </c>
      <c r="DC183" s="86">
        <v>2.0</v>
      </c>
      <c r="DD183" s="86">
        <v>2.0</v>
      </c>
      <c r="DE183" s="86">
        <v>2.0</v>
      </c>
      <c r="DF183" s="86">
        <v>2.0</v>
      </c>
      <c r="DG183" s="86">
        <v>2.0</v>
      </c>
      <c r="DH183" s="86">
        <v>2.0</v>
      </c>
      <c r="DI183" s="86">
        <v>2.0</v>
      </c>
      <c r="DJ183" s="87" t="s">
        <v>64</v>
      </c>
      <c r="DK183" s="87" t="s">
        <v>64</v>
      </c>
      <c r="DL183" s="87" t="s">
        <v>64</v>
      </c>
      <c r="DM183" s="50"/>
      <c r="DO183" s="107" t="s">
        <v>3027</v>
      </c>
      <c r="DQ183" s="86">
        <v>2.0</v>
      </c>
      <c r="DR183" s="86">
        <v>2.0</v>
      </c>
      <c r="DS183" s="86">
        <v>2.0</v>
      </c>
      <c r="DT183" s="86">
        <v>2.0</v>
      </c>
      <c r="DU183" s="86">
        <v>2.0</v>
      </c>
      <c r="DV183" s="86">
        <v>2.0</v>
      </c>
      <c r="DW183" s="86">
        <v>2.0</v>
      </c>
      <c r="DX183" s="87" t="s">
        <v>64</v>
      </c>
      <c r="DY183" s="87" t="s">
        <v>64</v>
      </c>
      <c r="DZ183" s="87" t="s">
        <v>64</v>
      </c>
      <c r="EA183" s="50"/>
    </row>
    <row r="184" ht="15.75" customHeight="1">
      <c r="A184" s="14">
        <v>16.0</v>
      </c>
      <c r="B184" s="14" t="s">
        <v>203</v>
      </c>
      <c r="C184" s="14" t="str">
        <f t="array" ref="C184">IFERROR(INDEX(DOCUMENTOS!$E:$E,MATCH($A184,DOCUMENTOS!$A:$A,0)),"")</f>
        <v/>
      </c>
      <c r="D184" s="14" t="str">
        <f t="array" ref="D184">IFERROR(INDEX('BANCO DE PERGUNTAS'!$D:$D,MATCH($B184,'BANCO DE PERGUNTAS'!$A:$A,0)),"")</f>
        <v>Qual consequência decorre da informação estabelecida em 4.11?</v>
      </c>
      <c r="E184" s="14" t="str">
        <f t="array" ref="E184">IFERROR(INDEX('BANCO DE PERGUNTAS'!$B:$B,MATCH($B184,'BANCO DE PERGUNTAS'!$A:$A,0)),"")</f>
        <v>Interpretação</v>
      </c>
      <c r="F184" s="17">
        <f t="array" ref="F184">IFERROR(INDEX('BANCO DE PERGUNTAS'!$H:$H,MATCH($B184,'BANCO DE PERGUNTAS'!$A:$A,0)),"")</f>
        <v>3</v>
      </c>
      <c r="I184" s="50"/>
      <c r="J184" s="50"/>
      <c r="K184" s="50"/>
      <c r="L184" s="50"/>
      <c r="M184" s="50"/>
      <c r="N184" s="50"/>
      <c r="O184" s="50"/>
      <c r="P184" s="50"/>
      <c r="Q184" s="50"/>
      <c r="R184" s="50"/>
      <c r="S184" s="50"/>
      <c r="U184" s="101" t="s">
        <v>2839</v>
      </c>
      <c r="W184" s="86">
        <v>2.0</v>
      </c>
      <c r="X184" s="86">
        <v>2.0</v>
      </c>
      <c r="Y184" s="86">
        <v>2.0</v>
      </c>
      <c r="Z184" s="86">
        <v>2.0</v>
      </c>
      <c r="AA184" s="86">
        <v>2.0</v>
      </c>
      <c r="AB184" s="86">
        <v>2.0</v>
      </c>
      <c r="AC184" s="86">
        <v>2.0</v>
      </c>
      <c r="AD184" s="87" t="s">
        <v>64</v>
      </c>
      <c r="AE184" s="87" t="s">
        <v>64</v>
      </c>
      <c r="AF184" s="87" t="s">
        <v>64</v>
      </c>
      <c r="AG184" s="50"/>
      <c r="AI184" s="106" t="s">
        <v>3028</v>
      </c>
      <c r="AK184" s="86">
        <v>2.0</v>
      </c>
      <c r="AL184" s="86">
        <v>2.0</v>
      </c>
      <c r="AM184" s="86">
        <v>2.0</v>
      </c>
      <c r="AN184" s="86">
        <v>2.0</v>
      </c>
      <c r="AO184" s="86">
        <v>2.0</v>
      </c>
      <c r="AP184" s="86">
        <v>2.0</v>
      </c>
      <c r="AQ184" s="86">
        <v>2.0</v>
      </c>
      <c r="AR184" s="87" t="s">
        <v>64</v>
      </c>
      <c r="AS184" s="87" t="s">
        <v>64</v>
      </c>
      <c r="AT184" s="87" t="s">
        <v>64</v>
      </c>
      <c r="AU184" s="50"/>
      <c r="AY184" s="50"/>
      <c r="AZ184" s="50"/>
      <c r="BA184" s="50"/>
      <c r="BB184" s="50"/>
      <c r="BC184" s="50"/>
      <c r="BD184" s="50"/>
      <c r="BE184" s="50"/>
      <c r="BF184" s="50"/>
      <c r="BG184" s="50"/>
      <c r="BH184" s="50"/>
      <c r="BI184" s="50"/>
      <c r="BK184" s="104" t="s">
        <v>3029</v>
      </c>
      <c r="BM184" s="86">
        <v>2.0</v>
      </c>
      <c r="BN184" s="86">
        <v>2.0</v>
      </c>
      <c r="BO184" s="86">
        <v>2.0</v>
      </c>
      <c r="BP184" s="86">
        <v>2.0</v>
      </c>
      <c r="BQ184" s="86">
        <v>2.0</v>
      </c>
      <c r="BR184" s="86">
        <v>2.0</v>
      </c>
      <c r="BS184" s="86">
        <v>2.0</v>
      </c>
      <c r="BT184" s="87" t="s">
        <v>64</v>
      </c>
      <c r="BU184" s="87" t="s">
        <v>64</v>
      </c>
      <c r="BV184" s="87" t="s">
        <v>64</v>
      </c>
      <c r="BW184" s="50"/>
      <c r="BY184" s="108" t="s">
        <v>3030</v>
      </c>
      <c r="CA184" s="86">
        <v>2.0</v>
      </c>
      <c r="CB184" s="86">
        <v>2.0</v>
      </c>
      <c r="CC184" s="86">
        <v>2.0</v>
      </c>
      <c r="CD184" s="86">
        <v>2.0</v>
      </c>
      <c r="CE184" s="86">
        <v>2.0</v>
      </c>
      <c r="CF184" s="86">
        <v>2.0</v>
      </c>
      <c r="CG184" s="86">
        <v>2.0</v>
      </c>
      <c r="CH184" s="87" t="s">
        <v>64</v>
      </c>
      <c r="CI184" s="87" t="s">
        <v>64</v>
      </c>
      <c r="CJ184" s="87" t="s">
        <v>64</v>
      </c>
      <c r="CK184" s="50"/>
      <c r="CO184" s="50"/>
      <c r="CP184" s="50"/>
      <c r="CQ184" s="50"/>
      <c r="CR184" s="50"/>
      <c r="CS184" s="50"/>
      <c r="CT184" s="50"/>
      <c r="CU184" s="50"/>
      <c r="CV184" s="50"/>
      <c r="CW184" s="50"/>
      <c r="CX184" s="50"/>
      <c r="CY184" s="50"/>
      <c r="DA184" s="111" t="s">
        <v>3031</v>
      </c>
      <c r="DC184" s="86">
        <v>2.0</v>
      </c>
      <c r="DD184" s="86">
        <v>2.0</v>
      </c>
      <c r="DE184" s="86">
        <v>2.0</v>
      </c>
      <c r="DF184" s="86">
        <v>2.0</v>
      </c>
      <c r="DG184" s="86">
        <v>2.0</v>
      </c>
      <c r="DH184" s="86">
        <v>2.0</v>
      </c>
      <c r="DI184" s="86">
        <v>2.0</v>
      </c>
      <c r="DJ184" s="87" t="s">
        <v>64</v>
      </c>
      <c r="DK184" s="87" t="s">
        <v>64</v>
      </c>
      <c r="DL184" s="87" t="s">
        <v>64</v>
      </c>
      <c r="DM184" s="50"/>
      <c r="DO184" s="109" t="s">
        <v>3032</v>
      </c>
      <c r="DQ184" s="86">
        <v>2.0</v>
      </c>
      <c r="DR184" s="86">
        <v>2.0</v>
      </c>
      <c r="DS184" s="86">
        <v>2.0</v>
      </c>
      <c r="DT184" s="86">
        <v>2.0</v>
      </c>
      <c r="DU184" s="86">
        <v>2.0</v>
      </c>
      <c r="DV184" s="86">
        <v>2.0</v>
      </c>
      <c r="DW184" s="86">
        <v>2.0</v>
      </c>
      <c r="DX184" s="87" t="s">
        <v>64</v>
      </c>
      <c r="DY184" s="87" t="s">
        <v>64</v>
      </c>
      <c r="DZ184" s="87" t="s">
        <v>64</v>
      </c>
      <c r="EA184" s="50"/>
    </row>
    <row r="185" ht="15.75" customHeight="1">
      <c r="A185" s="11">
        <v>16.0</v>
      </c>
      <c r="B185" s="11" t="s">
        <v>208</v>
      </c>
      <c r="C185" s="11" t="str">
        <f t="array" ref="C185">IFERROR(INDEX(DOCUMENTOS!$E:$E,MATCH($A185,DOCUMENTOS!$A:$A,0)),"")</f>
        <v/>
      </c>
      <c r="D185" s="11" t="str">
        <f t="array" ref="D185">IFERROR(INDEX('BANCO DE PERGUNTAS'!$D:$D,MATCH($B185,'BANCO DE PERGUNTAS'!$A:$A,0)),"")</f>
        <v>Existem informações aparentemente inconsistentes dentro do documento?</v>
      </c>
      <c r="E185" s="11" t="str">
        <f t="array" ref="E185">IFERROR(INDEX('BANCO DE PERGUNTAS'!$B:$B,MATCH($B185,'BANCO DE PERGUNTAS'!$A:$A,0)),"")</f>
        <v>Identificação de Inconsistências</v>
      </c>
      <c r="F185" s="12">
        <f t="array" ref="F185">IFERROR(INDEX('BANCO DE PERGUNTAS'!$H:$H,MATCH($B185,'BANCO DE PERGUNTAS'!$A:$A,0)),"")</f>
        <v>4</v>
      </c>
      <c r="I185" s="50"/>
      <c r="J185" s="50"/>
      <c r="K185" s="50"/>
      <c r="L185" s="50"/>
      <c r="M185" s="50"/>
      <c r="N185" s="50"/>
      <c r="O185" s="50"/>
      <c r="P185" s="50"/>
      <c r="Q185" s="50"/>
      <c r="R185" s="50"/>
      <c r="S185" s="50"/>
      <c r="U185" s="97" t="s">
        <v>3033</v>
      </c>
      <c r="W185" s="86">
        <v>2.0</v>
      </c>
      <c r="X185" s="86">
        <v>2.0</v>
      </c>
      <c r="Y185" s="86">
        <v>2.0</v>
      </c>
      <c r="Z185" s="86">
        <v>2.0</v>
      </c>
      <c r="AA185" s="86">
        <v>2.0</v>
      </c>
      <c r="AB185" s="86">
        <v>2.0</v>
      </c>
      <c r="AC185" s="86">
        <v>2.0</v>
      </c>
      <c r="AD185" s="87" t="s">
        <v>64</v>
      </c>
      <c r="AE185" s="87" t="s">
        <v>64</v>
      </c>
      <c r="AF185" s="87" t="s">
        <v>64</v>
      </c>
      <c r="AG185" s="50"/>
      <c r="AI185" s="106" t="s">
        <v>3034</v>
      </c>
      <c r="AK185" s="86">
        <v>1.0</v>
      </c>
      <c r="AL185" s="86">
        <v>1.0</v>
      </c>
      <c r="AM185" s="86">
        <v>2.0</v>
      </c>
      <c r="AN185" s="86">
        <v>2.0</v>
      </c>
      <c r="AO185" s="86">
        <v>2.0</v>
      </c>
      <c r="AP185" s="86">
        <v>1.0</v>
      </c>
      <c r="AQ185" s="86">
        <v>2.0</v>
      </c>
      <c r="AR185" s="87" t="s">
        <v>64</v>
      </c>
      <c r="AS185" s="87" t="s">
        <v>64</v>
      </c>
      <c r="AT185" s="87" t="s">
        <v>64</v>
      </c>
      <c r="AU185" s="50"/>
      <c r="AY185" s="50"/>
      <c r="AZ185" s="50"/>
      <c r="BA185" s="50"/>
      <c r="BB185" s="50"/>
      <c r="BC185" s="50"/>
      <c r="BD185" s="50"/>
      <c r="BE185" s="50"/>
      <c r="BF185" s="50"/>
      <c r="BG185" s="50"/>
      <c r="BH185" s="50"/>
      <c r="BI185" s="50"/>
      <c r="BK185" s="104" t="s">
        <v>3035</v>
      </c>
      <c r="BM185" s="86">
        <v>2.0</v>
      </c>
      <c r="BN185" s="86">
        <v>2.0</v>
      </c>
      <c r="BO185" s="86">
        <v>2.0</v>
      </c>
      <c r="BP185" s="86">
        <v>2.0</v>
      </c>
      <c r="BQ185" s="86">
        <v>2.0</v>
      </c>
      <c r="BR185" s="86">
        <v>2.0</v>
      </c>
      <c r="BS185" s="86">
        <v>2.0</v>
      </c>
      <c r="BT185" s="87" t="s">
        <v>64</v>
      </c>
      <c r="BU185" s="87" t="s">
        <v>64</v>
      </c>
      <c r="BV185" s="87" t="s">
        <v>64</v>
      </c>
      <c r="BW185" s="50"/>
      <c r="BY185" s="112" t="s">
        <v>3036</v>
      </c>
      <c r="CA185" s="86">
        <v>2.0</v>
      </c>
      <c r="CB185" s="86">
        <v>2.0</v>
      </c>
      <c r="CC185" s="86">
        <v>2.0</v>
      </c>
      <c r="CD185" s="86">
        <v>2.0</v>
      </c>
      <c r="CE185" s="86">
        <v>2.0</v>
      </c>
      <c r="CF185" s="86">
        <v>2.0</v>
      </c>
      <c r="CG185" s="86">
        <v>2.0</v>
      </c>
      <c r="CH185" s="87" t="s">
        <v>64</v>
      </c>
      <c r="CI185" s="87" t="s">
        <v>64</v>
      </c>
      <c r="CJ185" s="87" t="s">
        <v>64</v>
      </c>
      <c r="CK185" s="50"/>
      <c r="CO185" s="50"/>
      <c r="CP185" s="50"/>
      <c r="CQ185" s="50"/>
      <c r="CR185" s="50"/>
      <c r="CS185" s="50"/>
      <c r="CT185" s="50"/>
      <c r="CU185" s="50"/>
      <c r="CV185" s="50"/>
      <c r="CW185" s="50"/>
      <c r="CX185" s="50"/>
      <c r="CY185" s="50"/>
      <c r="DA185" s="111" t="s">
        <v>3037</v>
      </c>
      <c r="DC185" s="86">
        <v>1.0</v>
      </c>
      <c r="DD185" s="86">
        <v>1.0</v>
      </c>
      <c r="DE185" s="86">
        <v>2.0</v>
      </c>
      <c r="DF185" s="86">
        <v>2.0</v>
      </c>
      <c r="DG185" s="86">
        <v>2.0</v>
      </c>
      <c r="DH185" s="86">
        <v>1.0</v>
      </c>
      <c r="DI185" s="86">
        <v>2.0</v>
      </c>
      <c r="DJ185" s="87" t="s">
        <v>64</v>
      </c>
      <c r="DK185" s="87" t="s">
        <v>64</v>
      </c>
      <c r="DL185" s="87" t="s">
        <v>64</v>
      </c>
      <c r="DM185" s="50"/>
      <c r="DO185" s="107" t="s">
        <v>3038</v>
      </c>
      <c r="DQ185" s="86">
        <v>1.0</v>
      </c>
      <c r="DR185" s="86">
        <v>1.0</v>
      </c>
      <c r="DS185" s="86">
        <v>2.0</v>
      </c>
      <c r="DT185" s="86">
        <v>2.0</v>
      </c>
      <c r="DU185" s="86">
        <v>2.0</v>
      </c>
      <c r="DV185" s="86">
        <v>1.0</v>
      </c>
      <c r="DW185" s="86">
        <v>2.0</v>
      </c>
      <c r="DX185" s="87" t="s">
        <v>64</v>
      </c>
      <c r="DY185" s="87" t="s">
        <v>64</v>
      </c>
      <c r="DZ185" s="87" t="s">
        <v>64</v>
      </c>
      <c r="EA185" s="50"/>
    </row>
    <row r="186" ht="15.75" customHeight="1">
      <c r="A186" s="14">
        <v>16.0</v>
      </c>
      <c r="B186" s="14" t="s">
        <v>215</v>
      </c>
      <c r="C186" s="14" t="str">
        <f t="array" ref="C186">IFERROR(INDEX(DOCUMENTOS!$E:$E,MATCH($A186,DOCUMENTOS!$A:$A,0)),"")</f>
        <v/>
      </c>
      <c r="D186" s="14" t="str">
        <f t="array" ref="D186">IFERROR(INDEX('BANCO DE PERGUNTAS'!$D:$D,MATCH($B186,'BANCO DE PERGUNTAS'!$A:$A,0)),"")</f>
        <v>Existem valores, datas, números ou informações aparentemente incompatíveis?</v>
      </c>
      <c r="E186" s="14" t="str">
        <f t="array" ref="E186">IFERROR(INDEX('BANCO DE PERGUNTAS'!$B:$B,MATCH($B186,'BANCO DE PERGUNTAS'!$A:$A,0)),"")</f>
        <v>Identificação de Inconsistências</v>
      </c>
      <c r="F186" s="17">
        <f t="array" ref="F186">IFERROR(INDEX('BANCO DE PERGUNTAS'!$H:$H,MATCH($B186,'BANCO DE PERGUNTAS'!$A:$A,0)),"")</f>
        <v>4</v>
      </c>
      <c r="I186" s="50"/>
      <c r="J186" s="50"/>
      <c r="K186" s="50"/>
      <c r="L186" s="50"/>
      <c r="M186" s="50"/>
      <c r="N186" s="50"/>
      <c r="O186" s="50"/>
      <c r="P186" s="50"/>
      <c r="Q186" s="50"/>
      <c r="R186" s="50"/>
      <c r="S186" s="50"/>
      <c r="U186" s="101" t="s">
        <v>3039</v>
      </c>
      <c r="W186" s="86">
        <v>2.0</v>
      </c>
      <c r="X186" s="86">
        <v>2.0</v>
      </c>
      <c r="Y186" s="86">
        <v>2.0</v>
      </c>
      <c r="Z186" s="86">
        <v>2.0</v>
      </c>
      <c r="AA186" s="86">
        <v>2.0</v>
      </c>
      <c r="AB186" s="86">
        <v>2.0</v>
      </c>
      <c r="AC186" s="86">
        <v>2.0</v>
      </c>
      <c r="AD186" s="87" t="s">
        <v>64</v>
      </c>
      <c r="AE186" s="87" t="s">
        <v>64</v>
      </c>
      <c r="AF186" s="87" t="s">
        <v>64</v>
      </c>
      <c r="AG186" s="50"/>
      <c r="AI186" s="106" t="s">
        <v>3040</v>
      </c>
      <c r="AK186" s="86">
        <v>2.0</v>
      </c>
      <c r="AL186" s="86">
        <v>2.0</v>
      </c>
      <c r="AM186" s="86">
        <v>2.0</v>
      </c>
      <c r="AN186" s="86">
        <v>2.0</v>
      </c>
      <c r="AO186" s="86">
        <v>2.0</v>
      </c>
      <c r="AP186" s="86">
        <v>2.0</v>
      </c>
      <c r="AQ186" s="86">
        <v>2.0</v>
      </c>
      <c r="AR186" s="87" t="s">
        <v>64</v>
      </c>
      <c r="AS186" s="87" t="s">
        <v>64</v>
      </c>
      <c r="AT186" s="87" t="s">
        <v>64</v>
      </c>
      <c r="AU186" s="50"/>
      <c r="AY186" s="50"/>
      <c r="AZ186" s="50"/>
      <c r="BA186" s="50"/>
      <c r="BB186" s="50"/>
      <c r="BC186" s="50"/>
      <c r="BD186" s="50"/>
      <c r="BE186" s="50"/>
      <c r="BF186" s="50"/>
      <c r="BG186" s="50"/>
      <c r="BH186" s="50"/>
      <c r="BI186" s="50"/>
      <c r="BK186" s="104" t="s">
        <v>3041</v>
      </c>
      <c r="BM186" s="86">
        <v>1.0</v>
      </c>
      <c r="BN186" s="86">
        <v>1.0</v>
      </c>
      <c r="BO186" s="86">
        <v>2.0</v>
      </c>
      <c r="BP186" s="86">
        <v>2.0</v>
      </c>
      <c r="BQ186" s="86">
        <v>2.0</v>
      </c>
      <c r="BR186" s="86">
        <v>1.0</v>
      </c>
      <c r="BS186" s="86">
        <v>2.0</v>
      </c>
      <c r="BT186" s="87" t="s">
        <v>64</v>
      </c>
      <c r="BU186" s="87" t="s">
        <v>64</v>
      </c>
      <c r="BV186" s="87" t="s">
        <v>64</v>
      </c>
      <c r="BW186" s="50"/>
      <c r="BY186" s="108" t="s">
        <v>3042</v>
      </c>
      <c r="CA186" s="86">
        <v>1.0</v>
      </c>
      <c r="CB186" s="86">
        <v>1.0</v>
      </c>
      <c r="CC186" s="86">
        <v>2.0</v>
      </c>
      <c r="CD186" s="86">
        <v>2.0</v>
      </c>
      <c r="CE186" s="86">
        <v>2.0</v>
      </c>
      <c r="CF186" s="86">
        <v>1.0</v>
      </c>
      <c r="CG186" s="86">
        <v>2.0</v>
      </c>
      <c r="CH186" s="87" t="s">
        <v>64</v>
      </c>
      <c r="CI186" s="87" t="s">
        <v>64</v>
      </c>
      <c r="CJ186" s="87" t="s">
        <v>64</v>
      </c>
      <c r="CK186" s="50"/>
      <c r="CO186" s="50"/>
      <c r="CP186" s="50"/>
      <c r="CQ186" s="50"/>
      <c r="CR186" s="50"/>
      <c r="CS186" s="50"/>
      <c r="CT186" s="50"/>
      <c r="CU186" s="50"/>
      <c r="CV186" s="50"/>
      <c r="CW186" s="50"/>
      <c r="CX186" s="50"/>
      <c r="CY186" s="50"/>
      <c r="DA186" s="111" t="s">
        <v>3043</v>
      </c>
      <c r="DC186" s="86">
        <v>2.0</v>
      </c>
      <c r="DD186" s="86">
        <v>2.0</v>
      </c>
      <c r="DE186" s="86">
        <v>2.0</v>
      </c>
      <c r="DF186" s="86">
        <v>2.0</v>
      </c>
      <c r="DG186" s="86">
        <v>2.0</v>
      </c>
      <c r="DH186" s="86">
        <v>2.0</v>
      </c>
      <c r="DI186" s="86">
        <v>2.0</v>
      </c>
      <c r="DJ186" s="87" t="s">
        <v>64</v>
      </c>
      <c r="DK186" s="87" t="s">
        <v>64</v>
      </c>
      <c r="DL186" s="87" t="s">
        <v>64</v>
      </c>
      <c r="DM186" s="50"/>
      <c r="DO186" s="109" t="s">
        <v>3044</v>
      </c>
      <c r="DQ186" s="86">
        <v>2.0</v>
      </c>
      <c r="DR186" s="86">
        <v>2.0</v>
      </c>
      <c r="DS186" s="86">
        <v>2.0</v>
      </c>
      <c r="DT186" s="86">
        <v>2.0</v>
      </c>
      <c r="DU186" s="86">
        <v>2.0</v>
      </c>
      <c r="DV186" s="86">
        <v>2.0</v>
      </c>
      <c r="DW186" s="86">
        <v>2.0</v>
      </c>
      <c r="DX186" s="87" t="s">
        <v>64</v>
      </c>
      <c r="DY186" s="87" t="s">
        <v>64</v>
      </c>
      <c r="DZ186" s="87" t="s">
        <v>64</v>
      </c>
      <c r="EA186" s="50"/>
    </row>
    <row r="187" ht="15.75" customHeight="1">
      <c r="A187" s="11">
        <v>16.0</v>
      </c>
      <c r="B187" s="11" t="s">
        <v>219</v>
      </c>
      <c r="C187" s="11" t="str">
        <f t="array" ref="C187">IFERROR(INDEX(DOCUMENTOS!$E:$E,MATCH($A187,DOCUMENTOS!$A:$A,0)),"")</f>
        <v/>
      </c>
      <c r="D187" s="11" t="str">
        <f t="array" ref="D187">IFERROR(INDEX('BANCO DE PERGUNTAS'!$D:$D,MATCH($B187,'BANCO DE PERGUNTAS'!$A:$A,0)),"")</f>
        <v>Existem informações relevantes ausentes?</v>
      </c>
      <c r="E187" s="11" t="str">
        <f t="array" ref="E187">IFERROR(INDEX('BANCO DE PERGUNTAS'!$B:$B,MATCH($B187,'BANCO DE PERGUNTAS'!$A:$A,0)),"")</f>
        <v>Identificação de Omissões</v>
      </c>
      <c r="F187" s="12">
        <f t="array" ref="F187">IFERROR(INDEX('BANCO DE PERGUNTAS'!$H:$H,MATCH($B187,'BANCO DE PERGUNTAS'!$A:$A,0)),"")</f>
        <v>4</v>
      </c>
      <c r="I187" s="50"/>
      <c r="J187" s="50"/>
      <c r="K187" s="50"/>
      <c r="L187" s="50"/>
      <c r="M187" s="50"/>
      <c r="N187" s="50"/>
      <c r="O187" s="50"/>
      <c r="P187" s="50"/>
      <c r="Q187" s="50"/>
      <c r="R187" s="50"/>
      <c r="S187" s="50"/>
      <c r="U187" s="97" t="s">
        <v>3045</v>
      </c>
      <c r="W187" s="86">
        <v>1.0</v>
      </c>
      <c r="X187" s="86">
        <v>1.0</v>
      </c>
      <c r="Y187" s="86">
        <v>2.0</v>
      </c>
      <c r="Z187" s="86">
        <v>2.0</v>
      </c>
      <c r="AA187" s="86">
        <v>2.0</v>
      </c>
      <c r="AB187" s="86">
        <v>1.0</v>
      </c>
      <c r="AC187" s="86">
        <v>2.0</v>
      </c>
      <c r="AD187" s="87" t="s">
        <v>64</v>
      </c>
      <c r="AE187" s="87" t="s">
        <v>64</v>
      </c>
      <c r="AF187" s="87" t="s">
        <v>64</v>
      </c>
      <c r="AG187" s="50"/>
      <c r="AI187" s="106" t="s">
        <v>3046</v>
      </c>
      <c r="AK187" s="86">
        <v>1.0</v>
      </c>
      <c r="AL187" s="86">
        <v>1.0</v>
      </c>
      <c r="AM187" s="86">
        <v>2.0</v>
      </c>
      <c r="AN187" s="86">
        <v>2.0</v>
      </c>
      <c r="AO187" s="86">
        <v>2.0</v>
      </c>
      <c r="AP187" s="86">
        <v>1.0</v>
      </c>
      <c r="AQ187" s="86">
        <v>2.0</v>
      </c>
      <c r="AR187" s="87" t="s">
        <v>64</v>
      </c>
      <c r="AS187" s="87" t="s">
        <v>64</v>
      </c>
      <c r="AT187" s="87" t="s">
        <v>64</v>
      </c>
      <c r="AU187" s="50"/>
      <c r="AY187" s="50"/>
      <c r="AZ187" s="50"/>
      <c r="BA187" s="50"/>
      <c r="BB187" s="50"/>
      <c r="BC187" s="50"/>
      <c r="BD187" s="50"/>
      <c r="BE187" s="50"/>
      <c r="BF187" s="50"/>
      <c r="BG187" s="50"/>
      <c r="BH187" s="50"/>
      <c r="BI187" s="50"/>
      <c r="BK187" s="104" t="s">
        <v>3047</v>
      </c>
      <c r="BM187" s="86">
        <v>1.0</v>
      </c>
      <c r="BN187" s="86">
        <v>1.0</v>
      </c>
      <c r="BO187" s="86">
        <v>2.0</v>
      </c>
      <c r="BP187" s="86">
        <v>2.0</v>
      </c>
      <c r="BQ187" s="86">
        <v>2.0</v>
      </c>
      <c r="BR187" s="86">
        <v>1.0</v>
      </c>
      <c r="BS187" s="86">
        <v>2.0</v>
      </c>
      <c r="BT187" s="87" t="s">
        <v>64</v>
      </c>
      <c r="BU187" s="87" t="s">
        <v>64</v>
      </c>
      <c r="BV187" s="87" t="s">
        <v>64</v>
      </c>
      <c r="BW187" s="50"/>
      <c r="BY187" s="53" t="s">
        <v>3048</v>
      </c>
      <c r="CA187" s="86">
        <v>1.0</v>
      </c>
      <c r="CB187" s="86">
        <v>1.0</v>
      </c>
      <c r="CC187" s="86">
        <v>2.0</v>
      </c>
      <c r="CD187" s="86">
        <v>2.0</v>
      </c>
      <c r="CE187" s="86">
        <v>2.0</v>
      </c>
      <c r="CF187" s="86">
        <v>1.0</v>
      </c>
      <c r="CG187" s="86">
        <v>2.0</v>
      </c>
      <c r="CH187" s="87" t="s">
        <v>64</v>
      </c>
      <c r="CI187" s="87" t="s">
        <v>64</v>
      </c>
      <c r="CJ187" s="87" t="s">
        <v>64</v>
      </c>
      <c r="CK187" s="50"/>
      <c r="CO187" s="50"/>
      <c r="CP187" s="50"/>
      <c r="CQ187" s="50"/>
      <c r="CR187" s="50"/>
      <c r="CS187" s="50"/>
      <c r="CT187" s="50"/>
      <c r="CU187" s="50"/>
      <c r="CV187" s="50"/>
      <c r="CW187" s="50"/>
      <c r="CX187" s="50"/>
      <c r="CY187" s="50"/>
      <c r="DA187" s="111" t="s">
        <v>3049</v>
      </c>
      <c r="DC187" s="86">
        <v>0.0</v>
      </c>
      <c r="DD187" s="86">
        <v>1.0</v>
      </c>
      <c r="DE187" s="86">
        <v>2.0</v>
      </c>
      <c r="DF187" s="86">
        <v>2.0</v>
      </c>
      <c r="DG187" s="86">
        <v>2.0</v>
      </c>
      <c r="DH187" s="86">
        <v>1.0</v>
      </c>
      <c r="DI187" s="86">
        <v>2.0</v>
      </c>
      <c r="DJ187" s="87" t="s">
        <v>64</v>
      </c>
      <c r="DK187" s="87" t="s">
        <v>64</v>
      </c>
      <c r="DL187" s="87" t="s">
        <v>64</v>
      </c>
      <c r="DM187" s="50"/>
      <c r="DO187" s="107" t="s">
        <v>3050</v>
      </c>
      <c r="DQ187" s="86">
        <v>0.0</v>
      </c>
      <c r="DR187" s="86">
        <v>1.0</v>
      </c>
      <c r="DS187" s="86">
        <v>2.0</v>
      </c>
      <c r="DT187" s="86">
        <v>2.0</v>
      </c>
      <c r="DU187" s="86">
        <v>2.0</v>
      </c>
      <c r="DV187" s="86">
        <v>1.0</v>
      </c>
      <c r="DW187" s="86">
        <v>2.0</v>
      </c>
      <c r="DX187" s="87" t="s">
        <v>64</v>
      </c>
      <c r="DY187" s="87" t="s">
        <v>64</v>
      </c>
      <c r="DZ187" s="87" t="s">
        <v>64</v>
      </c>
      <c r="EA187" s="50"/>
    </row>
    <row r="188" ht="15.75" customHeight="1">
      <c r="A188" s="14">
        <v>16.0</v>
      </c>
      <c r="B188" s="14" t="s">
        <v>226</v>
      </c>
      <c r="C188" s="14" t="str">
        <f t="array" ref="C188">IFERROR(INDEX(DOCUMENTOS!$E:$E,MATCH($A188,DOCUMENTOS!$A:$A,0)),"")</f>
        <v/>
      </c>
      <c r="D188" s="14" t="str">
        <f t="array" ref="D188">IFERROR(INDEX('BANCO DE PERGUNTAS'!$D:$D,MATCH($B188,'BANCO DE PERGUNTAS'!$A:$A,0)),"")</f>
        <v>Identifique possíveis erros materiais no documento.</v>
      </c>
      <c r="E188" s="14" t="str">
        <f t="array" ref="E188">IFERROR(INDEX('BANCO DE PERGUNTAS'!$B:$B,MATCH($B188,'BANCO DE PERGUNTAS'!$A:$A,0)),"")</f>
        <v>Detecção de Erros</v>
      </c>
      <c r="F188" s="17">
        <f t="array" ref="F188">IFERROR(INDEX('BANCO DE PERGUNTAS'!$H:$H,MATCH($B188,'BANCO DE PERGUNTAS'!$A:$A,0)),"")</f>
        <v>4</v>
      </c>
      <c r="I188" s="50"/>
      <c r="J188" s="50"/>
      <c r="K188" s="50"/>
      <c r="L188" s="50"/>
      <c r="M188" s="50"/>
      <c r="N188" s="50"/>
      <c r="O188" s="50"/>
      <c r="P188" s="50"/>
      <c r="Q188" s="50"/>
      <c r="R188" s="50"/>
      <c r="S188" s="50"/>
      <c r="U188" s="101" t="s">
        <v>3051</v>
      </c>
      <c r="W188" s="86">
        <v>2.0</v>
      </c>
      <c r="X188" s="86">
        <v>2.0</v>
      </c>
      <c r="Y188" s="86">
        <v>2.0</v>
      </c>
      <c r="Z188" s="86">
        <v>2.0</v>
      </c>
      <c r="AA188" s="86">
        <v>2.0</v>
      </c>
      <c r="AB188" s="86">
        <v>2.0</v>
      </c>
      <c r="AC188" s="86">
        <v>2.0</v>
      </c>
      <c r="AD188" s="87" t="s">
        <v>64</v>
      </c>
      <c r="AE188" s="87" t="s">
        <v>64</v>
      </c>
      <c r="AF188" s="87" t="s">
        <v>64</v>
      </c>
      <c r="AG188" s="50"/>
      <c r="AI188" s="106" t="s">
        <v>3052</v>
      </c>
      <c r="AK188" s="86">
        <v>2.0</v>
      </c>
      <c r="AL188" s="86">
        <v>2.0</v>
      </c>
      <c r="AM188" s="86">
        <v>2.0</v>
      </c>
      <c r="AN188" s="86">
        <v>2.0</v>
      </c>
      <c r="AO188" s="86">
        <v>2.0</v>
      </c>
      <c r="AP188" s="86">
        <v>2.0</v>
      </c>
      <c r="AQ188" s="86">
        <v>2.0</v>
      </c>
      <c r="AR188" s="87" t="s">
        <v>64</v>
      </c>
      <c r="AS188" s="87" t="s">
        <v>64</v>
      </c>
      <c r="AT188" s="87" t="s">
        <v>64</v>
      </c>
      <c r="AU188" s="50"/>
      <c r="AY188" s="50"/>
      <c r="AZ188" s="50"/>
      <c r="BA188" s="50"/>
      <c r="BB188" s="50"/>
      <c r="BC188" s="50"/>
      <c r="BD188" s="50"/>
      <c r="BE188" s="50"/>
      <c r="BF188" s="50"/>
      <c r="BG188" s="50"/>
      <c r="BH188" s="50"/>
      <c r="BI188" s="50"/>
      <c r="BK188" s="104" t="s">
        <v>3053</v>
      </c>
      <c r="BM188" s="86">
        <v>1.0</v>
      </c>
      <c r="BN188" s="86">
        <v>1.0</v>
      </c>
      <c r="BO188" s="86">
        <v>2.0</v>
      </c>
      <c r="BP188" s="86">
        <v>2.0</v>
      </c>
      <c r="BQ188" s="86">
        <v>2.0</v>
      </c>
      <c r="BR188" s="86">
        <v>1.0</v>
      </c>
      <c r="BS188" s="86">
        <v>2.0</v>
      </c>
      <c r="BT188" s="87" t="s">
        <v>64</v>
      </c>
      <c r="BU188" s="87" t="s">
        <v>64</v>
      </c>
      <c r="BV188" s="87" t="s">
        <v>64</v>
      </c>
      <c r="BW188" s="50"/>
      <c r="BY188" s="108" t="s">
        <v>3054</v>
      </c>
      <c r="CA188" s="86">
        <v>1.0</v>
      </c>
      <c r="CB188" s="86">
        <v>1.0</v>
      </c>
      <c r="CC188" s="86">
        <v>2.0</v>
      </c>
      <c r="CD188" s="86">
        <v>2.0</v>
      </c>
      <c r="CE188" s="86">
        <v>2.0</v>
      </c>
      <c r="CF188" s="86">
        <v>1.0</v>
      </c>
      <c r="CG188" s="86">
        <v>2.0</v>
      </c>
      <c r="CH188" s="87" t="s">
        <v>64</v>
      </c>
      <c r="CI188" s="87" t="s">
        <v>64</v>
      </c>
      <c r="CJ188" s="87" t="s">
        <v>64</v>
      </c>
      <c r="CK188" s="50"/>
      <c r="CO188" s="50"/>
      <c r="CP188" s="50"/>
      <c r="CQ188" s="50"/>
      <c r="CR188" s="50"/>
      <c r="CS188" s="50"/>
      <c r="CT188" s="50"/>
      <c r="CU188" s="50"/>
      <c r="CV188" s="50"/>
      <c r="CW188" s="50"/>
      <c r="CX188" s="50"/>
      <c r="CY188" s="50"/>
      <c r="DA188" s="111" t="s">
        <v>3055</v>
      </c>
      <c r="DC188" s="86">
        <v>2.0</v>
      </c>
      <c r="DD188" s="86">
        <v>2.0</v>
      </c>
      <c r="DE188" s="86">
        <v>2.0</v>
      </c>
      <c r="DF188" s="86">
        <v>2.0</v>
      </c>
      <c r="DG188" s="86">
        <v>2.0</v>
      </c>
      <c r="DH188" s="86">
        <v>2.0</v>
      </c>
      <c r="DI188" s="86">
        <v>2.0</v>
      </c>
      <c r="DJ188" s="87" t="s">
        <v>64</v>
      </c>
      <c r="DK188" s="87" t="s">
        <v>64</v>
      </c>
      <c r="DL188" s="87" t="s">
        <v>64</v>
      </c>
      <c r="DM188" s="50"/>
      <c r="DO188" s="109" t="s">
        <v>3056</v>
      </c>
      <c r="DQ188" s="86">
        <v>2.0</v>
      </c>
      <c r="DR188" s="86">
        <v>2.0</v>
      </c>
      <c r="DS188" s="86">
        <v>2.0</v>
      </c>
      <c r="DT188" s="86">
        <v>2.0</v>
      </c>
      <c r="DU188" s="86">
        <v>2.0</v>
      </c>
      <c r="DV188" s="86">
        <v>2.0</v>
      </c>
      <c r="DW188" s="86">
        <v>2.0</v>
      </c>
      <c r="DX188" s="87" t="s">
        <v>64</v>
      </c>
      <c r="DY188" s="87" t="s">
        <v>64</v>
      </c>
      <c r="DZ188" s="87" t="s">
        <v>64</v>
      </c>
      <c r="EA188" s="50"/>
    </row>
    <row r="189" ht="15.75" customHeight="1">
      <c r="A189" s="11">
        <v>16.0</v>
      </c>
      <c r="B189" s="11" t="s">
        <v>232</v>
      </c>
      <c r="C189" s="11" t="str">
        <f t="array" ref="C189">IFERROR(INDEX(DOCUMENTOS!$E:$E,MATCH($A189,DOCUMENTOS!$A:$A,0)),"")</f>
        <v/>
      </c>
      <c r="D189" s="11" t="str">
        <f t="array" ref="D189">IFERROR(INDEX('BANCO DE PERGUNTAS'!$D:$D,MATCH($B189,'BANCO DE PERGUNTAS'!$A:$A,0)),"")</f>
        <v>Existem informações que deveriam ser verificadas por um servidor antes da utilização do documento?</v>
      </c>
      <c r="E189" s="11" t="str">
        <f t="array" ref="E189">IFERROR(INDEX('BANCO DE PERGUNTAS'!$B:$B,MATCH($B189,'BANCO DE PERGUNTAS'!$A:$A,0)),"")</f>
        <v>Análise de Risco</v>
      </c>
      <c r="F189" s="12">
        <f t="array" ref="F189">IFERROR(INDEX('BANCO DE PERGUNTAS'!$H:$H,MATCH($B189,'BANCO DE PERGUNTAS'!$A:$A,0)),"")</f>
        <v>4</v>
      </c>
      <c r="I189" s="50"/>
      <c r="J189" s="50"/>
      <c r="K189" s="50"/>
      <c r="L189" s="50"/>
      <c r="M189" s="50"/>
      <c r="N189" s="50"/>
      <c r="O189" s="50"/>
      <c r="P189" s="50"/>
      <c r="Q189" s="50"/>
      <c r="R189" s="50"/>
      <c r="S189" s="50"/>
      <c r="U189" s="97" t="s">
        <v>3057</v>
      </c>
      <c r="W189" s="86">
        <v>2.0</v>
      </c>
      <c r="X189" s="86">
        <v>2.0</v>
      </c>
      <c r="Y189" s="86">
        <v>2.0</v>
      </c>
      <c r="Z189" s="86">
        <v>2.0</v>
      </c>
      <c r="AA189" s="86">
        <v>2.0</v>
      </c>
      <c r="AB189" s="86">
        <v>2.0</v>
      </c>
      <c r="AC189" s="86">
        <v>2.0</v>
      </c>
      <c r="AD189" s="87" t="s">
        <v>64</v>
      </c>
      <c r="AE189" s="87" t="s">
        <v>64</v>
      </c>
      <c r="AF189" s="87" t="s">
        <v>64</v>
      </c>
      <c r="AG189" s="50"/>
      <c r="AI189" s="106" t="s">
        <v>3058</v>
      </c>
      <c r="AK189" s="86">
        <v>2.0</v>
      </c>
      <c r="AL189" s="86">
        <v>2.0</v>
      </c>
      <c r="AM189" s="86">
        <v>2.0</v>
      </c>
      <c r="AN189" s="86">
        <v>2.0</v>
      </c>
      <c r="AO189" s="86">
        <v>2.0</v>
      </c>
      <c r="AP189" s="86">
        <v>2.0</v>
      </c>
      <c r="AQ189" s="86">
        <v>2.0</v>
      </c>
      <c r="AR189" s="87" t="s">
        <v>64</v>
      </c>
      <c r="AS189" s="87" t="s">
        <v>64</v>
      </c>
      <c r="AT189" s="87" t="s">
        <v>64</v>
      </c>
      <c r="AU189" s="50"/>
      <c r="AY189" s="50"/>
      <c r="AZ189" s="50"/>
      <c r="BA189" s="50"/>
      <c r="BB189" s="50"/>
      <c r="BC189" s="50"/>
      <c r="BD189" s="50"/>
      <c r="BE189" s="50"/>
      <c r="BF189" s="50"/>
      <c r="BG189" s="50"/>
      <c r="BH189" s="50"/>
      <c r="BI189" s="50"/>
      <c r="BK189" s="104" t="s">
        <v>3059</v>
      </c>
      <c r="BM189" s="86">
        <v>2.0</v>
      </c>
      <c r="BN189" s="86">
        <v>2.0</v>
      </c>
      <c r="BO189" s="86">
        <v>2.0</v>
      </c>
      <c r="BP189" s="86">
        <v>2.0</v>
      </c>
      <c r="BQ189" s="86">
        <v>2.0</v>
      </c>
      <c r="BR189" s="86">
        <v>2.0</v>
      </c>
      <c r="BS189" s="86">
        <v>2.0</v>
      </c>
      <c r="BT189" s="87" t="s">
        <v>64</v>
      </c>
      <c r="BU189" s="87" t="s">
        <v>64</v>
      </c>
      <c r="BV189" s="87" t="s">
        <v>64</v>
      </c>
      <c r="BW189" s="50"/>
      <c r="BY189" s="53" t="s">
        <v>3060</v>
      </c>
      <c r="CA189" s="86">
        <v>2.0</v>
      </c>
      <c r="CB189" s="86">
        <v>2.0</v>
      </c>
      <c r="CC189" s="86">
        <v>2.0</v>
      </c>
      <c r="CD189" s="86">
        <v>2.0</v>
      </c>
      <c r="CE189" s="86">
        <v>2.0</v>
      </c>
      <c r="CF189" s="86">
        <v>2.0</v>
      </c>
      <c r="CG189" s="86">
        <v>2.0</v>
      </c>
      <c r="CH189" s="87" t="s">
        <v>64</v>
      </c>
      <c r="CI189" s="87" t="s">
        <v>64</v>
      </c>
      <c r="CJ189" s="87" t="s">
        <v>64</v>
      </c>
      <c r="CK189" s="50"/>
      <c r="CO189" s="50"/>
      <c r="CP189" s="50"/>
      <c r="CQ189" s="50"/>
      <c r="CR189" s="50"/>
      <c r="CS189" s="50"/>
      <c r="CT189" s="50"/>
      <c r="CU189" s="50"/>
      <c r="CV189" s="50"/>
      <c r="CW189" s="50"/>
      <c r="CX189" s="50"/>
      <c r="CY189" s="50"/>
      <c r="DA189" s="111" t="s">
        <v>3061</v>
      </c>
      <c r="DC189" s="86">
        <v>2.0</v>
      </c>
      <c r="DD189" s="86">
        <v>2.0</v>
      </c>
      <c r="DE189" s="86">
        <v>2.0</v>
      </c>
      <c r="DF189" s="86">
        <v>2.0</v>
      </c>
      <c r="DG189" s="86">
        <v>2.0</v>
      </c>
      <c r="DH189" s="86">
        <v>2.0</v>
      </c>
      <c r="DI189" s="86">
        <v>2.0</v>
      </c>
      <c r="DJ189" s="87" t="s">
        <v>64</v>
      </c>
      <c r="DK189" s="87" t="s">
        <v>64</v>
      </c>
      <c r="DL189" s="87" t="s">
        <v>64</v>
      </c>
      <c r="DM189" s="50"/>
      <c r="DO189" s="107" t="s">
        <v>3062</v>
      </c>
      <c r="DQ189" s="86">
        <v>2.0</v>
      </c>
      <c r="DR189" s="86">
        <v>2.0</v>
      </c>
      <c r="DS189" s="86">
        <v>2.0</v>
      </c>
      <c r="DT189" s="86">
        <v>2.0</v>
      </c>
      <c r="DU189" s="86">
        <v>2.0</v>
      </c>
      <c r="DV189" s="86">
        <v>2.0</v>
      </c>
      <c r="DW189" s="86">
        <v>2.0</v>
      </c>
      <c r="DX189" s="87" t="s">
        <v>64</v>
      </c>
      <c r="DY189" s="87" t="s">
        <v>64</v>
      </c>
      <c r="DZ189" s="87" t="s">
        <v>64</v>
      </c>
      <c r="EA189" s="50"/>
    </row>
    <row r="190" ht="15.75" customHeight="1">
      <c r="A190" s="14">
        <v>16.0</v>
      </c>
      <c r="B190" s="14" t="s">
        <v>240</v>
      </c>
      <c r="C190" s="14" t="str">
        <f t="array" ref="C190">IFERROR(INDEX(DOCUMENTOS!$E:$E,MATCH($A190,DOCUMENTOS!$A:$A,0)),"")</f>
        <v/>
      </c>
      <c r="D190" s="14" t="str">
        <f t="array" ref="D190">IFERROR(INDEX('BANCO DE PERGUNTAS'!$D:$D,MATCH($B190,'BANCO DE PERGUNTAS'!$A:$A,0)),"")</f>
        <v>Existem elementos que indiquem possível desconformidade com os próprios requisitos apresentados no documento?</v>
      </c>
      <c r="E190" s="14" t="str">
        <f t="array" ref="E190">IFERROR(INDEX('BANCO DE PERGUNTAS'!$B:$B,MATCH($B190,'BANCO DE PERGUNTAS'!$A:$A,0)),"")</f>
        <v>Conformidade Documental</v>
      </c>
      <c r="F190" s="17">
        <f t="array" ref="F190">IFERROR(INDEX('BANCO DE PERGUNTAS'!$H:$H,MATCH($B190,'BANCO DE PERGUNTAS'!$A:$A,0)),"")</f>
        <v>4</v>
      </c>
      <c r="I190" s="50"/>
      <c r="J190" s="50"/>
      <c r="K190" s="50"/>
      <c r="L190" s="50"/>
      <c r="M190" s="50"/>
      <c r="N190" s="50"/>
      <c r="O190" s="50"/>
      <c r="P190" s="50"/>
      <c r="Q190" s="50"/>
      <c r="R190" s="50"/>
      <c r="S190" s="50"/>
      <c r="U190" s="101" t="s">
        <v>3063</v>
      </c>
      <c r="W190" s="86">
        <v>2.0</v>
      </c>
      <c r="X190" s="86">
        <v>2.0</v>
      </c>
      <c r="Y190" s="86">
        <v>2.0</v>
      </c>
      <c r="Z190" s="86">
        <v>2.0</v>
      </c>
      <c r="AA190" s="86">
        <v>2.0</v>
      </c>
      <c r="AB190" s="86">
        <v>2.0</v>
      </c>
      <c r="AC190" s="86">
        <v>2.0</v>
      </c>
      <c r="AD190" s="87" t="s">
        <v>64</v>
      </c>
      <c r="AE190" s="87" t="s">
        <v>64</v>
      </c>
      <c r="AF190" s="87" t="s">
        <v>64</v>
      </c>
      <c r="AG190" s="50"/>
      <c r="AI190" s="106" t="s">
        <v>3064</v>
      </c>
      <c r="AK190" s="86">
        <v>2.0</v>
      </c>
      <c r="AL190" s="86">
        <v>2.0</v>
      </c>
      <c r="AM190" s="86">
        <v>2.0</v>
      </c>
      <c r="AN190" s="86">
        <v>2.0</v>
      </c>
      <c r="AO190" s="86">
        <v>2.0</v>
      </c>
      <c r="AP190" s="86">
        <v>2.0</v>
      </c>
      <c r="AQ190" s="86">
        <v>2.0</v>
      </c>
      <c r="AR190" s="87" t="s">
        <v>64</v>
      </c>
      <c r="AS190" s="87" t="s">
        <v>64</v>
      </c>
      <c r="AT190" s="87" t="s">
        <v>64</v>
      </c>
      <c r="AU190" s="50"/>
      <c r="AY190" s="50"/>
      <c r="AZ190" s="50"/>
      <c r="BA190" s="50"/>
      <c r="BB190" s="50"/>
      <c r="BC190" s="50"/>
      <c r="BD190" s="50"/>
      <c r="BE190" s="50"/>
      <c r="BF190" s="50"/>
      <c r="BG190" s="50"/>
      <c r="BH190" s="50"/>
      <c r="BI190" s="50"/>
      <c r="BK190" s="104" t="s">
        <v>3065</v>
      </c>
      <c r="BM190" s="86">
        <v>2.0</v>
      </c>
      <c r="BN190" s="86">
        <v>2.0</v>
      </c>
      <c r="BO190" s="86">
        <v>2.0</v>
      </c>
      <c r="BP190" s="86">
        <v>2.0</v>
      </c>
      <c r="BQ190" s="86">
        <v>2.0</v>
      </c>
      <c r="BR190" s="86">
        <v>2.0</v>
      </c>
      <c r="BS190" s="86">
        <v>2.0</v>
      </c>
      <c r="BT190" s="87" t="s">
        <v>64</v>
      </c>
      <c r="BU190" s="87" t="s">
        <v>64</v>
      </c>
      <c r="BV190" s="87" t="s">
        <v>64</v>
      </c>
      <c r="BW190" s="50"/>
      <c r="BY190" s="108" t="s">
        <v>3066</v>
      </c>
      <c r="CA190" s="86">
        <v>1.0</v>
      </c>
      <c r="CB190" s="86">
        <v>1.0</v>
      </c>
      <c r="CC190" s="86">
        <v>2.0</v>
      </c>
      <c r="CD190" s="86">
        <v>2.0</v>
      </c>
      <c r="CE190" s="86">
        <v>2.0</v>
      </c>
      <c r="CF190" s="86">
        <v>1.0</v>
      </c>
      <c r="CG190" s="86">
        <v>2.0</v>
      </c>
      <c r="CH190" s="87" t="s">
        <v>64</v>
      </c>
      <c r="CI190" s="87" t="s">
        <v>64</v>
      </c>
      <c r="CJ190" s="87" t="s">
        <v>64</v>
      </c>
      <c r="CK190" s="50"/>
      <c r="CO190" s="50"/>
      <c r="CP190" s="50"/>
      <c r="CQ190" s="50"/>
      <c r="CR190" s="50"/>
      <c r="CS190" s="50"/>
      <c r="CT190" s="50"/>
      <c r="CU190" s="50"/>
      <c r="CV190" s="50"/>
      <c r="CW190" s="50"/>
      <c r="CX190" s="50"/>
      <c r="CY190" s="50"/>
      <c r="DA190" s="111" t="s">
        <v>3067</v>
      </c>
      <c r="DC190" s="86">
        <v>2.0</v>
      </c>
      <c r="DD190" s="86">
        <v>2.0</v>
      </c>
      <c r="DE190" s="86">
        <v>2.0</v>
      </c>
      <c r="DF190" s="86">
        <v>2.0</v>
      </c>
      <c r="DG190" s="86">
        <v>2.0</v>
      </c>
      <c r="DH190" s="86">
        <v>2.0</v>
      </c>
      <c r="DI190" s="86">
        <v>2.0</v>
      </c>
      <c r="DJ190" s="87" t="s">
        <v>64</v>
      </c>
      <c r="DK190" s="87" t="s">
        <v>64</v>
      </c>
      <c r="DL190" s="87" t="s">
        <v>64</v>
      </c>
      <c r="DM190" s="50"/>
      <c r="DO190" s="109" t="s">
        <v>3068</v>
      </c>
      <c r="DQ190" s="86">
        <v>2.0</v>
      </c>
      <c r="DR190" s="86">
        <v>2.0</v>
      </c>
      <c r="DS190" s="86">
        <v>2.0</v>
      </c>
      <c r="DT190" s="86">
        <v>2.0</v>
      </c>
      <c r="DU190" s="86">
        <v>2.0</v>
      </c>
      <c r="DV190" s="86">
        <v>2.0</v>
      </c>
      <c r="DW190" s="86">
        <v>2.0</v>
      </c>
      <c r="DX190" s="87" t="s">
        <v>64</v>
      </c>
      <c r="DY190" s="87" t="s">
        <v>64</v>
      </c>
      <c r="DZ190" s="87" t="s">
        <v>64</v>
      </c>
      <c r="EA190" s="50"/>
    </row>
    <row r="191" ht="15.75" customHeight="1">
      <c r="A191" s="11">
        <v>16.0</v>
      </c>
      <c r="B191" s="11" t="s">
        <v>247</v>
      </c>
      <c r="C191" s="11" t="str">
        <f t="array" ref="C191">IFERROR(INDEX(DOCUMENTOS!$E:$E,MATCH($A191,DOCUMENTOS!$A:$A,0)),"")</f>
        <v/>
      </c>
      <c r="D191" s="11" t="str">
        <f t="array" ref="D191">IFERROR(INDEX('BANCO DE PERGUNTAS'!$D:$D,MATCH($B191,'BANCO DE PERGUNTAS'!$A:$A,0)),"")</f>
        <v>Quais requisitos estão explicitamente presentes?</v>
      </c>
      <c r="E191" s="11" t="str">
        <f t="array" ref="E191">IFERROR(INDEX('BANCO DE PERGUNTAS'!$B:$B,MATCH($B191,'BANCO DE PERGUNTAS'!$A:$A,0)),"")</f>
        <v>Conformidade Documental</v>
      </c>
      <c r="F191" s="12">
        <f t="array" ref="F191">IFERROR(INDEX('BANCO DE PERGUNTAS'!$H:$H,MATCH($B191,'BANCO DE PERGUNTAS'!$A:$A,0)),"")</f>
        <v>2</v>
      </c>
      <c r="I191" s="50"/>
      <c r="J191" s="50"/>
      <c r="K191" s="50"/>
      <c r="L191" s="50"/>
      <c r="M191" s="50"/>
      <c r="N191" s="50"/>
      <c r="O191" s="50"/>
      <c r="P191" s="50"/>
      <c r="Q191" s="50"/>
      <c r="R191" s="50"/>
      <c r="S191" s="50"/>
      <c r="U191" s="97" t="s">
        <v>3069</v>
      </c>
      <c r="W191" s="86">
        <v>1.0</v>
      </c>
      <c r="X191" s="86">
        <v>1.0</v>
      </c>
      <c r="Y191" s="86">
        <v>2.0</v>
      </c>
      <c r="Z191" s="86">
        <v>2.0</v>
      </c>
      <c r="AA191" s="86">
        <v>2.0</v>
      </c>
      <c r="AB191" s="86">
        <v>1.0</v>
      </c>
      <c r="AC191" s="86">
        <v>2.0</v>
      </c>
      <c r="AD191" s="87" t="s">
        <v>64</v>
      </c>
      <c r="AE191" s="87" t="s">
        <v>64</v>
      </c>
      <c r="AF191" s="87" t="s">
        <v>64</v>
      </c>
      <c r="AG191" s="50"/>
      <c r="AI191" s="106" t="s">
        <v>3070</v>
      </c>
      <c r="AK191" s="86">
        <v>1.0</v>
      </c>
      <c r="AL191" s="86">
        <v>1.0</v>
      </c>
      <c r="AM191" s="86">
        <v>2.0</v>
      </c>
      <c r="AN191" s="86">
        <v>2.0</v>
      </c>
      <c r="AO191" s="86">
        <v>2.0</v>
      </c>
      <c r="AP191" s="86">
        <v>1.0</v>
      </c>
      <c r="AQ191" s="86">
        <v>2.0</v>
      </c>
      <c r="AR191" s="87" t="s">
        <v>64</v>
      </c>
      <c r="AS191" s="87" t="s">
        <v>64</v>
      </c>
      <c r="AT191" s="87" t="s">
        <v>64</v>
      </c>
      <c r="AU191" s="50"/>
      <c r="AY191" s="50"/>
      <c r="AZ191" s="50"/>
      <c r="BA191" s="50"/>
      <c r="BB191" s="50"/>
      <c r="BC191" s="50"/>
      <c r="BD191" s="50"/>
      <c r="BE191" s="50"/>
      <c r="BF191" s="50"/>
      <c r="BG191" s="50"/>
      <c r="BH191" s="50"/>
      <c r="BI191" s="50"/>
      <c r="BK191" s="104" t="s">
        <v>3071</v>
      </c>
      <c r="BM191" s="86">
        <v>1.0</v>
      </c>
      <c r="BN191" s="86">
        <v>1.0</v>
      </c>
      <c r="BO191" s="86">
        <v>2.0</v>
      </c>
      <c r="BP191" s="86">
        <v>2.0</v>
      </c>
      <c r="BQ191" s="86">
        <v>2.0</v>
      </c>
      <c r="BR191" s="86">
        <v>1.0</v>
      </c>
      <c r="BS191" s="86">
        <v>2.0</v>
      </c>
      <c r="BT191" s="87" t="s">
        <v>64</v>
      </c>
      <c r="BU191" s="87" t="s">
        <v>64</v>
      </c>
      <c r="BV191" s="87" t="s">
        <v>64</v>
      </c>
      <c r="BW191" s="50"/>
      <c r="BY191" s="53" t="s">
        <v>3072</v>
      </c>
      <c r="CA191" s="86">
        <v>2.0</v>
      </c>
      <c r="CB191" s="86">
        <v>2.0</v>
      </c>
      <c r="CC191" s="86">
        <v>2.0</v>
      </c>
      <c r="CD191" s="86">
        <v>2.0</v>
      </c>
      <c r="CE191" s="86">
        <v>2.0</v>
      </c>
      <c r="CF191" s="86">
        <v>2.0</v>
      </c>
      <c r="CG191" s="86">
        <v>2.0</v>
      </c>
      <c r="CH191" s="87" t="s">
        <v>64</v>
      </c>
      <c r="CI191" s="87" t="s">
        <v>64</v>
      </c>
      <c r="CJ191" s="87" t="s">
        <v>64</v>
      </c>
      <c r="CK191" s="50"/>
      <c r="CO191" s="50"/>
      <c r="CP191" s="50"/>
      <c r="CQ191" s="50"/>
      <c r="CR191" s="50"/>
      <c r="CS191" s="50"/>
      <c r="CT191" s="50"/>
      <c r="CU191" s="50"/>
      <c r="CV191" s="50"/>
      <c r="CW191" s="50"/>
      <c r="CX191" s="50"/>
      <c r="CY191" s="50"/>
      <c r="DA191" s="111" t="s">
        <v>3073</v>
      </c>
      <c r="DC191" s="86">
        <v>1.0</v>
      </c>
      <c r="DD191" s="86">
        <v>1.0</v>
      </c>
      <c r="DE191" s="86">
        <v>2.0</v>
      </c>
      <c r="DF191" s="86">
        <v>2.0</v>
      </c>
      <c r="DG191" s="86">
        <v>2.0</v>
      </c>
      <c r="DH191" s="86">
        <v>1.0</v>
      </c>
      <c r="DI191" s="86">
        <v>2.0</v>
      </c>
      <c r="DJ191" s="87" t="s">
        <v>64</v>
      </c>
      <c r="DK191" s="87" t="s">
        <v>64</v>
      </c>
      <c r="DL191" s="87" t="s">
        <v>64</v>
      </c>
      <c r="DM191" s="50"/>
      <c r="DO191" s="107" t="s">
        <v>3074</v>
      </c>
      <c r="DQ191" s="86">
        <v>1.0</v>
      </c>
      <c r="DR191" s="86">
        <v>1.0</v>
      </c>
      <c r="DS191" s="86">
        <v>2.0</v>
      </c>
      <c r="DT191" s="86">
        <v>2.0</v>
      </c>
      <c r="DU191" s="86">
        <v>2.0</v>
      </c>
      <c r="DV191" s="86">
        <v>1.0</v>
      </c>
      <c r="DW191" s="86">
        <v>2.0</v>
      </c>
      <c r="DX191" s="87" t="s">
        <v>64</v>
      </c>
      <c r="DY191" s="87" t="s">
        <v>64</v>
      </c>
      <c r="DZ191" s="87" t="s">
        <v>64</v>
      </c>
      <c r="EA191" s="50"/>
    </row>
    <row r="192" ht="15.75" customHeight="1">
      <c r="A192" s="14">
        <v>16.0</v>
      </c>
      <c r="B192" s="14" t="s">
        <v>252</v>
      </c>
      <c r="C192" s="14" t="str">
        <f t="array" ref="C192">IFERROR(INDEX(DOCUMENTOS!$E:$E,MATCH($A192,DOCUMENTOS!$A:$A,0)),"")</f>
        <v/>
      </c>
      <c r="D192" s="14" t="str">
        <f t="array" ref="D192">IFERROR(INDEX('BANCO DE PERGUNTAS'!$D:$D,MATCH($B192,'BANCO DE PERGUNTAS'!$A:$A,0)),"")</f>
        <v>Quais informações necessárias parecem estar ausentes?</v>
      </c>
      <c r="E192" s="14" t="str">
        <f t="array" ref="E192">IFERROR(INDEX('BANCO DE PERGUNTAS'!$B:$B,MATCH($B192,'BANCO DE PERGUNTAS'!$A:$A,0)),"")</f>
        <v>Identificação de Omissões</v>
      </c>
      <c r="F192" s="17">
        <f t="array" ref="F192">IFERROR(INDEX('BANCO DE PERGUNTAS'!$H:$H,MATCH($B192,'BANCO DE PERGUNTAS'!$A:$A,0)),"")</f>
        <v>4</v>
      </c>
      <c r="I192" s="50"/>
      <c r="J192" s="50"/>
      <c r="K192" s="50"/>
      <c r="L192" s="50"/>
      <c r="M192" s="50"/>
      <c r="N192" s="50"/>
      <c r="O192" s="50"/>
      <c r="P192" s="50"/>
      <c r="Q192" s="50"/>
      <c r="R192" s="50"/>
      <c r="S192" s="50"/>
      <c r="U192" s="101" t="s">
        <v>3075</v>
      </c>
      <c r="W192" s="86">
        <v>1.0</v>
      </c>
      <c r="X192" s="86">
        <v>1.0</v>
      </c>
      <c r="Y192" s="86">
        <v>2.0</v>
      </c>
      <c r="Z192" s="86">
        <v>2.0</v>
      </c>
      <c r="AA192" s="86">
        <v>2.0</v>
      </c>
      <c r="AB192" s="86">
        <v>1.0</v>
      </c>
      <c r="AC192" s="86">
        <v>2.0</v>
      </c>
      <c r="AD192" s="87" t="s">
        <v>64</v>
      </c>
      <c r="AE192" s="87" t="s">
        <v>64</v>
      </c>
      <c r="AF192" s="87" t="s">
        <v>64</v>
      </c>
      <c r="AG192" s="50"/>
      <c r="AI192" s="106" t="s">
        <v>3076</v>
      </c>
      <c r="AK192" s="86">
        <v>1.0</v>
      </c>
      <c r="AL192" s="86">
        <v>1.0</v>
      </c>
      <c r="AM192" s="86">
        <v>2.0</v>
      </c>
      <c r="AN192" s="86">
        <v>2.0</v>
      </c>
      <c r="AO192" s="86">
        <v>2.0</v>
      </c>
      <c r="AP192" s="86">
        <v>1.0</v>
      </c>
      <c r="AQ192" s="86">
        <v>2.0</v>
      </c>
      <c r="AR192" s="87" t="s">
        <v>64</v>
      </c>
      <c r="AS192" s="87" t="s">
        <v>64</v>
      </c>
      <c r="AT192" s="87" t="s">
        <v>64</v>
      </c>
      <c r="AU192" s="50"/>
      <c r="AY192" s="50"/>
      <c r="AZ192" s="50"/>
      <c r="BA192" s="50"/>
      <c r="BB192" s="50"/>
      <c r="BC192" s="50"/>
      <c r="BD192" s="50"/>
      <c r="BE192" s="50"/>
      <c r="BF192" s="50"/>
      <c r="BG192" s="50"/>
      <c r="BH192" s="50"/>
      <c r="BI192" s="50"/>
      <c r="BK192" s="104" t="s">
        <v>3077</v>
      </c>
      <c r="BM192" s="86">
        <v>1.0</v>
      </c>
      <c r="BN192" s="86">
        <v>1.0</v>
      </c>
      <c r="BO192" s="86">
        <v>2.0</v>
      </c>
      <c r="BP192" s="86">
        <v>2.0</v>
      </c>
      <c r="BQ192" s="86">
        <v>2.0</v>
      </c>
      <c r="BR192" s="86">
        <v>1.0</v>
      </c>
      <c r="BS192" s="86">
        <v>2.0</v>
      </c>
      <c r="BT192" s="87" t="s">
        <v>64</v>
      </c>
      <c r="BU192" s="87" t="s">
        <v>64</v>
      </c>
      <c r="BV192" s="87" t="s">
        <v>64</v>
      </c>
      <c r="BW192" s="50"/>
      <c r="BY192" s="108" t="s">
        <v>3078</v>
      </c>
      <c r="CA192" s="86">
        <v>2.0</v>
      </c>
      <c r="CB192" s="86">
        <v>2.0</v>
      </c>
      <c r="CC192" s="86">
        <v>2.0</v>
      </c>
      <c r="CD192" s="86">
        <v>2.0</v>
      </c>
      <c r="CE192" s="86">
        <v>2.0</v>
      </c>
      <c r="CF192" s="86">
        <v>2.0</v>
      </c>
      <c r="CG192" s="86">
        <v>2.0</v>
      </c>
      <c r="CH192" s="87" t="s">
        <v>64</v>
      </c>
      <c r="CI192" s="87" t="s">
        <v>64</v>
      </c>
      <c r="CJ192" s="87" t="s">
        <v>64</v>
      </c>
      <c r="CK192" s="50"/>
      <c r="CO192" s="50"/>
      <c r="CP192" s="50"/>
      <c r="CQ192" s="50"/>
      <c r="CR192" s="50"/>
      <c r="CS192" s="50"/>
      <c r="CT192" s="50"/>
      <c r="CU192" s="50"/>
      <c r="CV192" s="50"/>
      <c r="CW192" s="50"/>
      <c r="CX192" s="50"/>
      <c r="CY192" s="50"/>
      <c r="DA192" s="111" t="s">
        <v>3079</v>
      </c>
      <c r="DC192" s="86">
        <v>0.0</v>
      </c>
      <c r="DD192" s="86">
        <v>1.0</v>
      </c>
      <c r="DE192" s="86">
        <v>2.0</v>
      </c>
      <c r="DF192" s="86">
        <v>2.0</v>
      </c>
      <c r="DG192" s="86">
        <v>2.0</v>
      </c>
      <c r="DH192" s="86">
        <v>1.0</v>
      </c>
      <c r="DI192" s="86">
        <v>2.0</v>
      </c>
      <c r="DJ192" s="87" t="s">
        <v>64</v>
      </c>
      <c r="DK192" s="87" t="s">
        <v>64</v>
      </c>
      <c r="DL192" s="87" t="s">
        <v>64</v>
      </c>
      <c r="DM192" s="50"/>
      <c r="DO192" s="109" t="s">
        <v>3080</v>
      </c>
      <c r="DQ192" s="86">
        <v>0.0</v>
      </c>
      <c r="DR192" s="86">
        <v>1.0</v>
      </c>
      <c r="DS192" s="86">
        <v>2.0</v>
      </c>
      <c r="DT192" s="86">
        <v>2.0</v>
      </c>
      <c r="DU192" s="86">
        <v>2.0</v>
      </c>
      <c r="DV192" s="86">
        <v>1.0</v>
      </c>
      <c r="DW192" s="86">
        <v>2.0</v>
      </c>
      <c r="DX192" s="87" t="s">
        <v>64</v>
      </c>
      <c r="DY192" s="87" t="s">
        <v>64</v>
      </c>
      <c r="DZ192" s="87" t="s">
        <v>64</v>
      </c>
      <c r="EA192" s="50"/>
    </row>
    <row r="193" ht="15.75" customHeight="1">
      <c r="A193" s="11">
        <v>16.0</v>
      </c>
      <c r="B193" s="11" t="s">
        <v>257</v>
      </c>
      <c r="C193" s="11" t="str">
        <f t="array" ref="C193">IFERROR(INDEX(DOCUMENTOS!$E:$E,MATCH($A193,DOCUMENTOS!$A:$A,0)),"")</f>
        <v/>
      </c>
      <c r="D193" s="11" t="str">
        <f t="array" ref="D193">IFERROR(INDEX('BANCO DE PERGUNTAS'!$D:$D,MATCH($B193,'BANCO DE PERGUNTAS'!$A:$A,0)),"")</f>
        <v>Existem informações conflitantes com outro documento relacionado?</v>
      </c>
      <c r="E193" s="11" t="str">
        <f t="array" ref="E193">IFERROR(INDEX('BANCO DE PERGUNTAS'!$B:$B,MATCH($B193,'BANCO DE PERGUNTAS'!$A:$A,0)),"")</f>
        <v>Comparação</v>
      </c>
      <c r="F193" s="12">
        <f t="array" ref="F193">IFERROR(INDEX('BANCO DE PERGUNTAS'!$H:$H,MATCH($B193,'BANCO DE PERGUNTAS'!$A:$A,0)),"")</f>
        <v>5</v>
      </c>
      <c r="I193" s="50"/>
      <c r="J193" s="50"/>
      <c r="K193" s="50"/>
      <c r="L193" s="50"/>
      <c r="M193" s="50"/>
      <c r="N193" s="50"/>
      <c r="O193" s="50"/>
      <c r="P193" s="50"/>
      <c r="Q193" s="50"/>
      <c r="R193" s="50"/>
      <c r="S193" s="50"/>
      <c r="U193" s="97" t="s">
        <v>2512</v>
      </c>
      <c r="W193" s="86">
        <v>2.0</v>
      </c>
      <c r="X193" s="86">
        <v>2.0</v>
      </c>
      <c r="Y193" s="86">
        <v>2.0</v>
      </c>
      <c r="Z193" s="86">
        <v>2.0</v>
      </c>
      <c r="AA193" s="86">
        <v>2.0</v>
      </c>
      <c r="AB193" s="86">
        <v>2.0</v>
      </c>
      <c r="AC193" s="86">
        <v>2.0</v>
      </c>
      <c r="AD193" s="87" t="s">
        <v>64</v>
      </c>
      <c r="AE193" s="87" t="s">
        <v>64</v>
      </c>
      <c r="AF193" s="87" t="s">
        <v>64</v>
      </c>
      <c r="AG193" s="50"/>
      <c r="AI193" s="106" t="s">
        <v>3081</v>
      </c>
      <c r="AK193" s="86">
        <v>2.0</v>
      </c>
      <c r="AL193" s="86">
        <v>2.0</v>
      </c>
      <c r="AM193" s="86">
        <v>2.0</v>
      </c>
      <c r="AN193" s="86">
        <v>2.0</v>
      </c>
      <c r="AO193" s="86">
        <v>2.0</v>
      </c>
      <c r="AP193" s="86">
        <v>2.0</v>
      </c>
      <c r="AQ193" s="86">
        <v>2.0</v>
      </c>
      <c r="AR193" s="87" t="s">
        <v>64</v>
      </c>
      <c r="AS193" s="87" t="s">
        <v>64</v>
      </c>
      <c r="AT193" s="87" t="s">
        <v>64</v>
      </c>
      <c r="AU193" s="50"/>
      <c r="AY193" s="50"/>
      <c r="AZ193" s="50"/>
      <c r="BA193" s="50"/>
      <c r="BB193" s="50"/>
      <c r="BC193" s="50"/>
      <c r="BD193" s="50"/>
      <c r="BE193" s="50"/>
      <c r="BF193" s="50"/>
      <c r="BG193" s="50"/>
      <c r="BH193" s="50"/>
      <c r="BI193" s="50"/>
      <c r="BK193" s="104" t="s">
        <v>3082</v>
      </c>
      <c r="BM193" s="86">
        <v>2.0</v>
      </c>
      <c r="BN193" s="86">
        <v>2.0</v>
      </c>
      <c r="BO193" s="86">
        <v>2.0</v>
      </c>
      <c r="BP193" s="86">
        <v>2.0</v>
      </c>
      <c r="BQ193" s="86">
        <v>2.0</v>
      </c>
      <c r="BR193" s="86">
        <v>2.0</v>
      </c>
      <c r="BS193" s="86">
        <v>2.0</v>
      </c>
      <c r="BT193" s="87" t="s">
        <v>64</v>
      </c>
      <c r="BU193" s="87" t="s">
        <v>64</v>
      </c>
      <c r="BV193" s="87" t="s">
        <v>64</v>
      </c>
      <c r="BW193" s="50"/>
      <c r="BY193" s="53" t="s">
        <v>3083</v>
      </c>
      <c r="CA193" s="86">
        <v>2.0</v>
      </c>
      <c r="CB193" s="86">
        <v>2.0</v>
      </c>
      <c r="CC193" s="86">
        <v>2.0</v>
      </c>
      <c r="CD193" s="86">
        <v>2.0</v>
      </c>
      <c r="CE193" s="86">
        <v>2.0</v>
      </c>
      <c r="CF193" s="86">
        <v>2.0</v>
      </c>
      <c r="CG193" s="86">
        <v>2.0</v>
      </c>
      <c r="CH193" s="87" t="s">
        <v>64</v>
      </c>
      <c r="CI193" s="87" t="s">
        <v>64</v>
      </c>
      <c r="CJ193" s="87" t="s">
        <v>64</v>
      </c>
      <c r="CK193" s="50"/>
      <c r="CO193" s="50"/>
      <c r="CP193" s="50"/>
      <c r="CQ193" s="50"/>
      <c r="CR193" s="50"/>
      <c r="CS193" s="50"/>
      <c r="CT193" s="50"/>
      <c r="CU193" s="50"/>
      <c r="CV193" s="50"/>
      <c r="CW193" s="50"/>
      <c r="CX193" s="50"/>
      <c r="CY193" s="50"/>
      <c r="DA193" s="111" t="s">
        <v>3084</v>
      </c>
      <c r="DC193" s="86">
        <v>2.0</v>
      </c>
      <c r="DD193" s="86">
        <v>2.0</v>
      </c>
      <c r="DE193" s="86">
        <v>2.0</v>
      </c>
      <c r="DF193" s="86">
        <v>2.0</v>
      </c>
      <c r="DG193" s="86">
        <v>2.0</v>
      </c>
      <c r="DH193" s="86">
        <v>2.0</v>
      </c>
      <c r="DI193" s="86">
        <v>2.0</v>
      </c>
      <c r="DJ193" s="87" t="s">
        <v>64</v>
      </c>
      <c r="DK193" s="87" t="s">
        <v>64</v>
      </c>
      <c r="DL193" s="87" t="s">
        <v>64</v>
      </c>
      <c r="DM193" s="50"/>
      <c r="DO193" s="107" t="s">
        <v>3085</v>
      </c>
      <c r="DQ193" s="86">
        <v>2.0</v>
      </c>
      <c r="DR193" s="86">
        <v>2.0</v>
      </c>
      <c r="DS193" s="86">
        <v>2.0</v>
      </c>
      <c r="DT193" s="86">
        <v>2.0</v>
      </c>
      <c r="DU193" s="86">
        <v>2.0</v>
      </c>
      <c r="DV193" s="86">
        <v>2.0</v>
      </c>
      <c r="DW193" s="86">
        <v>2.0</v>
      </c>
      <c r="DX193" s="87" t="s">
        <v>64</v>
      </c>
      <c r="DY193" s="87" t="s">
        <v>64</v>
      </c>
      <c r="DZ193" s="87" t="s">
        <v>64</v>
      </c>
      <c r="EA193" s="50"/>
    </row>
    <row r="194" ht="15.75" customHeight="1">
      <c r="A194" s="14">
        <v>16.0</v>
      </c>
      <c r="B194" s="14" t="s">
        <v>264</v>
      </c>
      <c r="C194" s="14" t="str">
        <f t="array" ref="C194">IFERROR(INDEX(DOCUMENTOS!$E:$E,MATCH($A194,DOCUMENTOS!$A:$A,0)),"")</f>
        <v/>
      </c>
      <c r="D194" s="14" t="str">
        <f t="array" ref="D194">IFERROR(INDEX('BANCO DE PERGUNTAS'!$D:$D,MATCH($B194,'BANCO DE PERGUNTAS'!$A:$A,0)),"")</f>
        <v>Quais diferenças existem entre os documentos?</v>
      </c>
      <c r="E194" s="14" t="str">
        <f t="array" ref="E194">IFERROR(INDEX('BANCO DE PERGUNTAS'!$B:$B,MATCH($B194,'BANCO DE PERGUNTAS'!$A:$A,0)),"")</f>
        <v>Comparação</v>
      </c>
      <c r="F194" s="17">
        <f t="array" ref="F194">IFERROR(INDEX('BANCO DE PERGUNTAS'!$H:$H,MATCH($B194,'BANCO DE PERGUNTAS'!$A:$A,0)),"")</f>
        <v>5</v>
      </c>
      <c r="I194" s="50"/>
      <c r="J194" s="50"/>
      <c r="K194" s="50"/>
      <c r="L194" s="50"/>
      <c r="M194" s="50"/>
      <c r="N194" s="50"/>
      <c r="O194" s="50"/>
      <c r="P194" s="50"/>
      <c r="Q194" s="50"/>
      <c r="R194" s="50"/>
      <c r="S194" s="50"/>
      <c r="U194" s="101" t="s">
        <v>2512</v>
      </c>
      <c r="W194" s="86">
        <v>2.0</v>
      </c>
      <c r="X194" s="86">
        <v>2.0</v>
      </c>
      <c r="Y194" s="86">
        <v>2.0</v>
      </c>
      <c r="Z194" s="86">
        <v>2.0</v>
      </c>
      <c r="AA194" s="86">
        <v>2.0</v>
      </c>
      <c r="AB194" s="86">
        <v>2.0</v>
      </c>
      <c r="AC194" s="86">
        <v>2.0</v>
      </c>
      <c r="AD194" s="87" t="s">
        <v>64</v>
      </c>
      <c r="AE194" s="87" t="s">
        <v>64</v>
      </c>
      <c r="AF194" s="87" t="s">
        <v>64</v>
      </c>
      <c r="AG194" s="50"/>
      <c r="AI194" s="106" t="s">
        <v>3086</v>
      </c>
      <c r="AK194" s="86">
        <v>2.0</v>
      </c>
      <c r="AL194" s="86">
        <v>2.0</v>
      </c>
      <c r="AM194" s="86">
        <v>2.0</v>
      </c>
      <c r="AN194" s="86">
        <v>2.0</v>
      </c>
      <c r="AO194" s="86">
        <v>2.0</v>
      </c>
      <c r="AP194" s="86">
        <v>2.0</v>
      </c>
      <c r="AQ194" s="86">
        <v>2.0</v>
      </c>
      <c r="AR194" s="87" t="s">
        <v>64</v>
      </c>
      <c r="AS194" s="87" t="s">
        <v>64</v>
      </c>
      <c r="AT194" s="87" t="s">
        <v>64</v>
      </c>
      <c r="AU194" s="50"/>
      <c r="AY194" s="50"/>
      <c r="AZ194" s="50"/>
      <c r="BA194" s="50"/>
      <c r="BB194" s="50"/>
      <c r="BC194" s="50"/>
      <c r="BD194" s="50"/>
      <c r="BE194" s="50"/>
      <c r="BF194" s="50"/>
      <c r="BG194" s="50"/>
      <c r="BH194" s="50"/>
      <c r="BI194" s="50"/>
      <c r="BK194" s="104" t="s">
        <v>3087</v>
      </c>
      <c r="BM194" s="86">
        <v>2.0</v>
      </c>
      <c r="BN194" s="86">
        <v>2.0</v>
      </c>
      <c r="BO194" s="86">
        <v>2.0</v>
      </c>
      <c r="BP194" s="86">
        <v>2.0</v>
      </c>
      <c r="BQ194" s="86">
        <v>2.0</v>
      </c>
      <c r="BR194" s="86">
        <v>2.0</v>
      </c>
      <c r="BS194" s="86">
        <v>2.0</v>
      </c>
      <c r="BT194" s="87" t="s">
        <v>64</v>
      </c>
      <c r="BU194" s="87" t="s">
        <v>64</v>
      </c>
      <c r="BV194" s="87" t="s">
        <v>64</v>
      </c>
      <c r="BW194" s="50"/>
      <c r="BY194" s="108" t="s">
        <v>3088</v>
      </c>
      <c r="CA194" s="86">
        <v>2.0</v>
      </c>
      <c r="CB194" s="86">
        <v>2.0</v>
      </c>
      <c r="CC194" s="86">
        <v>2.0</v>
      </c>
      <c r="CD194" s="86">
        <v>2.0</v>
      </c>
      <c r="CE194" s="86">
        <v>2.0</v>
      </c>
      <c r="CF194" s="86">
        <v>2.0</v>
      </c>
      <c r="CG194" s="86">
        <v>2.0</v>
      </c>
      <c r="CH194" s="87" t="s">
        <v>64</v>
      </c>
      <c r="CI194" s="87" t="s">
        <v>64</v>
      </c>
      <c r="CJ194" s="87" t="s">
        <v>64</v>
      </c>
      <c r="CK194" s="50"/>
      <c r="CO194" s="50"/>
      <c r="CP194" s="50"/>
      <c r="CQ194" s="50"/>
      <c r="CR194" s="50"/>
      <c r="CS194" s="50"/>
      <c r="CT194" s="50"/>
      <c r="CU194" s="50"/>
      <c r="CV194" s="50"/>
      <c r="CW194" s="50"/>
      <c r="CX194" s="50"/>
      <c r="CY194" s="50"/>
      <c r="DA194" s="111" t="s">
        <v>682</v>
      </c>
      <c r="DC194" s="86">
        <v>2.0</v>
      </c>
      <c r="DD194" s="86">
        <v>2.0</v>
      </c>
      <c r="DE194" s="86">
        <v>2.0</v>
      </c>
      <c r="DF194" s="86">
        <v>2.0</v>
      </c>
      <c r="DG194" s="86">
        <v>2.0</v>
      </c>
      <c r="DH194" s="86">
        <v>2.0</v>
      </c>
      <c r="DI194" s="86">
        <v>2.0</v>
      </c>
      <c r="DJ194" s="87" t="s">
        <v>64</v>
      </c>
      <c r="DK194" s="87" t="s">
        <v>64</v>
      </c>
      <c r="DL194" s="87" t="s">
        <v>64</v>
      </c>
      <c r="DM194" s="50"/>
      <c r="DO194" s="109" t="s">
        <v>3089</v>
      </c>
      <c r="DQ194" s="86">
        <v>2.0</v>
      </c>
      <c r="DR194" s="86">
        <v>2.0</v>
      </c>
      <c r="DS194" s="86">
        <v>2.0</v>
      </c>
      <c r="DT194" s="86">
        <v>2.0</v>
      </c>
      <c r="DU194" s="86">
        <v>2.0</v>
      </c>
      <c r="DV194" s="86">
        <v>2.0</v>
      </c>
      <c r="DW194" s="86">
        <v>2.0</v>
      </c>
      <c r="DX194" s="87" t="s">
        <v>64</v>
      </c>
      <c r="DY194" s="87" t="s">
        <v>64</v>
      </c>
      <c r="DZ194" s="87" t="s">
        <v>64</v>
      </c>
      <c r="EA194" s="50"/>
    </row>
    <row r="195" ht="15.75" customHeight="1">
      <c r="A195" s="11">
        <v>16.0</v>
      </c>
      <c r="B195" s="11" t="s">
        <v>269</v>
      </c>
      <c r="C195" s="11" t="str">
        <f t="array" ref="C195">IFERROR(INDEX(DOCUMENTOS!$E:$E,MATCH($A195,DOCUMENTOS!$A:$A,0)),"")</f>
        <v/>
      </c>
      <c r="D195" s="11" t="str">
        <f t="array" ref="D195">IFERROR(INDEX('BANCO DE PERGUNTAS'!$D:$D,MATCH($B195,'BANCO DE PERGUNTAS'!$A:$A,0)),"")</f>
        <v>Quais informações foram alteradas?</v>
      </c>
      <c r="E195" s="11" t="str">
        <f t="array" ref="E195">IFERROR(INDEX('BANCO DE PERGUNTAS'!$B:$B,MATCH($B195,'BANCO DE PERGUNTAS'!$A:$A,0)),"")</f>
        <v>Análise de Relações entre Informações</v>
      </c>
      <c r="F195" s="12">
        <f t="array" ref="F195">IFERROR(INDEX('BANCO DE PERGUNTAS'!$H:$H,MATCH($B195,'BANCO DE PERGUNTAS'!$A:$A,0)),"")</f>
        <v>5</v>
      </c>
      <c r="I195" s="50"/>
      <c r="J195" s="50"/>
      <c r="K195" s="50"/>
      <c r="L195" s="50"/>
      <c r="M195" s="50"/>
      <c r="N195" s="50"/>
      <c r="O195" s="50"/>
      <c r="P195" s="50"/>
      <c r="Q195" s="50"/>
      <c r="R195" s="50"/>
      <c r="S195" s="50"/>
      <c r="U195" s="97" t="s">
        <v>3090</v>
      </c>
      <c r="W195" s="86">
        <v>2.0</v>
      </c>
      <c r="X195" s="86">
        <v>2.0</v>
      </c>
      <c r="Y195" s="86">
        <v>2.0</v>
      </c>
      <c r="Z195" s="86">
        <v>2.0</v>
      </c>
      <c r="AA195" s="86">
        <v>2.0</v>
      </c>
      <c r="AB195" s="86">
        <v>2.0</v>
      </c>
      <c r="AC195" s="86">
        <v>2.0</v>
      </c>
      <c r="AD195" s="87" t="s">
        <v>64</v>
      </c>
      <c r="AE195" s="87" t="s">
        <v>64</v>
      </c>
      <c r="AF195" s="87" t="s">
        <v>64</v>
      </c>
      <c r="AG195" s="50"/>
      <c r="AI195" s="106" t="s">
        <v>3091</v>
      </c>
      <c r="AK195" s="86">
        <v>2.0</v>
      </c>
      <c r="AL195" s="86">
        <v>2.0</v>
      </c>
      <c r="AM195" s="86">
        <v>2.0</v>
      </c>
      <c r="AN195" s="86">
        <v>2.0</v>
      </c>
      <c r="AO195" s="86">
        <v>2.0</v>
      </c>
      <c r="AP195" s="86">
        <v>2.0</v>
      </c>
      <c r="AQ195" s="86">
        <v>2.0</v>
      </c>
      <c r="AR195" s="87" t="s">
        <v>64</v>
      </c>
      <c r="AS195" s="87" t="s">
        <v>64</v>
      </c>
      <c r="AT195" s="87" t="s">
        <v>64</v>
      </c>
      <c r="AU195" s="50"/>
      <c r="AY195" s="50"/>
      <c r="AZ195" s="50"/>
      <c r="BA195" s="50"/>
      <c r="BB195" s="50"/>
      <c r="BC195" s="50"/>
      <c r="BD195" s="50"/>
      <c r="BE195" s="50"/>
      <c r="BF195" s="50"/>
      <c r="BG195" s="50"/>
      <c r="BH195" s="50"/>
      <c r="BI195" s="50"/>
      <c r="BK195" s="104" t="s">
        <v>3092</v>
      </c>
      <c r="BM195" s="86">
        <v>2.0</v>
      </c>
      <c r="BN195" s="86">
        <v>2.0</v>
      </c>
      <c r="BO195" s="86">
        <v>2.0</v>
      </c>
      <c r="BP195" s="86">
        <v>2.0</v>
      </c>
      <c r="BQ195" s="86">
        <v>2.0</v>
      </c>
      <c r="BR195" s="86">
        <v>2.0</v>
      </c>
      <c r="BS195" s="86">
        <v>2.0</v>
      </c>
      <c r="BT195" s="87" t="s">
        <v>64</v>
      </c>
      <c r="BU195" s="87" t="s">
        <v>64</v>
      </c>
      <c r="BV195" s="87" t="s">
        <v>64</v>
      </c>
      <c r="BW195" s="50"/>
      <c r="BY195" s="53" t="s">
        <v>3093</v>
      </c>
      <c r="CA195" s="86">
        <v>2.0</v>
      </c>
      <c r="CB195" s="86">
        <v>2.0</v>
      </c>
      <c r="CC195" s="86">
        <v>2.0</v>
      </c>
      <c r="CD195" s="86">
        <v>2.0</v>
      </c>
      <c r="CE195" s="86">
        <v>2.0</v>
      </c>
      <c r="CF195" s="86">
        <v>2.0</v>
      </c>
      <c r="CG195" s="86">
        <v>2.0</v>
      </c>
      <c r="CH195" s="87" t="s">
        <v>64</v>
      </c>
      <c r="CI195" s="87" t="s">
        <v>64</v>
      </c>
      <c r="CJ195" s="87" t="s">
        <v>64</v>
      </c>
      <c r="CK195" s="50"/>
      <c r="CO195" s="50"/>
      <c r="CP195" s="50"/>
      <c r="CQ195" s="50"/>
      <c r="CR195" s="50"/>
      <c r="CS195" s="50"/>
      <c r="CT195" s="50"/>
      <c r="CU195" s="50"/>
      <c r="CV195" s="50"/>
      <c r="CW195" s="50"/>
      <c r="CX195" s="50"/>
      <c r="CY195" s="50"/>
      <c r="DA195" s="111" t="s">
        <v>682</v>
      </c>
      <c r="DC195" s="86">
        <v>2.0</v>
      </c>
      <c r="DD195" s="86">
        <v>2.0</v>
      </c>
      <c r="DE195" s="86">
        <v>2.0</v>
      </c>
      <c r="DF195" s="86">
        <v>2.0</v>
      </c>
      <c r="DG195" s="86">
        <v>2.0</v>
      </c>
      <c r="DH195" s="86">
        <v>2.0</v>
      </c>
      <c r="DI195" s="86">
        <v>2.0</v>
      </c>
      <c r="DJ195" s="87" t="s">
        <v>64</v>
      </c>
      <c r="DK195" s="87" t="s">
        <v>64</v>
      </c>
      <c r="DL195" s="87" t="s">
        <v>64</v>
      </c>
      <c r="DM195" s="50"/>
      <c r="DO195" s="107" t="s">
        <v>3094</v>
      </c>
      <c r="DQ195" s="86">
        <v>2.0</v>
      </c>
      <c r="DR195" s="86">
        <v>2.0</v>
      </c>
      <c r="DS195" s="86">
        <v>2.0</v>
      </c>
      <c r="DT195" s="86">
        <v>2.0</v>
      </c>
      <c r="DU195" s="86">
        <v>2.0</v>
      </c>
      <c r="DV195" s="86">
        <v>2.0</v>
      </c>
      <c r="DW195" s="86">
        <v>2.0</v>
      </c>
      <c r="DX195" s="87" t="s">
        <v>64</v>
      </c>
      <c r="DY195" s="87" t="s">
        <v>64</v>
      </c>
      <c r="DZ195" s="87" t="s">
        <v>64</v>
      </c>
      <c r="EA195" s="50"/>
    </row>
    <row r="196" ht="15.75" customHeight="1">
      <c r="A196" s="14">
        <v>16.0</v>
      </c>
      <c r="B196" s="14" t="s">
        <v>276</v>
      </c>
      <c r="C196" s="14" t="str">
        <f t="array" ref="C196">IFERROR(INDEX(DOCUMENTOS!$E:$E,MATCH($A196,DOCUMENTOS!$A:$A,0)),"")</f>
        <v/>
      </c>
      <c r="D196" s="14" t="str">
        <f t="array" ref="D196">IFERROR(INDEX('BANCO DE PERGUNTAS'!$D:$D,MATCH($B196,'BANCO DE PERGUNTAS'!$A:$A,0)),"")</f>
        <v>Identifique possíveis pontos de atenção administrativa.</v>
      </c>
      <c r="E196" s="14" t="str">
        <f t="array" ref="E196">IFERROR(INDEX('BANCO DE PERGUNTAS'!$B:$B,MATCH($B196,'BANCO DE PERGUNTAS'!$A:$A,0)),"")</f>
        <v>Análise de Risco</v>
      </c>
      <c r="F196" s="17">
        <f t="array" ref="F196">IFERROR(INDEX('BANCO DE PERGUNTAS'!$H:$H,MATCH($B196,'BANCO DE PERGUNTAS'!$A:$A,0)),"")</f>
        <v>4</v>
      </c>
      <c r="I196" s="50"/>
      <c r="J196" s="50"/>
      <c r="K196" s="50"/>
      <c r="L196" s="50"/>
      <c r="M196" s="50"/>
      <c r="N196" s="50"/>
      <c r="O196" s="50"/>
      <c r="P196" s="50"/>
      <c r="Q196" s="50"/>
      <c r="R196" s="50"/>
      <c r="S196" s="50"/>
      <c r="U196" s="101" t="s">
        <v>3095</v>
      </c>
      <c r="W196" s="86">
        <v>1.0</v>
      </c>
      <c r="X196" s="86">
        <v>1.0</v>
      </c>
      <c r="Y196" s="86">
        <v>2.0</v>
      </c>
      <c r="Z196" s="86">
        <v>2.0</v>
      </c>
      <c r="AA196" s="86">
        <v>2.0</v>
      </c>
      <c r="AB196" s="86">
        <v>1.0</v>
      </c>
      <c r="AC196" s="86">
        <v>2.0</v>
      </c>
      <c r="AD196" s="87" t="s">
        <v>64</v>
      </c>
      <c r="AE196" s="87" t="s">
        <v>64</v>
      </c>
      <c r="AF196" s="87" t="s">
        <v>64</v>
      </c>
      <c r="AG196" s="50"/>
      <c r="AI196" s="106" t="s">
        <v>3096</v>
      </c>
      <c r="AK196" s="86">
        <v>1.0</v>
      </c>
      <c r="AL196" s="86">
        <v>1.0</v>
      </c>
      <c r="AM196" s="86">
        <v>2.0</v>
      </c>
      <c r="AN196" s="86">
        <v>2.0</v>
      </c>
      <c r="AO196" s="86">
        <v>2.0</v>
      </c>
      <c r="AP196" s="86">
        <v>1.0</v>
      </c>
      <c r="AQ196" s="86">
        <v>2.0</v>
      </c>
      <c r="AR196" s="87" t="s">
        <v>64</v>
      </c>
      <c r="AS196" s="87" t="s">
        <v>64</v>
      </c>
      <c r="AT196" s="87" t="s">
        <v>64</v>
      </c>
      <c r="AU196" s="50"/>
      <c r="AY196" s="50"/>
      <c r="AZ196" s="50"/>
      <c r="BA196" s="50"/>
      <c r="BB196" s="50"/>
      <c r="BC196" s="50"/>
      <c r="BD196" s="50"/>
      <c r="BE196" s="50"/>
      <c r="BF196" s="50"/>
      <c r="BG196" s="50"/>
      <c r="BH196" s="50"/>
      <c r="BI196" s="50"/>
      <c r="BK196" s="104" t="s">
        <v>3097</v>
      </c>
      <c r="BM196" s="86">
        <v>1.0</v>
      </c>
      <c r="BN196" s="86">
        <v>1.0</v>
      </c>
      <c r="BO196" s="86">
        <v>2.0</v>
      </c>
      <c r="BP196" s="86">
        <v>2.0</v>
      </c>
      <c r="BQ196" s="86">
        <v>2.0</v>
      </c>
      <c r="BR196" s="86">
        <v>1.0</v>
      </c>
      <c r="BS196" s="86">
        <v>2.0</v>
      </c>
      <c r="BT196" s="87" t="s">
        <v>64</v>
      </c>
      <c r="BU196" s="87" t="s">
        <v>64</v>
      </c>
      <c r="BV196" s="87" t="s">
        <v>64</v>
      </c>
      <c r="BW196" s="50"/>
      <c r="BY196" s="108" t="s">
        <v>3098</v>
      </c>
      <c r="CA196" s="86">
        <v>1.0</v>
      </c>
      <c r="CB196" s="86">
        <v>1.0</v>
      </c>
      <c r="CC196" s="86">
        <v>2.0</v>
      </c>
      <c r="CD196" s="86">
        <v>2.0</v>
      </c>
      <c r="CE196" s="86">
        <v>2.0</v>
      </c>
      <c r="CF196" s="86">
        <v>1.0</v>
      </c>
      <c r="CG196" s="86">
        <v>2.0</v>
      </c>
      <c r="CH196" s="87" t="s">
        <v>64</v>
      </c>
      <c r="CI196" s="87" t="s">
        <v>64</v>
      </c>
      <c r="CJ196" s="87" t="s">
        <v>64</v>
      </c>
      <c r="CK196" s="50"/>
      <c r="CO196" s="50"/>
      <c r="CP196" s="50"/>
      <c r="CQ196" s="50"/>
      <c r="CR196" s="50"/>
      <c r="CS196" s="50"/>
      <c r="CT196" s="50"/>
      <c r="CU196" s="50"/>
      <c r="CV196" s="50"/>
      <c r="CW196" s="50"/>
      <c r="CX196" s="50"/>
      <c r="CY196" s="50"/>
      <c r="DA196" s="111" t="s">
        <v>3099</v>
      </c>
      <c r="DC196" s="86">
        <v>1.0</v>
      </c>
      <c r="DD196" s="86">
        <v>1.0</v>
      </c>
      <c r="DE196" s="86">
        <v>2.0</v>
      </c>
      <c r="DF196" s="86">
        <v>2.0</v>
      </c>
      <c r="DG196" s="86">
        <v>2.0</v>
      </c>
      <c r="DH196" s="86">
        <v>1.0</v>
      </c>
      <c r="DI196" s="86">
        <v>2.0</v>
      </c>
      <c r="DJ196" s="87" t="s">
        <v>64</v>
      </c>
      <c r="DK196" s="87" t="s">
        <v>64</v>
      </c>
      <c r="DL196" s="87" t="s">
        <v>64</v>
      </c>
      <c r="DM196" s="50"/>
      <c r="DO196" s="109" t="s">
        <v>3100</v>
      </c>
      <c r="DQ196" s="86">
        <v>1.0</v>
      </c>
      <c r="DR196" s="86">
        <v>1.0</v>
      </c>
      <c r="DS196" s="86">
        <v>2.0</v>
      </c>
      <c r="DT196" s="86">
        <v>2.0</v>
      </c>
      <c r="DU196" s="86">
        <v>2.0</v>
      </c>
      <c r="DV196" s="86">
        <v>1.0</v>
      </c>
      <c r="DW196" s="86">
        <v>2.0</v>
      </c>
      <c r="DX196" s="87" t="s">
        <v>64</v>
      </c>
      <c r="DY196" s="87" t="s">
        <v>64</v>
      </c>
      <c r="DZ196" s="87" t="s">
        <v>64</v>
      </c>
      <c r="EA196" s="50"/>
    </row>
    <row r="197" ht="15.75" customHeight="1">
      <c r="A197" s="11">
        <v>16.0</v>
      </c>
      <c r="B197" s="11" t="s">
        <v>284</v>
      </c>
      <c r="C197" s="11" t="str">
        <f t="array" ref="C197">IFERROR(INDEX(DOCUMENTOS!$E:$E,MATCH($A197,DOCUMENTOS!$A:$A,0)),"")</f>
        <v/>
      </c>
      <c r="D197" s="11" t="str">
        <f t="array" ref="D197">IFERROR(INDEX('BANCO DE PERGUNTAS'!$D:$D,MATCH($B197,'BANCO DE PERGUNTAS'!$A:$A,0)),"")</f>
        <v>Quais informações deveriam ser verificadas antes de uma decisão administrativa?</v>
      </c>
      <c r="E197" s="11" t="str">
        <f t="array" ref="E197">IFERROR(INDEX('BANCO DE PERGUNTAS'!$B:$B,MATCH($B197,'BANCO DE PERGUNTAS'!$A:$A,0)),"")</f>
        <v>Análise de Risco</v>
      </c>
      <c r="F197" s="12">
        <f t="array" ref="F197">IFERROR(INDEX('BANCO DE PERGUNTAS'!$H:$H,MATCH($B197,'BANCO DE PERGUNTAS'!$A:$A,0)),"")</f>
        <v>4</v>
      </c>
      <c r="I197" s="50"/>
      <c r="J197" s="50"/>
      <c r="K197" s="50"/>
      <c r="L197" s="50"/>
      <c r="M197" s="50"/>
      <c r="N197" s="50"/>
      <c r="O197" s="50"/>
      <c r="P197" s="50"/>
      <c r="Q197" s="50"/>
      <c r="R197" s="50"/>
      <c r="S197" s="50"/>
      <c r="U197" s="97" t="s">
        <v>3101</v>
      </c>
      <c r="W197" s="86">
        <v>1.0</v>
      </c>
      <c r="X197" s="86">
        <v>1.0</v>
      </c>
      <c r="Y197" s="86">
        <v>2.0</v>
      </c>
      <c r="Z197" s="86">
        <v>2.0</v>
      </c>
      <c r="AA197" s="86">
        <v>2.0</v>
      </c>
      <c r="AB197" s="86">
        <v>1.0</v>
      </c>
      <c r="AC197" s="86">
        <v>2.0</v>
      </c>
      <c r="AD197" s="87" t="s">
        <v>64</v>
      </c>
      <c r="AE197" s="87" t="s">
        <v>64</v>
      </c>
      <c r="AF197" s="87" t="s">
        <v>64</v>
      </c>
      <c r="AG197" s="50"/>
      <c r="AI197" s="106" t="s">
        <v>3102</v>
      </c>
      <c r="AK197" s="86">
        <v>1.0</v>
      </c>
      <c r="AL197" s="86">
        <v>1.0</v>
      </c>
      <c r="AM197" s="86">
        <v>2.0</v>
      </c>
      <c r="AN197" s="86">
        <v>2.0</v>
      </c>
      <c r="AO197" s="86">
        <v>2.0</v>
      </c>
      <c r="AP197" s="86">
        <v>1.0</v>
      </c>
      <c r="AQ197" s="86">
        <v>2.0</v>
      </c>
      <c r="AR197" s="87" t="s">
        <v>64</v>
      </c>
      <c r="AS197" s="87" t="s">
        <v>64</v>
      </c>
      <c r="AT197" s="87" t="s">
        <v>64</v>
      </c>
      <c r="AU197" s="50"/>
      <c r="AY197" s="50"/>
      <c r="AZ197" s="50"/>
      <c r="BA197" s="50"/>
      <c r="BB197" s="50"/>
      <c r="BC197" s="50"/>
      <c r="BD197" s="50"/>
      <c r="BE197" s="50"/>
      <c r="BF197" s="50"/>
      <c r="BG197" s="50"/>
      <c r="BH197" s="50"/>
      <c r="BI197" s="50"/>
      <c r="BK197" s="104" t="s">
        <v>3103</v>
      </c>
      <c r="BM197" s="86">
        <v>1.0</v>
      </c>
      <c r="BN197" s="86">
        <v>1.0</v>
      </c>
      <c r="BO197" s="86">
        <v>2.0</v>
      </c>
      <c r="BP197" s="86">
        <v>2.0</v>
      </c>
      <c r="BQ197" s="86">
        <v>2.0</v>
      </c>
      <c r="BR197" s="86">
        <v>1.0</v>
      </c>
      <c r="BS197" s="86">
        <v>2.0</v>
      </c>
      <c r="BT197" s="87" t="s">
        <v>64</v>
      </c>
      <c r="BU197" s="87" t="s">
        <v>64</v>
      </c>
      <c r="BV197" s="87" t="s">
        <v>64</v>
      </c>
      <c r="BW197" s="50"/>
      <c r="BY197" s="53" t="s">
        <v>3104</v>
      </c>
      <c r="CA197" s="86">
        <v>2.0</v>
      </c>
      <c r="CB197" s="86">
        <v>2.0</v>
      </c>
      <c r="CC197" s="86">
        <v>2.0</v>
      </c>
      <c r="CD197" s="86">
        <v>2.0</v>
      </c>
      <c r="CE197" s="86">
        <v>2.0</v>
      </c>
      <c r="CF197" s="86">
        <v>2.0</v>
      </c>
      <c r="CG197" s="86">
        <v>2.0</v>
      </c>
      <c r="CH197" s="87" t="s">
        <v>64</v>
      </c>
      <c r="CI197" s="87" t="s">
        <v>64</v>
      </c>
      <c r="CJ197" s="87" t="s">
        <v>64</v>
      </c>
      <c r="CK197" s="50"/>
      <c r="CO197" s="50"/>
      <c r="CP197" s="50"/>
      <c r="CQ197" s="50"/>
      <c r="CR197" s="50"/>
      <c r="CS197" s="50"/>
      <c r="CT197" s="50"/>
      <c r="CU197" s="50"/>
      <c r="CV197" s="50"/>
      <c r="CW197" s="50"/>
      <c r="CX197" s="50"/>
      <c r="CY197" s="50"/>
      <c r="DA197" s="111" t="s">
        <v>3105</v>
      </c>
      <c r="DC197" s="86">
        <v>1.0</v>
      </c>
      <c r="DD197" s="86">
        <v>1.0</v>
      </c>
      <c r="DE197" s="86">
        <v>2.0</v>
      </c>
      <c r="DF197" s="86">
        <v>2.0</v>
      </c>
      <c r="DG197" s="86">
        <v>2.0</v>
      </c>
      <c r="DH197" s="86">
        <v>1.0</v>
      </c>
      <c r="DI197" s="86">
        <v>2.0</v>
      </c>
      <c r="DJ197" s="87" t="s">
        <v>64</v>
      </c>
      <c r="DK197" s="87" t="s">
        <v>64</v>
      </c>
      <c r="DL197" s="87" t="s">
        <v>64</v>
      </c>
      <c r="DM197" s="50"/>
      <c r="DO197" s="107" t="s">
        <v>3106</v>
      </c>
      <c r="DQ197" s="86">
        <v>1.0</v>
      </c>
      <c r="DR197" s="86">
        <v>1.0</v>
      </c>
      <c r="DS197" s="86">
        <v>2.0</v>
      </c>
      <c r="DT197" s="86">
        <v>2.0</v>
      </c>
      <c r="DU197" s="86">
        <v>2.0</v>
      </c>
      <c r="DV197" s="86">
        <v>1.0</v>
      </c>
      <c r="DW197" s="86">
        <v>2.0</v>
      </c>
      <c r="DX197" s="87" t="s">
        <v>64</v>
      </c>
      <c r="DY197" s="87" t="s">
        <v>64</v>
      </c>
      <c r="DZ197" s="87" t="s">
        <v>64</v>
      </c>
      <c r="EA197" s="50"/>
    </row>
    <row r="198" ht="15.75" customHeight="1">
      <c r="A198" s="14">
        <v>16.0</v>
      </c>
      <c r="B198" s="14" t="s">
        <v>288</v>
      </c>
      <c r="C198" s="14" t="str">
        <f t="array" ref="C198">IFERROR(INDEX(DOCUMENTOS!$E:$E,MATCH($A198,DOCUMENTOS!$A:$A,0)),"")</f>
        <v/>
      </c>
      <c r="D198" s="14" t="str">
        <f t="array" ref="D198">IFERROR(INDEX('BANCO DE PERGUNTAS'!$D:$D,MATCH($B198,'BANCO DE PERGUNTAS'!$A:$A,0)),"")</f>
        <v>Identifique situações que possam representar risco administrativo.</v>
      </c>
      <c r="E198" s="14" t="str">
        <f t="array" ref="E198">IFERROR(INDEX('BANCO DE PERGUNTAS'!$B:$B,MATCH($B198,'BANCO DE PERGUNTAS'!$A:$A,0)),"")</f>
        <v>Análise de Risco</v>
      </c>
      <c r="F198" s="17">
        <f t="array" ref="F198">IFERROR(INDEX('BANCO DE PERGUNTAS'!$H:$H,MATCH($B198,'BANCO DE PERGUNTAS'!$A:$A,0)),"")</f>
        <v>4</v>
      </c>
      <c r="I198" s="50"/>
      <c r="J198" s="50"/>
      <c r="K198" s="50"/>
      <c r="L198" s="50"/>
      <c r="M198" s="50"/>
      <c r="N198" s="50"/>
      <c r="O198" s="50"/>
      <c r="P198" s="50"/>
      <c r="Q198" s="50"/>
      <c r="R198" s="50"/>
      <c r="S198" s="50"/>
      <c r="U198" s="101" t="s">
        <v>3107</v>
      </c>
      <c r="W198" s="86">
        <v>1.0</v>
      </c>
      <c r="X198" s="86">
        <v>1.0</v>
      </c>
      <c r="Y198" s="86">
        <v>2.0</v>
      </c>
      <c r="Z198" s="86">
        <v>2.0</v>
      </c>
      <c r="AA198" s="86">
        <v>2.0</v>
      </c>
      <c r="AB198" s="86">
        <v>1.0</v>
      </c>
      <c r="AC198" s="86">
        <v>2.0</v>
      </c>
      <c r="AD198" s="87" t="s">
        <v>64</v>
      </c>
      <c r="AE198" s="87" t="s">
        <v>64</v>
      </c>
      <c r="AF198" s="87" t="s">
        <v>64</v>
      </c>
      <c r="AG198" s="50"/>
      <c r="AI198" s="106" t="s">
        <v>3108</v>
      </c>
      <c r="AK198" s="86">
        <v>1.0</v>
      </c>
      <c r="AL198" s="86">
        <v>1.0</v>
      </c>
      <c r="AM198" s="86">
        <v>2.0</v>
      </c>
      <c r="AN198" s="86">
        <v>2.0</v>
      </c>
      <c r="AO198" s="86">
        <v>2.0</v>
      </c>
      <c r="AP198" s="86">
        <v>1.0</v>
      </c>
      <c r="AQ198" s="86">
        <v>2.0</v>
      </c>
      <c r="AR198" s="87" t="s">
        <v>64</v>
      </c>
      <c r="AS198" s="87" t="s">
        <v>64</v>
      </c>
      <c r="AT198" s="87" t="s">
        <v>64</v>
      </c>
      <c r="AU198" s="50"/>
      <c r="AY198" s="50"/>
      <c r="AZ198" s="50"/>
      <c r="BA198" s="50"/>
      <c r="BB198" s="50"/>
      <c r="BC198" s="50"/>
      <c r="BD198" s="50"/>
      <c r="BE198" s="50"/>
      <c r="BF198" s="50"/>
      <c r="BG198" s="50"/>
      <c r="BH198" s="50"/>
      <c r="BI198" s="50"/>
      <c r="BK198" s="104" t="s">
        <v>3109</v>
      </c>
      <c r="BM198" s="86">
        <v>1.0</v>
      </c>
      <c r="BN198" s="86">
        <v>1.0</v>
      </c>
      <c r="BO198" s="86">
        <v>2.0</v>
      </c>
      <c r="BP198" s="86">
        <v>2.0</v>
      </c>
      <c r="BQ198" s="86">
        <v>2.0</v>
      </c>
      <c r="BR198" s="86">
        <v>1.0</v>
      </c>
      <c r="BS198" s="86">
        <v>2.0</v>
      </c>
      <c r="BT198" s="87" t="s">
        <v>64</v>
      </c>
      <c r="BU198" s="87" t="s">
        <v>64</v>
      </c>
      <c r="BV198" s="87" t="s">
        <v>64</v>
      </c>
      <c r="BW198" s="50"/>
      <c r="BY198" s="108" t="s">
        <v>3110</v>
      </c>
      <c r="CA198" s="86">
        <v>2.0</v>
      </c>
      <c r="CB198" s="86">
        <v>2.0</v>
      </c>
      <c r="CC198" s="86">
        <v>2.0</v>
      </c>
      <c r="CD198" s="86">
        <v>2.0</v>
      </c>
      <c r="CE198" s="86">
        <v>2.0</v>
      </c>
      <c r="CF198" s="86">
        <v>2.0</v>
      </c>
      <c r="CG198" s="86">
        <v>2.0</v>
      </c>
      <c r="CH198" s="87" t="s">
        <v>64</v>
      </c>
      <c r="CI198" s="87" t="s">
        <v>64</v>
      </c>
      <c r="CJ198" s="87" t="s">
        <v>64</v>
      </c>
      <c r="CK198" s="50"/>
      <c r="CO198" s="50"/>
      <c r="CP198" s="50"/>
      <c r="CQ198" s="50"/>
      <c r="CR198" s="50"/>
      <c r="CS198" s="50"/>
      <c r="CT198" s="50"/>
      <c r="CU198" s="50"/>
      <c r="CV198" s="50"/>
      <c r="CW198" s="50"/>
      <c r="CX198" s="50"/>
      <c r="CY198" s="50"/>
      <c r="DA198" s="111" t="s">
        <v>3111</v>
      </c>
      <c r="DC198" s="86">
        <v>1.0</v>
      </c>
      <c r="DD198" s="86">
        <v>1.0</v>
      </c>
      <c r="DE198" s="86">
        <v>2.0</v>
      </c>
      <c r="DF198" s="86">
        <v>2.0</v>
      </c>
      <c r="DG198" s="86">
        <v>2.0</v>
      </c>
      <c r="DH198" s="86">
        <v>1.0</v>
      </c>
      <c r="DI198" s="86">
        <v>2.0</v>
      </c>
      <c r="DJ198" s="87" t="s">
        <v>64</v>
      </c>
      <c r="DK198" s="87" t="s">
        <v>64</v>
      </c>
      <c r="DL198" s="87" t="s">
        <v>64</v>
      </c>
      <c r="DM198" s="50"/>
      <c r="DO198" s="109" t="s">
        <v>3112</v>
      </c>
      <c r="DQ198" s="86">
        <v>1.0</v>
      </c>
      <c r="DR198" s="86">
        <v>1.0</v>
      </c>
      <c r="DS198" s="86">
        <v>2.0</v>
      </c>
      <c r="DT198" s="86">
        <v>2.0</v>
      </c>
      <c r="DU198" s="86">
        <v>2.0</v>
      </c>
      <c r="DV198" s="86">
        <v>1.0</v>
      </c>
      <c r="DW198" s="86">
        <v>2.0</v>
      </c>
      <c r="DX198" s="87" t="s">
        <v>64</v>
      </c>
      <c r="DY198" s="87" t="s">
        <v>64</v>
      </c>
      <c r="DZ198" s="87" t="s">
        <v>64</v>
      </c>
      <c r="EA198" s="50"/>
    </row>
    <row r="199" ht="15.75" customHeight="1">
      <c r="A199" s="11">
        <v>16.0</v>
      </c>
      <c r="B199" s="11" t="s">
        <v>294</v>
      </c>
      <c r="C199" s="11" t="str">
        <f t="array" ref="C199">IFERROR(INDEX(DOCUMENTOS!$E:$E,MATCH($A199,DOCUMENTOS!$A:$A,0)),"")</f>
        <v/>
      </c>
      <c r="D199" s="11" t="str">
        <f t="array" ref="D199">IFERROR(INDEX('BANCO DE PERGUNTAS'!$D:$D,MATCH($B199,'BANCO DE PERGUNTAS'!$A:$A,0)),"")</f>
        <v>Resuma o documento em até cinco pontos objetivos.</v>
      </c>
      <c r="E199" s="11" t="str">
        <f t="array" ref="E199">IFERROR(INDEX('BANCO DE PERGUNTAS'!$B:$B,MATCH($B199,'BANCO DE PERGUNTAS'!$A:$A,0)),"")</f>
        <v>Síntese</v>
      </c>
      <c r="F199" s="12">
        <f t="array" ref="F199">IFERROR(INDEX('BANCO DE PERGUNTAS'!$H:$H,MATCH($B199,'BANCO DE PERGUNTAS'!$A:$A,0)),"")</f>
        <v>3</v>
      </c>
      <c r="I199" s="50"/>
      <c r="J199" s="50"/>
      <c r="K199" s="50"/>
      <c r="L199" s="50"/>
      <c r="M199" s="50"/>
      <c r="N199" s="50"/>
      <c r="O199" s="50"/>
      <c r="P199" s="50"/>
      <c r="Q199" s="50"/>
      <c r="R199" s="50"/>
      <c r="S199" s="50"/>
      <c r="U199" s="97" t="s">
        <v>3113</v>
      </c>
      <c r="W199" s="86">
        <v>2.0</v>
      </c>
      <c r="X199" s="86">
        <v>2.0</v>
      </c>
      <c r="Y199" s="86">
        <v>2.0</v>
      </c>
      <c r="Z199" s="86">
        <v>2.0</v>
      </c>
      <c r="AA199" s="86">
        <v>2.0</v>
      </c>
      <c r="AB199" s="86">
        <v>2.0</v>
      </c>
      <c r="AC199" s="86">
        <v>2.0</v>
      </c>
      <c r="AD199" s="87" t="s">
        <v>64</v>
      </c>
      <c r="AE199" s="87" t="s">
        <v>64</v>
      </c>
      <c r="AF199" s="87" t="s">
        <v>64</v>
      </c>
      <c r="AG199" s="50"/>
      <c r="AI199" s="106" t="s">
        <v>3114</v>
      </c>
      <c r="AK199" s="86">
        <v>2.0</v>
      </c>
      <c r="AL199" s="86">
        <v>2.0</v>
      </c>
      <c r="AM199" s="86">
        <v>2.0</v>
      </c>
      <c r="AN199" s="86">
        <v>2.0</v>
      </c>
      <c r="AO199" s="86">
        <v>2.0</v>
      </c>
      <c r="AP199" s="86">
        <v>2.0</v>
      </c>
      <c r="AQ199" s="86">
        <v>2.0</v>
      </c>
      <c r="AR199" s="87" t="s">
        <v>64</v>
      </c>
      <c r="AS199" s="87" t="s">
        <v>64</v>
      </c>
      <c r="AT199" s="87" t="s">
        <v>64</v>
      </c>
      <c r="AU199" s="50"/>
      <c r="AY199" s="50"/>
      <c r="AZ199" s="50"/>
      <c r="BA199" s="50"/>
      <c r="BB199" s="50"/>
      <c r="BC199" s="50"/>
      <c r="BD199" s="50"/>
      <c r="BE199" s="50"/>
      <c r="BF199" s="50"/>
      <c r="BG199" s="50"/>
      <c r="BH199" s="50"/>
      <c r="BI199" s="50"/>
      <c r="BK199" s="104" t="s">
        <v>3115</v>
      </c>
      <c r="BM199" s="86">
        <v>2.0</v>
      </c>
      <c r="BN199" s="86">
        <v>2.0</v>
      </c>
      <c r="BO199" s="86">
        <v>2.0</v>
      </c>
      <c r="BP199" s="86">
        <v>2.0</v>
      </c>
      <c r="BQ199" s="86">
        <v>2.0</v>
      </c>
      <c r="BR199" s="86">
        <v>2.0</v>
      </c>
      <c r="BS199" s="86">
        <v>2.0</v>
      </c>
      <c r="BT199" s="87" t="s">
        <v>64</v>
      </c>
      <c r="BU199" s="87" t="s">
        <v>64</v>
      </c>
      <c r="BV199" s="87" t="s">
        <v>64</v>
      </c>
      <c r="BW199" s="50"/>
      <c r="BY199" s="53" t="s">
        <v>3116</v>
      </c>
      <c r="CA199" s="86">
        <v>2.0</v>
      </c>
      <c r="CB199" s="86">
        <v>2.0</v>
      </c>
      <c r="CC199" s="86">
        <v>2.0</v>
      </c>
      <c r="CD199" s="86">
        <v>2.0</v>
      </c>
      <c r="CE199" s="86">
        <v>2.0</v>
      </c>
      <c r="CF199" s="86">
        <v>2.0</v>
      </c>
      <c r="CG199" s="86">
        <v>2.0</v>
      </c>
      <c r="CH199" s="87" t="s">
        <v>64</v>
      </c>
      <c r="CI199" s="87" t="s">
        <v>64</v>
      </c>
      <c r="CJ199" s="87" t="s">
        <v>64</v>
      </c>
      <c r="CK199" s="50"/>
      <c r="CO199" s="50"/>
      <c r="CP199" s="50"/>
      <c r="CQ199" s="50"/>
      <c r="CR199" s="50"/>
      <c r="CS199" s="50"/>
      <c r="CT199" s="50"/>
      <c r="CU199" s="50"/>
      <c r="CV199" s="50"/>
      <c r="CW199" s="50"/>
      <c r="CX199" s="50"/>
      <c r="CY199" s="50"/>
      <c r="DA199" s="111" t="s">
        <v>3117</v>
      </c>
      <c r="DC199" s="86">
        <v>2.0</v>
      </c>
      <c r="DD199" s="86">
        <v>2.0</v>
      </c>
      <c r="DE199" s="86">
        <v>2.0</v>
      </c>
      <c r="DF199" s="86">
        <v>2.0</v>
      </c>
      <c r="DG199" s="86">
        <v>2.0</v>
      </c>
      <c r="DH199" s="86">
        <v>2.0</v>
      </c>
      <c r="DI199" s="86">
        <v>2.0</v>
      </c>
      <c r="DJ199" s="87" t="s">
        <v>64</v>
      </c>
      <c r="DK199" s="87" t="s">
        <v>64</v>
      </c>
      <c r="DL199" s="87" t="s">
        <v>64</v>
      </c>
      <c r="DM199" s="50"/>
      <c r="DO199" s="107" t="s">
        <v>3118</v>
      </c>
      <c r="DQ199" s="86">
        <v>2.0</v>
      </c>
      <c r="DR199" s="86">
        <v>2.0</v>
      </c>
      <c r="DS199" s="86">
        <v>2.0</v>
      </c>
      <c r="DT199" s="86">
        <v>2.0</v>
      </c>
      <c r="DU199" s="86">
        <v>2.0</v>
      </c>
      <c r="DV199" s="86">
        <v>2.0</v>
      </c>
      <c r="DW199" s="86">
        <v>2.0</v>
      </c>
      <c r="DX199" s="87" t="s">
        <v>64</v>
      </c>
      <c r="DY199" s="87" t="s">
        <v>64</v>
      </c>
      <c r="DZ199" s="87" t="s">
        <v>64</v>
      </c>
      <c r="EA199" s="50"/>
    </row>
    <row r="200" ht="15.75" customHeight="1">
      <c r="A200" s="14">
        <v>16.0</v>
      </c>
      <c r="B200" s="14" t="s">
        <v>302</v>
      </c>
      <c r="C200" s="14" t="str">
        <f t="array" ref="C200">IFERROR(INDEX(DOCUMENTOS!$E:$E,MATCH($A200,DOCUMENTOS!$A:$A,0)),"")</f>
        <v/>
      </c>
      <c r="D200" s="14" t="str">
        <f t="array" ref="D200">IFERROR(INDEX('BANCO DE PERGUNTAS'!$D:$D,MATCH($B200,'BANCO DE PERGUNTAS'!$A:$A,0)),"")</f>
        <v>Qual é a principal finalidade do documento?</v>
      </c>
      <c r="E200" s="14" t="str">
        <f t="array" ref="E200">IFERROR(INDEX('BANCO DE PERGUNTAS'!$B:$B,MATCH($B200,'BANCO DE PERGUNTAS'!$A:$A,0)),"")</f>
        <v>Síntese</v>
      </c>
      <c r="F200" s="17">
        <f t="array" ref="F200">IFERROR(INDEX('BANCO DE PERGUNTAS'!$H:$H,MATCH($B200,'BANCO DE PERGUNTAS'!$A:$A,0)),"")</f>
        <v>2</v>
      </c>
      <c r="I200" s="50"/>
      <c r="J200" s="50"/>
      <c r="K200" s="50"/>
      <c r="L200" s="50"/>
      <c r="M200" s="50"/>
      <c r="N200" s="50"/>
      <c r="O200" s="50"/>
      <c r="P200" s="50"/>
      <c r="Q200" s="50"/>
      <c r="R200" s="50"/>
      <c r="S200" s="50"/>
      <c r="U200" s="101" t="s">
        <v>3119</v>
      </c>
      <c r="W200" s="86">
        <v>2.0</v>
      </c>
      <c r="X200" s="86">
        <v>2.0</v>
      </c>
      <c r="Y200" s="86">
        <v>2.0</v>
      </c>
      <c r="Z200" s="86">
        <v>2.0</v>
      </c>
      <c r="AA200" s="86">
        <v>2.0</v>
      </c>
      <c r="AB200" s="86">
        <v>2.0</v>
      </c>
      <c r="AC200" s="86">
        <v>2.0</v>
      </c>
      <c r="AD200" s="87" t="s">
        <v>64</v>
      </c>
      <c r="AE200" s="87" t="s">
        <v>64</v>
      </c>
      <c r="AF200" s="87" t="s">
        <v>64</v>
      </c>
      <c r="AG200" s="50"/>
      <c r="AI200" s="106" t="s">
        <v>3120</v>
      </c>
      <c r="AK200" s="86">
        <v>2.0</v>
      </c>
      <c r="AL200" s="86">
        <v>2.0</v>
      </c>
      <c r="AM200" s="86">
        <v>2.0</v>
      </c>
      <c r="AN200" s="86">
        <v>2.0</v>
      </c>
      <c r="AO200" s="86">
        <v>2.0</v>
      </c>
      <c r="AP200" s="86">
        <v>2.0</v>
      </c>
      <c r="AQ200" s="86">
        <v>2.0</v>
      </c>
      <c r="AR200" s="87" t="s">
        <v>64</v>
      </c>
      <c r="AS200" s="87" t="s">
        <v>64</v>
      </c>
      <c r="AT200" s="87" t="s">
        <v>64</v>
      </c>
      <c r="AU200" s="50"/>
      <c r="AY200" s="50"/>
      <c r="AZ200" s="50"/>
      <c r="BA200" s="50"/>
      <c r="BB200" s="50"/>
      <c r="BC200" s="50"/>
      <c r="BD200" s="50"/>
      <c r="BE200" s="50"/>
      <c r="BF200" s="50"/>
      <c r="BG200" s="50"/>
      <c r="BH200" s="50"/>
      <c r="BI200" s="50"/>
      <c r="BK200" s="104" t="s">
        <v>3121</v>
      </c>
      <c r="BM200" s="86">
        <v>2.0</v>
      </c>
      <c r="BN200" s="86">
        <v>2.0</v>
      </c>
      <c r="BO200" s="86">
        <v>2.0</v>
      </c>
      <c r="BP200" s="86">
        <v>2.0</v>
      </c>
      <c r="BQ200" s="86">
        <v>2.0</v>
      </c>
      <c r="BR200" s="86">
        <v>2.0</v>
      </c>
      <c r="BS200" s="86">
        <v>2.0</v>
      </c>
      <c r="BT200" s="87" t="s">
        <v>64</v>
      </c>
      <c r="BU200" s="87" t="s">
        <v>64</v>
      </c>
      <c r="BV200" s="87" t="s">
        <v>64</v>
      </c>
      <c r="BW200" s="50"/>
      <c r="BY200" s="108" t="s">
        <v>3122</v>
      </c>
      <c r="CA200" s="86">
        <v>2.0</v>
      </c>
      <c r="CB200" s="86">
        <v>2.0</v>
      </c>
      <c r="CC200" s="86">
        <v>2.0</v>
      </c>
      <c r="CD200" s="86">
        <v>2.0</v>
      </c>
      <c r="CE200" s="86">
        <v>2.0</v>
      </c>
      <c r="CF200" s="86">
        <v>2.0</v>
      </c>
      <c r="CG200" s="86">
        <v>2.0</v>
      </c>
      <c r="CH200" s="87" t="s">
        <v>64</v>
      </c>
      <c r="CI200" s="87" t="s">
        <v>64</v>
      </c>
      <c r="CJ200" s="87" t="s">
        <v>64</v>
      </c>
      <c r="CK200" s="50"/>
      <c r="CO200" s="50"/>
      <c r="CP200" s="50"/>
      <c r="CQ200" s="50"/>
      <c r="CR200" s="50"/>
      <c r="CS200" s="50"/>
      <c r="CT200" s="50"/>
      <c r="CU200" s="50"/>
      <c r="CV200" s="50"/>
      <c r="CW200" s="50"/>
      <c r="CX200" s="50"/>
      <c r="CY200" s="50"/>
      <c r="DA200" s="111" t="s">
        <v>3123</v>
      </c>
      <c r="DC200" s="86">
        <v>2.0</v>
      </c>
      <c r="DD200" s="86">
        <v>2.0</v>
      </c>
      <c r="DE200" s="86">
        <v>2.0</v>
      </c>
      <c r="DF200" s="86">
        <v>2.0</v>
      </c>
      <c r="DG200" s="86">
        <v>2.0</v>
      </c>
      <c r="DH200" s="86">
        <v>2.0</v>
      </c>
      <c r="DI200" s="86">
        <v>2.0</v>
      </c>
      <c r="DJ200" s="87" t="s">
        <v>64</v>
      </c>
      <c r="DK200" s="87" t="s">
        <v>64</v>
      </c>
      <c r="DL200" s="87" t="s">
        <v>64</v>
      </c>
      <c r="DM200" s="50"/>
      <c r="DO200" s="109" t="s">
        <v>3124</v>
      </c>
      <c r="DQ200" s="86">
        <v>2.0</v>
      </c>
      <c r="DR200" s="86">
        <v>2.0</v>
      </c>
      <c r="DS200" s="86">
        <v>2.0</v>
      </c>
      <c r="DT200" s="86">
        <v>2.0</v>
      </c>
      <c r="DU200" s="86">
        <v>2.0</v>
      </c>
      <c r="DV200" s="86">
        <v>2.0</v>
      </c>
      <c r="DW200" s="86">
        <v>2.0</v>
      </c>
      <c r="DX200" s="87" t="s">
        <v>64</v>
      </c>
      <c r="DY200" s="87" t="s">
        <v>64</v>
      </c>
      <c r="DZ200" s="87" t="s">
        <v>64</v>
      </c>
      <c r="EA200" s="50"/>
    </row>
    <row r="201" ht="15.75" customHeight="1">
      <c r="A201" s="11">
        <v>16.0</v>
      </c>
      <c r="B201" s="11" t="s">
        <v>307</v>
      </c>
      <c r="C201" s="11" t="str">
        <f t="array" ref="C201">IFERROR(INDEX(DOCUMENTOS!$E:$E,MATCH($A201,DOCUMENTOS!$A:$A,0)),"")</f>
        <v/>
      </c>
      <c r="D201" s="11" t="str">
        <f t="array" ref="D201">IFERROR(INDEX('BANCO DE PERGUNTAS'!$D:$D,MATCH($B201,'BANCO DE PERGUNTAS'!$A:$A,0)),"")</f>
        <v>Quais são as três informações mais importantes para um servidor responsável pela análise?</v>
      </c>
      <c r="E201" s="11" t="str">
        <f t="array" ref="E201">IFERROR(INDEX('BANCO DE PERGUNTAS'!$B:$B,MATCH($B201,'BANCO DE PERGUNTAS'!$A:$A,0)),"")</f>
        <v>Síntese</v>
      </c>
      <c r="F201" s="12">
        <f t="array" ref="F201">IFERROR(INDEX('BANCO DE PERGUNTAS'!$H:$H,MATCH($B201,'BANCO DE PERGUNTAS'!$A:$A,0)),"")</f>
        <v>3</v>
      </c>
      <c r="I201" s="50"/>
      <c r="J201" s="50"/>
      <c r="K201" s="50"/>
      <c r="L201" s="50"/>
      <c r="M201" s="50"/>
      <c r="N201" s="50"/>
      <c r="O201" s="50"/>
      <c r="P201" s="50"/>
      <c r="Q201" s="50"/>
      <c r="R201" s="50"/>
      <c r="S201" s="50"/>
      <c r="U201" s="97" t="s">
        <v>3125</v>
      </c>
      <c r="W201" s="86">
        <v>1.0</v>
      </c>
      <c r="X201" s="86">
        <v>1.0</v>
      </c>
      <c r="Y201" s="86">
        <v>2.0</v>
      </c>
      <c r="Z201" s="86">
        <v>2.0</v>
      </c>
      <c r="AA201" s="86">
        <v>2.0</v>
      </c>
      <c r="AB201" s="86">
        <v>1.0</v>
      </c>
      <c r="AC201" s="86">
        <v>2.0</v>
      </c>
      <c r="AD201" s="87" t="s">
        <v>64</v>
      </c>
      <c r="AE201" s="87" t="s">
        <v>64</v>
      </c>
      <c r="AF201" s="87" t="s">
        <v>64</v>
      </c>
      <c r="AG201" s="50"/>
      <c r="AI201" s="106" t="s">
        <v>3126</v>
      </c>
      <c r="AK201" s="86">
        <v>1.0</v>
      </c>
      <c r="AL201" s="86">
        <v>1.0</v>
      </c>
      <c r="AM201" s="86">
        <v>2.0</v>
      </c>
      <c r="AN201" s="86">
        <v>2.0</v>
      </c>
      <c r="AO201" s="86">
        <v>2.0</v>
      </c>
      <c r="AP201" s="86">
        <v>1.0</v>
      </c>
      <c r="AQ201" s="86">
        <v>2.0</v>
      </c>
      <c r="AR201" s="87" t="s">
        <v>64</v>
      </c>
      <c r="AS201" s="87" t="s">
        <v>64</v>
      </c>
      <c r="AT201" s="87" t="s">
        <v>64</v>
      </c>
      <c r="AU201" s="50"/>
      <c r="AY201" s="50"/>
      <c r="AZ201" s="50"/>
      <c r="BA201" s="50"/>
      <c r="BB201" s="50"/>
      <c r="BC201" s="50"/>
      <c r="BD201" s="50"/>
      <c r="BE201" s="50"/>
      <c r="BF201" s="50"/>
      <c r="BG201" s="50"/>
      <c r="BH201" s="50"/>
      <c r="BI201" s="50"/>
      <c r="BK201" s="104" t="s">
        <v>3127</v>
      </c>
      <c r="BM201" s="86">
        <v>1.0</v>
      </c>
      <c r="BN201" s="86">
        <v>1.0</v>
      </c>
      <c r="BO201" s="86">
        <v>2.0</v>
      </c>
      <c r="BP201" s="86">
        <v>2.0</v>
      </c>
      <c r="BQ201" s="86">
        <v>2.0</v>
      </c>
      <c r="BR201" s="86">
        <v>1.0</v>
      </c>
      <c r="BS201" s="86">
        <v>2.0</v>
      </c>
      <c r="BT201" s="87" t="s">
        <v>64</v>
      </c>
      <c r="BU201" s="87" t="s">
        <v>64</v>
      </c>
      <c r="BV201" s="87" t="s">
        <v>64</v>
      </c>
      <c r="BW201" s="50"/>
      <c r="BY201" s="53" t="s">
        <v>3128</v>
      </c>
      <c r="CA201" s="86">
        <v>2.0</v>
      </c>
      <c r="CB201" s="86">
        <v>2.0</v>
      </c>
      <c r="CC201" s="86">
        <v>2.0</v>
      </c>
      <c r="CD201" s="86">
        <v>2.0</v>
      </c>
      <c r="CE201" s="86">
        <v>2.0</v>
      </c>
      <c r="CF201" s="86">
        <v>2.0</v>
      </c>
      <c r="CG201" s="86">
        <v>2.0</v>
      </c>
      <c r="CH201" s="87" t="s">
        <v>64</v>
      </c>
      <c r="CI201" s="87" t="s">
        <v>64</v>
      </c>
      <c r="CJ201" s="87" t="s">
        <v>64</v>
      </c>
      <c r="CK201" s="50"/>
      <c r="CO201" s="50"/>
      <c r="CP201" s="50"/>
      <c r="CQ201" s="50"/>
      <c r="CR201" s="50"/>
      <c r="CS201" s="50"/>
      <c r="CT201" s="50"/>
      <c r="CU201" s="50"/>
      <c r="CV201" s="50"/>
      <c r="CW201" s="50"/>
      <c r="CX201" s="50"/>
      <c r="CY201" s="50"/>
      <c r="DA201" s="111" t="s">
        <v>3129</v>
      </c>
      <c r="DC201" s="86">
        <v>1.0</v>
      </c>
      <c r="DD201" s="86">
        <v>1.0</v>
      </c>
      <c r="DE201" s="86">
        <v>2.0</v>
      </c>
      <c r="DF201" s="86">
        <v>2.0</v>
      </c>
      <c r="DG201" s="86">
        <v>2.0</v>
      </c>
      <c r="DH201" s="86">
        <v>1.0</v>
      </c>
      <c r="DI201" s="86">
        <v>2.0</v>
      </c>
      <c r="DJ201" s="87" t="s">
        <v>64</v>
      </c>
      <c r="DK201" s="87" t="s">
        <v>64</v>
      </c>
      <c r="DL201" s="87" t="s">
        <v>64</v>
      </c>
      <c r="DM201" s="50"/>
      <c r="DO201" s="107" t="s">
        <v>3130</v>
      </c>
      <c r="DQ201" s="86">
        <v>1.0</v>
      </c>
      <c r="DR201" s="86">
        <v>1.0</v>
      </c>
      <c r="DS201" s="86">
        <v>2.0</v>
      </c>
      <c r="DT201" s="86">
        <v>2.0</v>
      </c>
      <c r="DU201" s="86">
        <v>2.0</v>
      </c>
      <c r="DV201" s="86">
        <v>1.0</v>
      </c>
      <c r="DW201" s="86">
        <v>2.0</v>
      </c>
      <c r="DX201" s="87" t="s">
        <v>64</v>
      </c>
      <c r="DY201" s="87" t="s">
        <v>64</v>
      </c>
      <c r="DZ201" s="87" t="s">
        <v>64</v>
      </c>
      <c r="EA201" s="50"/>
    </row>
  </sheetData>
  <mergeCells count="16">
    <mergeCell ref="G2:T2"/>
    <mergeCell ref="U2:AH2"/>
    <mergeCell ref="AI2:AV2"/>
    <mergeCell ref="AW2:BJ2"/>
    <mergeCell ref="BK2:BX2"/>
    <mergeCell ref="BY2:CL2"/>
    <mergeCell ref="CM2:CZ2"/>
    <mergeCell ref="DA2:DN2"/>
    <mergeCell ref="A1:EB1"/>
    <mergeCell ref="A2:A3"/>
    <mergeCell ref="B2:B3"/>
    <mergeCell ref="C2:C3"/>
    <mergeCell ref="D2:D3"/>
    <mergeCell ref="E2:E3"/>
    <mergeCell ref="F2:F3"/>
    <mergeCell ref="DO2:EB2"/>
  </mergeCells>
  <dataValidations>
    <dataValidation type="list" allowBlank="1" sqref="I4:O201 W4:AC201 AK4:AQ201 AY4:BE201 BM4:BS201 CA4:CG201 CO4:CU201 DC4:DI201 DQ4:DW201">
      <formula1>"0,1,2"</formula1>
    </dataValidation>
    <dataValidation type="list" allowBlank="1" sqref="AD4:AF86 AD87:AG87 P4:R201 AD88:AF201 AR4:AT201 BF4:BH201 BT4:BV201 CH4:CJ201 CV4:CX201 DJ4:DL201 DX4:DZ201">
      <formula1>"Sim,Não"</formula1>
    </dataValidation>
    <dataValidation type="list" allowBlank="1" sqref="EA4:EA60 EA62 AG4:AG86 S4:S201 AG88:AG201 AU4:AU201 BI4:BI201 BW4:BW201 CK4:CK201 CY4:CY201 DM4:DM201 EA64:EA201">
      <formula1>"Erro factual,Erro de interpretação,Omissão,Alucinação,Contradição com o documento,Confusão entre documentos,Confusão de valores,Confusão de datas,Confusão de números,Confusão de processo,Falha de localização,Conclusão não sustentada,Resposta incompleta"</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1.0" topLeftCell="A12" activePane="bottomLeft" state="frozen"/>
      <selection activeCell="B13" sqref="B13" pane="bottomLeft"/>
    </sheetView>
  </sheetViews>
  <sheetFormatPr customHeight="1" defaultColWidth="14.43" defaultRowHeight="15.0"/>
  <cols>
    <col customWidth="1" min="1" max="1" width="30.0"/>
    <col customWidth="1" min="2" max="3" width="12.0"/>
    <col customWidth="1" min="4" max="4" width="14.0"/>
    <col customWidth="1" min="5" max="5" width="12.0"/>
    <col customWidth="1" min="6" max="6" width="14.0"/>
    <col customWidth="1" min="7" max="11" width="12.0"/>
    <col customWidth="1" min="12" max="12" width="14.0"/>
    <col customWidth="1" min="13" max="13" width="16.0"/>
    <col customWidth="1" min="14" max="14" width="14.0"/>
    <col customWidth="1" min="15" max="26" width="8.71"/>
  </cols>
  <sheetData>
    <row r="1" ht="27.75" customHeight="1">
      <c r="A1" s="7" t="s">
        <v>283</v>
      </c>
      <c r="B1" s="2"/>
      <c r="C1" s="2"/>
      <c r="D1" s="2"/>
      <c r="E1" s="2"/>
      <c r="F1" s="2"/>
      <c r="G1" s="2"/>
      <c r="H1" s="2"/>
      <c r="I1" s="2"/>
      <c r="J1" s="2"/>
      <c r="K1" s="2"/>
      <c r="L1" s="2"/>
      <c r="M1" s="2"/>
      <c r="N1" s="3"/>
    </row>
    <row r="3">
      <c r="A3" s="27" t="s">
        <v>290</v>
      </c>
    </row>
    <row r="4">
      <c r="A4" s="29" t="s">
        <v>295</v>
      </c>
      <c r="E4" s="31">
        <f>COUNTA(DOCUMENTOS!$A$3:$A$8)</f>
        <v>6</v>
      </c>
    </row>
    <row r="5">
      <c r="A5" s="29" t="s">
        <v>313</v>
      </c>
      <c r="E5" s="31">
        <f>COUNTA('BANCO DE PERGUNTAS'!$A$3:$A$35)</f>
        <v>33</v>
      </c>
    </row>
    <row r="6">
      <c r="A6" s="29" t="s">
        <v>314</v>
      </c>
      <c r="E6" s="31">
        <f>COUNTA('AVALIAÇÃO'!$A$4:$A$201)</f>
        <v>198</v>
      </c>
    </row>
    <row r="7">
      <c r="A7" s="29" t="s">
        <v>315</v>
      </c>
      <c r="E7" s="31">
        <f>COUNTA('MATRIZ DE TESTES'!$A$4:$A$63)</f>
        <v>60</v>
      </c>
    </row>
    <row r="8">
      <c r="A8" s="29" t="s">
        <v>320</v>
      </c>
      <c r="E8" s="31">
        <f>COUNTA('GOLD - Respostas Referência'!$F$3:$F$99538)</f>
        <v>218</v>
      </c>
    </row>
    <row r="10">
      <c r="A10" s="27" t="s">
        <v>327</v>
      </c>
    </row>
    <row r="11">
      <c r="A11" s="9" t="s">
        <v>331</v>
      </c>
      <c r="B11" s="9" t="s">
        <v>333</v>
      </c>
      <c r="C11" s="9" t="s">
        <v>334</v>
      </c>
      <c r="D11" s="9" t="s">
        <v>335</v>
      </c>
      <c r="E11" s="9" t="s">
        <v>336</v>
      </c>
      <c r="F11" s="9" t="s">
        <v>337</v>
      </c>
      <c r="G11" s="9" t="s">
        <v>338</v>
      </c>
      <c r="H11" s="9" t="s">
        <v>339</v>
      </c>
      <c r="I11" s="9" t="s">
        <v>340</v>
      </c>
      <c r="J11" s="9" t="s">
        <v>341</v>
      </c>
      <c r="K11" s="9" t="s">
        <v>342</v>
      </c>
      <c r="L11" s="9" t="s">
        <v>343</v>
      </c>
      <c r="M11" s="9" t="s">
        <v>344</v>
      </c>
      <c r="N11" s="9" t="s">
        <v>345</v>
      </c>
    </row>
    <row r="12" hidden="1">
      <c r="A12" s="14" t="s">
        <v>198</v>
      </c>
      <c r="B12" s="14" t="s">
        <v>346</v>
      </c>
      <c r="C12" s="14"/>
      <c r="D12" s="14">
        <f>COUNT('AVALIAÇÃO'!$I$4:$I$201)</f>
        <v>0</v>
      </c>
      <c r="E12" s="14">
        <f>COUNTIF('AVALIAÇÃO'!$I$4:$I$201,2)</f>
        <v>0</v>
      </c>
      <c r="F12" s="14">
        <f>COUNTIF('AVALIAÇÃO'!$I$4:$I$201,1)</f>
        <v>0</v>
      </c>
      <c r="G12" s="14">
        <f>COUNTIF('AVALIAÇÃO'!$I$4:$I$201,0)</f>
        <v>0</v>
      </c>
      <c r="H12" s="40" t="str">
        <f>IFERROR(COUNTIF('AVALIAÇÃO'!$I$4:$I$201,2)/COUNT('AVALIAÇÃO'!$I$4:$I$201),"")</f>
        <v/>
      </c>
      <c r="I12" s="40" t="str">
        <f>IFERROR(COUNTIF('AVALIAÇÃO'!$I$4:$I$201,0)/COUNT('AVALIAÇÃO'!$I$4:$I$201),"")</f>
        <v/>
      </c>
      <c r="J12" s="40" t="str">
        <f>IFERROR(COUNTIF('AVALIAÇÃO'!$Q$4:$Q$201,"Sim")/COUNTA('AVALIAÇÃO'!$Q$4:$Q$201),"")</f>
        <v/>
      </c>
      <c r="K12" s="40" t="str">
        <f>IFERROR(COUNTIF('AVALIAÇÃO'!$P$4:$P$201,"Sim")/COUNTA('AVALIAÇÃO'!$P$4:$P$201),"")</f>
        <v/>
      </c>
      <c r="L12" s="44" t="str">
        <f>IFERROR(AVERAGE('AVALIAÇÃO'!$I$4:$I$201),"")</f>
        <v/>
      </c>
      <c r="M12" s="44" t="str">
        <f>IFERROR(AVERAGE('AVALIAÇÃO'!$O$4:$O$201),"")</f>
        <v/>
      </c>
      <c r="N12" s="45" t="str">
        <f>IFERROR(AVERAGE('AVALIAÇÃO'!$H$4:$H$201),"")</f>
        <v/>
      </c>
    </row>
    <row r="13">
      <c r="A13" s="11" t="s">
        <v>347</v>
      </c>
      <c r="B13" s="11" t="s">
        <v>346</v>
      </c>
      <c r="C13" s="11"/>
      <c r="D13" s="11">
        <f>COUNT('AVALIAÇÃO'!$W$4:$W$201)</f>
        <v>198</v>
      </c>
      <c r="E13" s="11">
        <f>COUNTIF('AVALIAÇÃO'!$W$4:$W$201,2)</f>
        <v>186</v>
      </c>
      <c r="F13" s="11">
        <f>COUNTIF('AVALIAÇÃO'!$W$4:$W$201,1)</f>
        <v>12</v>
      </c>
      <c r="G13" s="11">
        <f>COUNTIF('AVALIAÇÃO'!$W$4:$W$201,0)</f>
        <v>0</v>
      </c>
      <c r="H13" s="46">
        <f>IFERROR(COUNTIF('AVALIAÇÃO'!$W$4:$W$201,2)/COUNT('AVALIAÇÃO'!$W$4:$W$201),"")</f>
        <v>0.9393939394</v>
      </c>
      <c r="I13" s="46">
        <f>IFERROR(COUNTIF('AVALIAÇÃO'!$W$4:$W$201,0)/COUNT('AVALIAÇÃO'!$W$4:$W$201),"")</f>
        <v>0</v>
      </c>
      <c r="J13" s="46">
        <f>IFERROR(COUNTIF('AVALIAÇÃO'!$AE$4:$AE$201,"Sim")/COUNTA('AVALIAÇÃO'!$AE$4:$AE$201),"")</f>
        <v>0.01515151515</v>
      </c>
      <c r="K13" s="46">
        <f>IFERROR(COUNTIF('AVALIAÇÃO'!$AD$4:$AD$201,"Sim")/COUNTA('AVALIAÇÃO'!$AD$4:$AD$201),"")</f>
        <v>0</v>
      </c>
      <c r="L13" s="47">
        <f>IFERROR(AVERAGE('AVALIAÇÃO'!$W$4:$W$201),"")</f>
        <v>1.939393939</v>
      </c>
      <c r="M13" s="47">
        <f>IFERROR(AVERAGE('AVALIAÇÃO'!$AC$4:$AC$201),"")</f>
        <v>2</v>
      </c>
      <c r="N13" s="48" t="str">
        <f>IFERROR(AVERAGE('AVALIAÇÃO'!$V$4:$V$201),"")</f>
        <v/>
      </c>
    </row>
    <row r="14">
      <c r="A14" s="14" t="s">
        <v>348</v>
      </c>
      <c r="B14" s="14" t="s">
        <v>346</v>
      </c>
      <c r="C14" s="14"/>
      <c r="D14" s="14">
        <f>COUNT('AVALIAÇÃO'!$AK$4:$AK$201)</f>
        <v>198</v>
      </c>
      <c r="E14" s="14">
        <f>COUNTIF('AVALIAÇÃO'!$AK$4:$AK$201,2)</f>
        <v>183</v>
      </c>
      <c r="F14" s="14">
        <f>COUNTIF('AVALIAÇÃO'!$AK$4:$AK$201,1)</f>
        <v>14</v>
      </c>
      <c r="G14" s="14">
        <f>COUNTIF('AVALIAÇÃO'!$AK$4:$AK$201,0)</f>
        <v>1</v>
      </c>
      <c r="H14" s="40">
        <f>IFERROR(COUNTIF('AVALIAÇÃO'!$AK$4:$AK$201,2)/COUNT('AVALIAÇÃO'!$AK$4:$AK$201),"")</f>
        <v>0.9242424242</v>
      </c>
      <c r="I14" s="40">
        <f>IFERROR(COUNTIF('AVALIAÇÃO'!$AK$4:$AK$201,0)/COUNT('AVALIAÇÃO'!$AK$4:$AK$201),"")</f>
        <v>0.005050505051</v>
      </c>
      <c r="J14" s="40">
        <f>IFERROR(COUNTIF('AVALIAÇÃO'!$AS$4:$AS$201,"Sim")/COUNTA('AVALIAÇÃO'!$AS$4:$AS$201),"")</f>
        <v>0.01515151515</v>
      </c>
      <c r="K14" s="40">
        <f>IFERROR(COUNTIF('AVALIAÇÃO'!$AR$4:$AR$201,"Sim")/COUNTA('AVALIAÇÃO'!$AR$4:$AR$201),"")</f>
        <v>0</v>
      </c>
      <c r="L14" s="44">
        <f>IFERROR(AVERAGE('AVALIAÇÃO'!$AK$4:$AK$201),"")</f>
        <v>1.919191919</v>
      </c>
      <c r="M14" s="44">
        <f>IFERROR(AVERAGE('AVALIAÇÃO'!$AQ$4:$AQ$201),"")</f>
        <v>2</v>
      </c>
      <c r="N14" s="45" t="str">
        <f>IFERROR(AVERAGE('AVALIAÇÃO'!$AJ$4:$AJ$201),"")</f>
        <v/>
      </c>
    </row>
    <row r="15" hidden="1">
      <c r="A15" s="11" t="s">
        <v>239</v>
      </c>
      <c r="B15" s="11" t="s">
        <v>365</v>
      </c>
      <c r="C15" s="11"/>
      <c r="D15" s="11">
        <f>COUNT('AVALIAÇÃO'!$AY$4:$AY$201)</f>
        <v>0</v>
      </c>
      <c r="E15" s="11">
        <f>COUNTIF('AVALIAÇÃO'!$AY$4:$AY$201,2)</f>
        <v>0</v>
      </c>
      <c r="F15" s="11">
        <f>COUNTIF('AVALIAÇÃO'!$AY$4:$AY$201,1)</f>
        <v>0</v>
      </c>
      <c r="G15" s="11">
        <f>COUNTIF('AVALIAÇÃO'!$AY$4:$AY$201,0)</f>
        <v>0</v>
      </c>
      <c r="H15" s="46" t="str">
        <f>IFERROR(COUNTIF('AVALIAÇÃO'!$AY$4:$AY$201,2)/COUNT('AVALIAÇÃO'!$AY$4:$AY$201),"")</f>
        <v/>
      </c>
      <c r="I15" s="46" t="str">
        <f>IFERROR(COUNTIF('AVALIAÇÃO'!$AY$4:$AY$201,0)/COUNT('AVALIAÇÃO'!$AY$4:$AY$201),"")</f>
        <v/>
      </c>
      <c r="J15" s="46" t="str">
        <f>IFERROR(COUNTIF('AVALIAÇÃO'!$BG$4:$BG$201,"Sim")/COUNTA('AVALIAÇÃO'!$BG$4:$BG$201),"")</f>
        <v/>
      </c>
      <c r="K15" s="46" t="str">
        <f>IFERROR(COUNTIF('AVALIAÇÃO'!$BF$4:$BF$201,"Sim")/COUNTA('AVALIAÇÃO'!$BF$4:$BF$201),"")</f>
        <v/>
      </c>
      <c r="L15" s="47" t="str">
        <f>IFERROR(AVERAGE('AVALIAÇÃO'!$AY$4:$AY$201),"")</f>
        <v/>
      </c>
      <c r="M15" s="47" t="str">
        <f>IFERROR(AVERAGE('AVALIAÇÃO'!$BE$4:$BE$201),"")</f>
        <v/>
      </c>
      <c r="N15" s="48" t="str">
        <f>IFERROR(AVERAGE('AVALIAÇÃO'!$AX$4:$AX$201),"")</f>
        <v/>
      </c>
    </row>
    <row r="16">
      <c r="A16" s="14" t="s">
        <v>256</v>
      </c>
      <c r="B16" s="14" t="s">
        <v>365</v>
      </c>
      <c r="C16" s="14"/>
      <c r="D16" s="14">
        <f>COUNT('AVALIAÇÃO'!$BM$4:$BM$201)</f>
        <v>198</v>
      </c>
      <c r="E16" s="14">
        <f>COUNTIF('AVALIAÇÃO'!$BM$4:$BM$201,2)</f>
        <v>183</v>
      </c>
      <c r="F16" s="14">
        <f>COUNTIF('AVALIAÇÃO'!$BM$4:$BM$201,1)</f>
        <v>14</v>
      </c>
      <c r="G16" s="14">
        <f>COUNTIF('AVALIAÇÃO'!$BM$4:$BM$201,0)</f>
        <v>1</v>
      </c>
      <c r="H16" s="40">
        <f>IFERROR(COUNTIF('AVALIAÇÃO'!$BM$4:$BM$201,2)/COUNT('AVALIAÇÃO'!$BM$4:$BM$201),"")</f>
        <v>0.9242424242</v>
      </c>
      <c r="I16" s="40">
        <f>IFERROR(COUNTIF('AVALIAÇÃO'!$BM$4:$BM$201,0)/COUNT('AVALIAÇÃO'!$BM$4:$BM$201),"")</f>
        <v>0.005050505051</v>
      </c>
      <c r="J16" s="40">
        <f>IFERROR(COUNTIF('AVALIAÇÃO'!$BU$4:$BU$201,"Sim")/COUNTA('AVALIAÇÃO'!$BU$4:$BU$201),"")</f>
        <v>0.01515151515</v>
      </c>
      <c r="K16" s="40">
        <f>IFERROR(COUNTIF('AVALIAÇÃO'!$BT$4:$BT$201,"Sim")/COUNTA('AVALIAÇÃO'!$BT$4:$BT$201),"")</f>
        <v>0</v>
      </c>
      <c r="L16" s="44">
        <f>IFERROR(AVERAGE('AVALIAÇÃO'!$BM$4:$BM$201),"")</f>
        <v>1.919191919</v>
      </c>
      <c r="M16" s="44">
        <f>IFERROR(AVERAGE('AVALIAÇÃO'!$BS$4:$BS$201),"")</f>
        <v>2</v>
      </c>
      <c r="N16" s="45" t="str">
        <f>IFERROR(AVERAGE('AVALIAÇÃO'!$BL$4:$BL$201),"")</f>
        <v/>
      </c>
    </row>
    <row r="17">
      <c r="A17" s="11" t="s">
        <v>268</v>
      </c>
      <c r="B17" s="11" t="s">
        <v>365</v>
      </c>
      <c r="C17" s="11"/>
      <c r="D17" s="11">
        <f>COUNT('AVALIAÇÃO'!$CA$4:$CA$201)</f>
        <v>198</v>
      </c>
      <c r="E17" s="11">
        <f>COUNTIF('AVALIAÇÃO'!$CA$4:$CA$201,2)</f>
        <v>188</v>
      </c>
      <c r="F17" s="11">
        <f>COUNTIF('AVALIAÇÃO'!$CA$4:$CA$201,1)</f>
        <v>9</v>
      </c>
      <c r="G17" s="11">
        <f>COUNTIF('AVALIAÇÃO'!$CA$4:$CA$201,0)</f>
        <v>1</v>
      </c>
      <c r="H17" s="46">
        <f>IFERROR(COUNTIF('AVALIAÇÃO'!$CA$4:$CA$201,2)/COUNT('AVALIAÇÃO'!$CA$4:$CA$201),"")</f>
        <v>0.9494949495</v>
      </c>
      <c r="I17" s="46">
        <f>IFERROR(COUNTIF('AVALIAÇÃO'!$CA$4:$CA$201,0)/COUNT('AVALIAÇÃO'!$CA$4:$CA$201),"")</f>
        <v>0.005050505051</v>
      </c>
      <c r="J17" s="46">
        <f>IFERROR(COUNTIF('AVALIAÇÃO'!$CI$4:$CI$201,"Sim")/COUNTA('AVALIAÇÃO'!$CI$4:$CI$201),"")</f>
        <v>0.0101010101</v>
      </c>
      <c r="K17" s="46">
        <f>IFERROR(COUNTIF('AVALIAÇÃO'!$CH$4:$CH$201,"Sim")/COUNTA('AVALIAÇÃO'!$CH$4:$CH$201),"")</f>
        <v>0</v>
      </c>
      <c r="L17" s="47">
        <f>IFERROR(AVERAGE('AVALIAÇÃO'!$CA$4:$CA$201),"")</f>
        <v>1.944444444</v>
      </c>
      <c r="M17" s="47">
        <f>IFERROR(AVERAGE('AVALIAÇÃO'!$CG$4:$CG$201),"")</f>
        <v>1.994949495</v>
      </c>
      <c r="N17" s="48" t="str">
        <f>IFERROR(AVERAGE('AVALIAÇÃO'!$BZ$4:$BZ$201),"")</f>
        <v/>
      </c>
    </row>
    <row r="18" hidden="1">
      <c r="A18" s="14" t="s">
        <v>282</v>
      </c>
      <c r="B18" s="14" t="s">
        <v>402</v>
      </c>
      <c r="C18" s="14"/>
      <c r="D18" s="14">
        <f>COUNT('AVALIAÇÃO'!$CO$4:$CO$201)</f>
        <v>0</v>
      </c>
      <c r="E18" s="14">
        <f>COUNTIF('AVALIAÇÃO'!$CO$4:$CO$201,2)</f>
        <v>0</v>
      </c>
      <c r="F18" s="14">
        <f>COUNTIF('AVALIAÇÃO'!$CO$4:$CO$201,1)</f>
        <v>0</v>
      </c>
      <c r="G18" s="14">
        <f>COUNTIF('AVALIAÇÃO'!$CO$4:$CO$201,0)</f>
        <v>0</v>
      </c>
      <c r="H18" s="40" t="str">
        <f>IFERROR(COUNTIF('AVALIAÇÃO'!$CO$4:$CO$201,2)/COUNT('AVALIAÇÃO'!$CO$4:$CO$201),"")</f>
        <v/>
      </c>
      <c r="I18" s="40" t="str">
        <f>IFERROR(COUNTIF('AVALIAÇÃO'!$CO$4:$CO$201,0)/COUNT('AVALIAÇÃO'!$CO$4:$CO$201),"")</f>
        <v/>
      </c>
      <c r="J18" s="40" t="str">
        <f>IFERROR(COUNTIF('AVALIAÇÃO'!$CW$4:$CW$201,"Sim")/COUNTA('AVALIAÇÃO'!$CW$4:$CW$201),"")</f>
        <v/>
      </c>
      <c r="K18" s="40" t="str">
        <f>IFERROR(COUNTIF('AVALIAÇÃO'!$CV$4:$CV$201,"Sim")/COUNTA('AVALIAÇÃO'!$CV$4:$CV$201),"")</f>
        <v/>
      </c>
      <c r="L18" s="44" t="str">
        <f>IFERROR(AVERAGE('AVALIAÇÃO'!$CO$4:$CO$201),"")</f>
        <v/>
      </c>
      <c r="M18" s="44" t="str">
        <f>IFERROR(AVERAGE('AVALIAÇÃO'!$CU$4:$CU$201),"")</f>
        <v/>
      </c>
      <c r="N18" s="45" t="str">
        <f>IFERROR(AVERAGE('AVALIAÇÃO'!$CN$4:$CN$201),"")</f>
        <v/>
      </c>
    </row>
    <row r="19">
      <c r="A19" s="62" t="s">
        <v>413</v>
      </c>
      <c r="B19" s="11" t="s">
        <v>402</v>
      </c>
      <c r="C19" s="11"/>
      <c r="D19" s="11">
        <f>COUNT('AVALIAÇÃO'!$DC$4:$DC$201)</f>
        <v>198</v>
      </c>
      <c r="E19" s="11">
        <f>COUNTIF('AVALIAÇÃO'!$DC$4:$DC$201,2)</f>
        <v>168</v>
      </c>
      <c r="F19" s="11">
        <f>COUNTIF('AVALIAÇÃO'!$DC$4:$DC$201,1)</f>
        <v>26</v>
      </c>
      <c r="G19" s="11">
        <f>COUNTIF('AVALIAÇÃO'!$DC$4:$DC$201,0)</f>
        <v>4</v>
      </c>
      <c r="H19" s="46">
        <f>IFERROR(COUNTIF('AVALIAÇÃO'!$DC$4:$DC$201,2)/COUNT('AVALIAÇÃO'!$DC$4:$DC$201),"")</f>
        <v>0.8484848485</v>
      </c>
      <c r="I19" s="46">
        <f>IFERROR(COUNTIF('AVALIAÇÃO'!$DC$4:$DC$201,0)/COUNT('AVALIAÇÃO'!$DC$4:$DC$201),"")</f>
        <v>0.0202020202</v>
      </c>
      <c r="J19" s="46">
        <f>IFERROR(COUNTIF('AVALIAÇÃO'!$DK$4:$DK$201,"Sim")/COUNTA('AVALIAÇÃO'!$DK$4:$DK$201),"")</f>
        <v>0.101010101</v>
      </c>
      <c r="K19" s="46">
        <f>IFERROR(COUNTIF('AVALIAÇÃO'!$DJ$4:$DJ$201,"Sim")/COUNTA('AVALIAÇÃO'!$DJ$4:$DJ$201),"")</f>
        <v>0.0202020202</v>
      </c>
      <c r="L19" s="47">
        <f>IFERROR(AVERAGE('AVALIAÇÃO'!$DC$4:$DC$201),"")</f>
        <v>1.828282828</v>
      </c>
      <c r="M19" s="47">
        <f>IFERROR(AVERAGE('AVALIAÇÃO'!$DI$4:$DI$201),"")</f>
        <v>1.994949495</v>
      </c>
      <c r="N19" s="48" t="str">
        <f>IFERROR(AVERAGE('AVALIAÇÃO'!$DB$4:$DB$201),"")</f>
        <v/>
      </c>
    </row>
    <row r="20">
      <c r="A20" s="64" t="s">
        <v>306</v>
      </c>
      <c r="B20" s="14" t="s">
        <v>402</v>
      </c>
      <c r="C20" s="14"/>
      <c r="D20" s="14">
        <f>COUNT('AVALIAÇÃO'!$DQ$4:$DQ$201)</f>
        <v>198</v>
      </c>
      <c r="E20" s="14">
        <f>COUNTIF('AVALIAÇÃO'!$DQ$4:$DQ$201,2)</f>
        <v>144</v>
      </c>
      <c r="F20" s="14">
        <f>COUNTIF('AVALIAÇÃO'!$DQ$4:$DQ$201,1)</f>
        <v>31</v>
      </c>
      <c r="G20" s="14">
        <f>COUNTIF('AVALIAÇÃO'!$DQ$4:$DQ$201,0)</f>
        <v>23</v>
      </c>
      <c r="H20" s="40">
        <f>IFERROR(COUNTIF('AVALIAÇÃO'!$DQ$4:$DQ$201,2)/COUNT('AVALIAÇÃO'!$DQ$4:$DQ$201),"")</f>
        <v>0.7272727273</v>
      </c>
      <c r="I20" s="40">
        <f>IFERROR(COUNTIF('AVALIAÇÃO'!$DQ$4:$DQ$201,0)/COUNT('AVALIAÇÃO'!$DQ$4:$DQ$201),"")</f>
        <v>0.1161616162</v>
      </c>
      <c r="J20" s="40">
        <f>IFERROR(COUNTIF('AVALIAÇÃO'!$DY$4:$DY$201,"Sim")/COUNTA('AVALIAÇÃO'!$DY$4:$DY$201),"")</f>
        <v>0.1767676768</v>
      </c>
      <c r="K20" s="40">
        <f>IFERROR(COUNTIF('AVALIAÇÃO'!$DX$4:$DX$201,"Sim")/COUNTA('AVALIAÇÃO'!$DX$4:$DX$201),"")</f>
        <v>0.06060606061</v>
      </c>
      <c r="L20" s="44">
        <f>IFERROR(AVERAGE('AVALIAÇÃO'!$DQ$4:$DQ$201),"")</f>
        <v>1.611111111</v>
      </c>
      <c r="M20" s="44">
        <f>IFERROR(AVERAGE('AVALIAÇÃO'!$DW$4:$DW$201),"")</f>
        <v>1.868686869</v>
      </c>
      <c r="N20" s="45" t="str">
        <f>IFERROR(AVERAGE('AVALIAÇÃO'!$DP$4:$DP$201),"")</f>
        <v/>
      </c>
    </row>
    <row r="21" ht="15.75" customHeight="1">
      <c r="A21" s="65" t="s">
        <v>453</v>
      </c>
      <c r="B21" s="67"/>
      <c r="C21" s="67"/>
      <c r="D21" s="67">
        <f t="shared" ref="D21:G21" si="1">SUM(D12:D20)</f>
        <v>1188</v>
      </c>
      <c r="E21" s="67">
        <f t="shared" si="1"/>
        <v>1052</v>
      </c>
      <c r="F21" s="67">
        <f t="shared" si="1"/>
        <v>106</v>
      </c>
      <c r="G21" s="67">
        <f t="shared" si="1"/>
        <v>30</v>
      </c>
      <c r="H21" s="69">
        <f>IFERROR(E21/D21,"")</f>
        <v>0.8855218855</v>
      </c>
      <c r="I21" s="69">
        <f>IFERROR(G21/D21,"")</f>
        <v>0.02525252525</v>
      </c>
      <c r="J21" s="67"/>
      <c r="K21" s="67"/>
      <c r="L21" s="70">
        <f t="shared" ref="L21:N21" si="2">IFERROR(AVERAGE(L12:L20),"")</f>
        <v>1.86026936</v>
      </c>
      <c r="M21" s="70">
        <f t="shared" si="2"/>
        <v>1.976430976</v>
      </c>
      <c r="N21" s="72" t="str">
        <f t="shared" si="2"/>
        <v/>
      </c>
    </row>
    <row r="22" ht="15.75" customHeight="1"/>
    <row r="23" ht="15.75" customHeight="1">
      <c r="A23" s="27" t="s">
        <v>475</v>
      </c>
    </row>
    <row r="24" ht="30.75" customHeight="1">
      <c r="A24" s="9" t="s">
        <v>22</v>
      </c>
      <c r="B24" s="9" t="s">
        <v>198</v>
      </c>
      <c r="C24" s="9" t="s">
        <v>477</v>
      </c>
      <c r="D24" s="9" t="s">
        <v>478</v>
      </c>
      <c r="E24" s="9" t="s">
        <v>239</v>
      </c>
      <c r="F24" s="9" t="s">
        <v>256</v>
      </c>
      <c r="G24" s="9" t="s">
        <v>268</v>
      </c>
      <c r="H24" s="9" t="s">
        <v>282</v>
      </c>
      <c r="I24" s="73" t="s">
        <v>293</v>
      </c>
      <c r="J24" s="73" t="s">
        <v>306</v>
      </c>
    </row>
    <row r="25" ht="15.75" customHeight="1">
      <c r="A25" s="11" t="s">
        <v>479</v>
      </c>
      <c r="B25" s="74" t="str">
        <f>IFERROR(AVERAGEIF('AVALIAÇÃO'!$F$4:$F$201,1,'AVALIAÇÃO'!$I$4:$I$201),"")</f>
        <v/>
      </c>
      <c r="C25" s="74">
        <f>IFERROR(AVERAGEIF('AVALIAÇÃO'!$F$4:$F$201,1,'AVALIAÇÃO'!$W$4:$W$201),"")</f>
        <v>2</v>
      </c>
      <c r="D25" s="74">
        <f>IFERROR(AVERAGEIF('AVALIAÇÃO'!$F$4:$F$201,1,'AVALIAÇÃO'!$AK$4:$AK$201),"")</f>
        <v>2</v>
      </c>
      <c r="E25" s="74" t="str">
        <f>IFERROR(AVERAGEIF('AVALIAÇÃO'!$F$4:$F$201,1,'AVALIAÇÃO'!$AY$4:$AY$201),"")</f>
        <v/>
      </c>
      <c r="F25" s="74">
        <f>IFERROR(AVERAGEIF('AVALIAÇÃO'!$F$4:$F$201,1,'AVALIAÇÃO'!$BM$4:$BM$201),"")</f>
        <v>1.976190476</v>
      </c>
      <c r="G25" s="74">
        <f>IFERROR(AVERAGEIF('AVALIAÇÃO'!$F$4:$F$201,1,'AVALIAÇÃO'!$CA$4:$CA$201),"")</f>
        <v>1.952380952</v>
      </c>
      <c r="H25" s="74" t="str">
        <f>IFERROR(AVERAGEIF('AVALIAÇÃO'!$F$4:$F$201,1,'AVALIAÇÃO'!$CO$4:$CO$201),"")</f>
        <v/>
      </c>
      <c r="I25" s="74">
        <f>IFERROR(AVERAGEIF('AVALIAÇÃO'!$F$4:$F$201,1,'AVALIAÇÃO'!$DC$4:$DC$201),"")</f>
        <v>1.976190476</v>
      </c>
      <c r="J25" s="74">
        <f>IFERROR(AVERAGEIF('AVALIAÇÃO'!$F$4:$F$201,1,'AVALIAÇÃO'!$DQ$4:$DQ$201),"")</f>
        <v>1.666666667</v>
      </c>
    </row>
    <row r="26" ht="15.75" customHeight="1">
      <c r="A26" s="14" t="s">
        <v>492</v>
      </c>
      <c r="B26" s="75" t="str">
        <f>IFERROR(AVERAGEIF('AVALIAÇÃO'!$F$4:$F$201,2,'AVALIAÇÃO'!$I$4:$I$201),"")</f>
        <v/>
      </c>
      <c r="C26" s="75">
        <f>IFERROR(AVERAGEIF('AVALIAÇÃO'!$F$4:$F$201,2,'AVALIAÇÃO'!$W$4:$W$201),"")</f>
        <v>1.979166667</v>
      </c>
      <c r="D26" s="75">
        <f>IFERROR(AVERAGEIF('AVALIAÇÃO'!$F$4:$F$201,2,'AVALIAÇÃO'!$AK$4:$AK$201),"")</f>
        <v>1.9375</v>
      </c>
      <c r="E26" s="75" t="str">
        <f>IFERROR(AVERAGEIF('AVALIAÇÃO'!$F$4:$F$201,2,'AVALIAÇÃO'!$AY$4:$AY$201),"")</f>
        <v/>
      </c>
      <c r="F26" s="75">
        <f>IFERROR(AVERAGEIF('AVALIAÇÃO'!$F$4:$F$201,2,'AVALIAÇÃO'!$BM$4:$BM$201),"")</f>
        <v>1.979166667</v>
      </c>
      <c r="G26" s="75">
        <f>IFERROR(AVERAGEIF('AVALIAÇÃO'!$F$4:$F$201,2,'AVALIAÇÃO'!$CA$4:$CA$201),"")</f>
        <v>2</v>
      </c>
      <c r="H26" s="75" t="str">
        <f>IFERROR(AVERAGEIF('AVALIAÇÃO'!$F$4:$F$201,2,'AVALIAÇÃO'!$CO$4:$CO$201),"")</f>
        <v/>
      </c>
      <c r="I26" s="75">
        <f>IFERROR(AVERAGEIF('AVALIAÇÃO'!$F$4:$F$201,2,'AVALIAÇÃO'!$DC$4:$DC$201),"")</f>
        <v>1.875</v>
      </c>
      <c r="J26" s="75">
        <f>IFERROR(AVERAGEIF('AVALIAÇÃO'!$F$4:$F$201,2,'AVALIAÇÃO'!$DQ$4:$DQ$201),"")</f>
        <v>1.5625</v>
      </c>
    </row>
    <row r="27" ht="15.75" customHeight="1">
      <c r="A27" s="11" t="s">
        <v>509</v>
      </c>
      <c r="B27" s="74" t="str">
        <f>IFERROR(AVERAGEIF('AVALIAÇÃO'!$F$4:$F$201,3,'AVALIAÇÃO'!$I$4:$I$201),"")</f>
        <v/>
      </c>
      <c r="C27" s="74">
        <f>IFERROR(AVERAGEIF('AVALIAÇÃO'!$F$4:$F$201,3,'AVALIAÇÃO'!$W$4:$W$201),"")</f>
        <v>1.966666667</v>
      </c>
      <c r="D27" s="74">
        <f>IFERROR(AVERAGEIF('AVALIAÇÃO'!$F$4:$F$201,3,'AVALIAÇÃO'!$AK$4:$AK$201),"")</f>
        <v>1.966666667</v>
      </c>
      <c r="E27" s="74" t="str">
        <f>IFERROR(AVERAGEIF('AVALIAÇÃO'!$F$4:$F$201,3,'AVALIAÇÃO'!$AY$4:$AY$201),"")</f>
        <v/>
      </c>
      <c r="F27" s="74">
        <f>IFERROR(AVERAGEIF('AVALIAÇÃO'!$F$4:$F$201,3,'AVALIAÇÃO'!$BM$4:$BM$201),"")</f>
        <v>1.966666667</v>
      </c>
      <c r="G27" s="74">
        <f>IFERROR(AVERAGEIF('AVALIAÇÃO'!$F$4:$F$201,3,'AVALIAÇÃO'!$CA$4:$CA$201),"")</f>
        <v>2</v>
      </c>
      <c r="H27" s="74" t="str">
        <f>IFERROR(AVERAGEIF('AVALIAÇÃO'!$F$4:$F$201,3,'AVALIAÇÃO'!$CO$4:$CO$201),"")</f>
        <v/>
      </c>
      <c r="I27" s="74">
        <f>IFERROR(AVERAGEIF('AVALIAÇÃO'!$F$4:$F$201,3,'AVALIAÇÃO'!$DC$4:$DC$201),"")</f>
        <v>1.933333333</v>
      </c>
      <c r="J27" s="74">
        <f>IFERROR(AVERAGEIF('AVALIAÇÃO'!$F$4:$F$201,3,'AVALIAÇÃO'!$DQ$4:$DQ$201),"")</f>
        <v>1.733333333</v>
      </c>
    </row>
    <row r="28" ht="15.75" customHeight="1">
      <c r="A28" s="14" t="s">
        <v>533</v>
      </c>
      <c r="B28" s="75" t="str">
        <f>IFERROR(AVERAGEIF('AVALIAÇÃO'!$F$4:$F$201,4,'AVALIAÇÃO'!$I$4:$I$201),"")</f>
        <v/>
      </c>
      <c r="C28" s="75">
        <f>IFERROR(AVERAGEIF('AVALIAÇÃO'!$F$4:$F$201,4,'AVALIAÇÃO'!$W$4:$W$201),"")</f>
        <v>1.833333333</v>
      </c>
      <c r="D28" s="75">
        <f>IFERROR(AVERAGEIF('AVALIAÇÃO'!$F$4:$F$201,4,'AVALIAÇÃO'!$AK$4:$AK$201),"")</f>
        <v>1.8</v>
      </c>
      <c r="E28" s="75" t="str">
        <f>IFERROR(AVERAGEIF('AVALIAÇÃO'!$F$4:$F$201,4,'AVALIAÇÃO'!$AY$4:$AY$201),"")</f>
        <v/>
      </c>
      <c r="F28" s="75">
        <f>IFERROR(AVERAGEIF('AVALIAÇÃO'!$F$4:$F$201,4,'AVALIAÇÃO'!$BM$4:$BM$201),"")</f>
        <v>1.783333333</v>
      </c>
      <c r="G28" s="75">
        <f>IFERROR(AVERAGEIF('AVALIAÇÃO'!$F$4:$F$201,4,'AVALIAÇÃO'!$CA$4:$CA$201),"")</f>
        <v>1.85</v>
      </c>
      <c r="H28" s="75" t="str">
        <f>IFERROR(AVERAGEIF('AVALIAÇÃO'!$F$4:$F$201,4,'AVALIAÇÃO'!$CO$4:$CO$201),"")</f>
        <v/>
      </c>
      <c r="I28" s="75">
        <f>IFERROR(AVERAGEIF('AVALIAÇÃO'!$F$4:$F$201,4,'AVALIAÇÃO'!$DC$4:$DC$201),"")</f>
        <v>1.6</v>
      </c>
      <c r="J28" s="75">
        <f>IFERROR(AVERAGEIF('AVALIAÇÃO'!$F$4:$F$201,4,'AVALIAÇÃO'!$DQ$4:$DQ$201),"")</f>
        <v>1.45</v>
      </c>
    </row>
    <row r="29" ht="15.75" customHeight="1">
      <c r="A29" s="11" t="s">
        <v>542</v>
      </c>
      <c r="B29" s="74" t="str">
        <f>IFERROR(AVERAGEIF('AVALIAÇÃO'!$F$4:$F$201,5,'AVALIAÇÃO'!$I$4:$I$201),"")</f>
        <v/>
      </c>
      <c r="C29" s="74">
        <f>IFERROR(AVERAGEIF('AVALIAÇÃO'!$F$4:$F$201,5,'AVALIAÇÃO'!$W$4:$W$201),"")</f>
        <v>2</v>
      </c>
      <c r="D29" s="74">
        <f>IFERROR(AVERAGEIF('AVALIAÇÃO'!$F$4:$F$201,5,'AVALIAÇÃO'!$AK$4:$AK$201),"")</f>
        <v>2</v>
      </c>
      <c r="E29" s="74" t="str">
        <f>IFERROR(AVERAGEIF('AVALIAÇÃO'!$F$4:$F$201,5,'AVALIAÇÃO'!$AY$4:$AY$201),"")</f>
        <v/>
      </c>
      <c r="F29" s="74">
        <f>IFERROR(AVERAGEIF('AVALIAÇÃO'!$F$4:$F$201,5,'AVALIAÇÃO'!$BM$4:$BM$201),"")</f>
        <v>2</v>
      </c>
      <c r="G29" s="74">
        <f>IFERROR(AVERAGEIF('AVALIAÇÃO'!$F$4:$F$201,5,'AVALIAÇÃO'!$CA$4:$CA$201),"")</f>
        <v>2</v>
      </c>
      <c r="H29" s="74" t="str">
        <f>IFERROR(AVERAGEIF('AVALIAÇÃO'!$F$4:$F$201,5,'AVALIAÇÃO'!$CO$4:$CO$201),"")</f>
        <v/>
      </c>
      <c r="I29" s="74">
        <f>IFERROR(AVERAGEIF('AVALIAÇÃO'!$F$4:$F$201,5,'AVALIAÇÃO'!$DC$4:$DC$201),"")</f>
        <v>1.944444444</v>
      </c>
      <c r="J29" s="74">
        <f>IFERROR(AVERAGEIF('AVALIAÇÃO'!$F$4:$F$201,5,'AVALIAÇÃO'!$DQ$4:$DQ$201),"")</f>
        <v>1.944444444</v>
      </c>
    </row>
    <row r="30" ht="15.75" customHeight="1"/>
    <row r="31" ht="15.75" customHeight="1">
      <c r="A31" s="27" t="s">
        <v>555</v>
      </c>
    </row>
    <row r="32" ht="34.5" customHeight="1">
      <c r="A32" s="9" t="s">
        <v>12</v>
      </c>
      <c r="B32" s="9" t="s">
        <v>198</v>
      </c>
      <c r="C32" s="9" t="s">
        <v>477</v>
      </c>
      <c r="D32" s="9" t="s">
        <v>478</v>
      </c>
      <c r="E32" s="9" t="s">
        <v>239</v>
      </c>
      <c r="F32" s="9" t="s">
        <v>256</v>
      </c>
      <c r="G32" s="9" t="s">
        <v>268</v>
      </c>
      <c r="H32" s="9" t="s">
        <v>282</v>
      </c>
      <c r="I32" s="73" t="s">
        <v>293</v>
      </c>
      <c r="J32" s="73" t="s">
        <v>306</v>
      </c>
    </row>
    <row r="33" ht="15.75" customHeight="1">
      <c r="A33" s="11" t="s">
        <v>44</v>
      </c>
      <c r="B33" s="74" t="str">
        <f>IFERROR(AVERAGEIF('AVALIAÇÃO'!$E$4:$E$201,A33,'AVALIAÇÃO'!$I$4:$I$201),"")</f>
        <v/>
      </c>
      <c r="C33" s="74">
        <f>IFERROR(AVERAGEIF('AVALIAÇÃO'!$E$4:$E$201,A33,'AVALIAÇÃO'!$W$4:$W$201),"")</f>
        <v>2</v>
      </c>
      <c r="D33" s="74">
        <f>IFERROR(AVERAGEIF('AVALIAÇÃO'!$E$4:$E$201,A33,'AVALIAÇÃO'!$AK$4:$AK$201),"")</f>
        <v>1.972222222</v>
      </c>
      <c r="E33" s="74" t="str">
        <f>IFERROR(AVERAGEIF('AVALIAÇÃO'!$E$4:$E$201,A33,'AVALIAÇÃO'!$AY$4:$AY$201),"")</f>
        <v/>
      </c>
      <c r="F33" s="74">
        <f>IFERROR(AVERAGEIF('AVALIAÇÃO'!$E$4:$E$201,A33,'AVALIAÇÃO'!$BM$4:$BM$201),"")</f>
        <v>1.972222222</v>
      </c>
      <c r="G33" s="74">
        <f>IFERROR(AVERAGEIF('AVALIAÇÃO'!$E$4:$E$201,A33,'AVALIAÇÃO'!$CA$4:$CA$201),"")</f>
        <v>1.944444444</v>
      </c>
      <c r="H33" s="74" t="str">
        <f>IFERROR(AVERAGEIF('AVALIAÇÃO'!$E$4:$E$201,A33,'AVALIAÇÃO'!$CO$4:$CO$201),"")</f>
        <v/>
      </c>
      <c r="I33" s="74">
        <f>IFERROR(AVERAGEIF('AVALIAÇÃO'!$E$4:$E$201,A33,'AVALIAÇÃO'!$DC$4:$DC$201),"")</f>
        <v>1.972222222</v>
      </c>
      <c r="J33" s="74">
        <f>IFERROR(AVERAGEIF('AVALIAÇÃO'!$E$4:$E$201,A33,'AVALIAÇÃO'!$DQ$4:$DQ$201),"")</f>
        <v>1.666666667</v>
      </c>
    </row>
    <row r="34" ht="15.75" customHeight="1">
      <c r="A34" s="14" t="s">
        <v>146</v>
      </c>
      <c r="B34" s="75" t="str">
        <f>IFERROR(AVERAGEIF('AVALIAÇÃO'!$E$4:$E$201,A34,'AVALIAÇÃO'!$I$4:$I$201),"")</f>
        <v/>
      </c>
      <c r="C34" s="75">
        <f>IFERROR(AVERAGEIF('AVALIAÇÃO'!$E$4:$E$201,A34,'AVALIAÇÃO'!$W$4:$W$201),"")</f>
        <v>2</v>
      </c>
      <c r="D34" s="75">
        <f>IFERROR(AVERAGEIF('AVALIAÇÃO'!$E$4:$E$201,A34,'AVALIAÇÃO'!$AK$4:$AK$201),"")</f>
        <v>2</v>
      </c>
      <c r="E34" s="75" t="str">
        <f>IFERROR(AVERAGEIF('AVALIAÇÃO'!$E$4:$E$201,A34,'AVALIAÇÃO'!$AY$4:$AY$201),"")</f>
        <v/>
      </c>
      <c r="F34" s="75">
        <f>IFERROR(AVERAGEIF('AVALIAÇÃO'!$E$4:$E$201,A34,'AVALIAÇÃO'!$BM$4:$BM$201),"")</f>
        <v>2</v>
      </c>
      <c r="G34" s="75">
        <f>IFERROR(AVERAGEIF('AVALIAÇÃO'!$E$4:$E$201,A34,'AVALIAÇÃO'!$CA$4:$CA$201),"")</f>
        <v>2</v>
      </c>
      <c r="H34" s="75" t="str">
        <f>IFERROR(AVERAGEIF('AVALIAÇÃO'!$E$4:$E$201,A34,'AVALIAÇÃO'!$CO$4:$CO$201),"")</f>
        <v/>
      </c>
      <c r="I34" s="75">
        <f>IFERROR(AVERAGEIF('AVALIAÇÃO'!$E$4:$E$201,A34,'AVALIAÇÃO'!$DC$4:$DC$201),"")</f>
        <v>1.916666667</v>
      </c>
      <c r="J34" s="75">
        <f>IFERROR(AVERAGEIF('AVALIAÇÃO'!$E$4:$E$201,A34,'AVALIAÇÃO'!$DQ$4:$DQ$201),"")</f>
        <v>1.666666667</v>
      </c>
    </row>
    <row r="35" ht="15.75" customHeight="1">
      <c r="A35" s="11" t="s">
        <v>173</v>
      </c>
      <c r="B35" s="74" t="str">
        <f>IFERROR(AVERAGEIF('AVALIAÇÃO'!$E$4:$E$201,A35,'AVALIAÇÃO'!$I$4:$I$201),"")</f>
        <v/>
      </c>
      <c r="C35" s="74">
        <f>IFERROR(AVERAGEIF('AVALIAÇÃO'!$E$4:$E$201,A35,'AVALIAÇÃO'!$W$4:$W$201),"")</f>
        <v>2</v>
      </c>
      <c r="D35" s="74">
        <f>IFERROR(AVERAGEIF('AVALIAÇÃO'!$E$4:$E$201,A35,'AVALIAÇÃO'!$AK$4:$AK$201),"")</f>
        <v>1.944444444</v>
      </c>
      <c r="E35" s="74" t="str">
        <f>IFERROR(AVERAGEIF('AVALIAÇÃO'!$E$4:$E$201,A35,'AVALIAÇÃO'!$AY$4:$AY$201),"")</f>
        <v/>
      </c>
      <c r="F35" s="74">
        <f>IFERROR(AVERAGEIF('AVALIAÇÃO'!$E$4:$E$201,A35,'AVALIAÇÃO'!$BM$4:$BM$201),"")</f>
        <v>2</v>
      </c>
      <c r="G35" s="74">
        <f>IFERROR(AVERAGEIF('AVALIAÇÃO'!$E$4:$E$201,A35,'AVALIAÇÃO'!$CA$4:$CA$201),"")</f>
        <v>2</v>
      </c>
      <c r="H35" s="74" t="str">
        <f>IFERROR(AVERAGEIF('AVALIAÇÃO'!$E$4:$E$201,A35,'AVALIAÇÃO'!$CO$4:$CO$201),"")</f>
        <v/>
      </c>
      <c r="I35" s="74">
        <f>IFERROR(AVERAGEIF('AVALIAÇÃO'!$E$4:$E$201,A35,'AVALIAÇÃO'!$DC$4:$DC$201),"")</f>
        <v>1.944444444</v>
      </c>
      <c r="J35" s="74">
        <f>IFERROR(AVERAGEIF('AVALIAÇÃO'!$E$4:$E$201,A35,'AVALIAÇÃO'!$DQ$4:$DQ$201),"")</f>
        <v>1.444444444</v>
      </c>
    </row>
    <row r="36" ht="15.75" customHeight="1">
      <c r="A36" s="11" t="s">
        <v>191</v>
      </c>
      <c r="B36" s="74" t="str">
        <f>IFERROR(AVERAGEIF('AVALIAÇÃO'!$E$4:$E$201,A36,'AVALIAÇÃO'!$I$4:$I$201),"")</f>
        <v/>
      </c>
      <c r="C36" s="74">
        <f>IFERROR(AVERAGEIF('AVALIAÇÃO'!$E$4:$E$201,A36,'AVALIAÇÃO'!$W$4:$W$201),"")</f>
        <v>2</v>
      </c>
      <c r="D36" s="74">
        <f>IFERROR(AVERAGEIF('AVALIAÇÃO'!$E$4:$E$201,A36,'AVALIAÇÃO'!$AK$4:$AK$201),"")</f>
        <v>2</v>
      </c>
      <c r="E36" s="74" t="str">
        <f>IFERROR(AVERAGEIF('AVALIAÇÃO'!$E$4:$E$201,A36,'AVALIAÇÃO'!$AY$4:$AY$201),"")</f>
        <v/>
      </c>
      <c r="F36" s="74">
        <f>IFERROR(AVERAGEIF('AVALIAÇÃO'!$E$4:$E$201,A36,'AVALIAÇÃO'!$BM$4:$BM$201),"")</f>
        <v>2</v>
      </c>
      <c r="G36" s="74">
        <f>IFERROR(AVERAGEIF('AVALIAÇÃO'!$E$4:$E$201,A36,'AVALIAÇÃO'!$CA$4:$CA$201),"")</f>
        <v>2</v>
      </c>
      <c r="H36" s="74" t="str">
        <f>IFERROR(AVERAGEIF('AVALIAÇÃO'!$E$4:$E$201,A36,'AVALIAÇÃO'!$CO$4:$CO$201),"")</f>
        <v/>
      </c>
      <c r="I36" s="74">
        <f>IFERROR(AVERAGEIF('AVALIAÇÃO'!$E$4:$E$201,A36,'AVALIAÇÃO'!$DC$4:$DC$201),"")</f>
        <v>2</v>
      </c>
      <c r="J36" s="74">
        <f>IFERROR(AVERAGEIF('AVALIAÇÃO'!$E$4:$E$201,A36,'AVALIAÇÃO'!$DQ$4:$DQ$201),"")</f>
        <v>1.833333333</v>
      </c>
    </row>
    <row r="37" ht="15.75" customHeight="1">
      <c r="A37" s="14" t="s">
        <v>209</v>
      </c>
      <c r="B37" s="75" t="str">
        <f>IFERROR(AVERAGEIF('AVALIAÇÃO'!$E$4:$E$201,A37,'AVALIAÇÃO'!$I$4:$I$201),"")</f>
        <v/>
      </c>
      <c r="C37" s="75">
        <f>IFERROR(AVERAGEIF('AVALIAÇÃO'!$E$4:$E$201,A37,'AVALIAÇÃO'!$W$4:$W$201),"")</f>
        <v>1.916666667</v>
      </c>
      <c r="D37" s="75">
        <f>IFERROR(AVERAGEIF('AVALIAÇÃO'!$E$4:$E$201,A37,'AVALIAÇÃO'!$AK$4:$AK$201),"")</f>
        <v>1.916666667</v>
      </c>
      <c r="E37" s="75" t="str">
        <f>IFERROR(AVERAGEIF('AVALIAÇÃO'!$E$4:$E$201,A37,'AVALIAÇÃO'!$AY$4:$AY$201),"")</f>
        <v/>
      </c>
      <c r="F37" s="75">
        <f>IFERROR(AVERAGEIF('AVALIAÇÃO'!$E$4:$E$201,A37,'AVALIAÇÃO'!$BM$4:$BM$201),"")</f>
        <v>1.916666667</v>
      </c>
      <c r="G37" s="75">
        <f>IFERROR(AVERAGEIF('AVALIAÇÃO'!$E$4:$E$201,A37,'AVALIAÇÃO'!$CA$4:$CA$201),"")</f>
        <v>1.75</v>
      </c>
      <c r="H37" s="75" t="str">
        <f>IFERROR(AVERAGEIF('AVALIAÇÃO'!$E$4:$E$201,A37,'AVALIAÇÃO'!$CO$4:$CO$201),"")</f>
        <v/>
      </c>
      <c r="I37" s="75">
        <f>IFERROR(AVERAGEIF('AVALIAÇÃO'!$E$4:$E$201,A37,'AVALIAÇÃO'!$DC$4:$DC$201),"")</f>
        <v>1.583333333</v>
      </c>
      <c r="J37" s="75">
        <f>IFERROR(AVERAGEIF('AVALIAÇÃO'!$E$4:$E$201,A37,'AVALIAÇÃO'!$DQ$4:$DQ$201),"")</f>
        <v>1.416666667</v>
      </c>
    </row>
    <row r="38" ht="15.75" customHeight="1">
      <c r="A38" s="11" t="s">
        <v>227</v>
      </c>
      <c r="B38" s="74" t="str">
        <f>IFERROR(AVERAGEIF('AVALIAÇÃO'!$E$4:$E$201,A38,'AVALIAÇÃO'!$I$4:$I$201),"")</f>
        <v/>
      </c>
      <c r="C38" s="74">
        <f>IFERROR(AVERAGEIF('AVALIAÇÃO'!$E$4:$E$201,A38,'AVALIAÇÃO'!$W$4:$W$201),"")</f>
        <v>2</v>
      </c>
      <c r="D38" s="74">
        <f>IFERROR(AVERAGEIF('AVALIAÇÃO'!$E$4:$E$201,A38,'AVALIAÇÃO'!$AK$4:$AK$201),"")</f>
        <v>1.833333333</v>
      </c>
      <c r="E38" s="74" t="str">
        <f>IFERROR(AVERAGEIF('AVALIAÇÃO'!$E$4:$E$201,A38,'AVALIAÇÃO'!$AY$4:$AY$201),"")</f>
        <v/>
      </c>
      <c r="F38" s="74">
        <f>IFERROR(AVERAGEIF('AVALIAÇÃO'!$E$4:$E$201,A38,'AVALIAÇÃO'!$BM$4:$BM$201),"")</f>
        <v>1.833333333</v>
      </c>
      <c r="G38" s="74">
        <f>IFERROR(AVERAGEIF('AVALIAÇÃO'!$E$4:$E$201,A38,'AVALIAÇÃO'!$CA$4:$CA$201),"")</f>
        <v>1.833333333</v>
      </c>
      <c r="H38" s="74" t="str">
        <f>IFERROR(AVERAGEIF('AVALIAÇÃO'!$E$4:$E$201,A38,'AVALIAÇÃO'!$CO$4:$CO$201),"")</f>
        <v/>
      </c>
      <c r="I38" s="74">
        <f>IFERROR(AVERAGEIF('AVALIAÇÃO'!$E$4:$E$201,A38,'AVALIAÇÃO'!$DC$4:$DC$201),"")</f>
        <v>1.666666667</v>
      </c>
      <c r="J38" s="74">
        <f>IFERROR(AVERAGEIF('AVALIAÇÃO'!$E$4:$E$201,A38,'AVALIAÇÃO'!$DQ$4:$DQ$201),"")</f>
        <v>1.666666667</v>
      </c>
    </row>
    <row r="39" ht="15.75" customHeight="1">
      <c r="A39" s="14" t="s">
        <v>221</v>
      </c>
      <c r="B39" s="75" t="str">
        <f>IFERROR(AVERAGEIF('AVALIAÇÃO'!$E$4:$E$201,A39,'AVALIAÇÃO'!$I$4:$I$201),"")</f>
        <v/>
      </c>
      <c r="C39" s="75">
        <f>IFERROR(AVERAGEIF('AVALIAÇÃO'!$E$4:$E$201,A39,'AVALIAÇÃO'!$W$4:$W$201),"")</f>
        <v>1.833333333</v>
      </c>
      <c r="D39" s="75">
        <f>IFERROR(AVERAGEIF('AVALIAÇÃO'!$E$4:$E$201,A39,'AVALIAÇÃO'!$AK$4:$AK$201),"")</f>
        <v>1.666666667</v>
      </c>
      <c r="E39" s="75" t="str">
        <f>IFERROR(AVERAGEIF('AVALIAÇÃO'!$E$4:$E$201,A39,'AVALIAÇÃO'!$AY$4:$AY$201),"")</f>
        <v/>
      </c>
      <c r="F39" s="75">
        <f>IFERROR(AVERAGEIF('AVALIAÇÃO'!$E$4:$E$201,A39,'AVALIAÇÃO'!$BM$4:$BM$201),"")</f>
        <v>1.666666667</v>
      </c>
      <c r="G39" s="75">
        <f>IFERROR(AVERAGEIF('AVALIAÇÃO'!$E$4:$E$201,A39,'AVALIAÇÃO'!$CA$4:$CA$201),"")</f>
        <v>1.916666667</v>
      </c>
      <c r="H39" s="75" t="str">
        <f>IFERROR(AVERAGEIF('AVALIAÇÃO'!$E$4:$E$201,A39,'AVALIAÇÃO'!$CO$4:$CO$201),"")</f>
        <v/>
      </c>
      <c r="I39" s="75">
        <f>IFERROR(AVERAGEIF('AVALIAÇÃO'!$E$4:$E$201,A39,'AVALIAÇÃO'!$DC$4:$DC$201),"")</f>
        <v>1.5</v>
      </c>
      <c r="J39" s="75">
        <f>IFERROR(AVERAGEIF('AVALIAÇÃO'!$E$4:$E$201,A39,'AVALIAÇÃO'!$DQ$4:$DQ$201),"")</f>
        <v>1.25</v>
      </c>
    </row>
    <row r="40" ht="15.75" customHeight="1">
      <c r="A40" s="11" t="s">
        <v>241</v>
      </c>
      <c r="B40" s="74" t="str">
        <f>IFERROR(AVERAGEIF('AVALIAÇÃO'!$E$4:$E$201,A40,'AVALIAÇÃO'!$I$4:$I$201),"")</f>
        <v/>
      </c>
      <c r="C40" s="74">
        <f>IFERROR(AVERAGEIF('AVALIAÇÃO'!$E$4:$E$201,A40,'AVALIAÇÃO'!$W$4:$W$201),"")</f>
        <v>1.833333333</v>
      </c>
      <c r="D40" s="74">
        <f>IFERROR(AVERAGEIF('AVALIAÇÃO'!$E$4:$E$201,A40,'AVALIAÇÃO'!$AK$4:$AK$201),"")</f>
        <v>1.833333333</v>
      </c>
      <c r="E40" s="74" t="str">
        <f>IFERROR(AVERAGEIF('AVALIAÇÃO'!$E$4:$E$201,A40,'AVALIAÇÃO'!$AY$4:$AY$201),"")</f>
        <v/>
      </c>
      <c r="F40" s="74">
        <f>IFERROR(AVERAGEIF('AVALIAÇÃO'!$E$4:$E$201,A40,'AVALIAÇÃO'!$BM$4:$BM$201),"")</f>
        <v>1.833333333</v>
      </c>
      <c r="G40" s="74">
        <f>IFERROR(AVERAGEIF('AVALIAÇÃO'!$E$4:$E$201,A40,'AVALIAÇÃO'!$CA$4:$CA$201),"")</f>
        <v>1.833333333</v>
      </c>
      <c r="H40" s="74" t="str">
        <f>IFERROR(AVERAGEIF('AVALIAÇÃO'!$E$4:$E$201,A40,'AVALIAÇÃO'!$CO$4:$CO$201),"")</f>
        <v/>
      </c>
      <c r="I40" s="74">
        <f>IFERROR(AVERAGEIF('AVALIAÇÃO'!$E$4:$E$201,A40,'AVALIAÇÃO'!$DC$4:$DC$201),"")</f>
        <v>1.416666667</v>
      </c>
      <c r="J40" s="74">
        <f>IFERROR(AVERAGEIF('AVALIAÇÃO'!$E$4:$E$201,A40,'AVALIAÇÃO'!$DQ$4:$DQ$201),"")</f>
        <v>1.5</v>
      </c>
    </row>
    <row r="41" ht="15.75" customHeight="1">
      <c r="A41" s="14" t="s">
        <v>233</v>
      </c>
      <c r="B41" s="75" t="str">
        <f>IFERROR(AVERAGEIF('AVALIAÇÃO'!$E$4:$E$201,A41,'AVALIAÇÃO'!$I$4:$I$201),"")</f>
        <v/>
      </c>
      <c r="C41" s="75">
        <f>IFERROR(AVERAGEIF('AVALIAÇÃO'!$E$4:$E$201,A41,'AVALIAÇÃO'!$W$4:$W$201),"")</f>
        <v>1.75</v>
      </c>
      <c r="D41" s="75">
        <f>IFERROR(AVERAGEIF('AVALIAÇÃO'!$E$4:$E$201,A41,'AVALIAÇÃO'!$AK$4:$AK$201),"")</f>
        <v>1.791666667</v>
      </c>
      <c r="E41" s="75" t="str">
        <f>IFERROR(AVERAGEIF('AVALIAÇÃO'!$E$4:$E$201,A41,'AVALIAÇÃO'!$AY$4:$AY$201),"")</f>
        <v/>
      </c>
      <c r="F41" s="75">
        <f>IFERROR(AVERAGEIF('AVALIAÇÃO'!$E$4:$E$201,A41,'AVALIAÇÃO'!$BM$4:$BM$201),"")</f>
        <v>1.75</v>
      </c>
      <c r="G41" s="75">
        <f>IFERROR(AVERAGEIF('AVALIAÇÃO'!$E$4:$E$201,A41,'AVALIAÇÃO'!$CA$4:$CA$201),"")</f>
        <v>1.916666667</v>
      </c>
      <c r="H41" s="75" t="str">
        <f>IFERROR(AVERAGEIF('AVALIAÇÃO'!$E$4:$E$201,A41,'AVALIAÇÃO'!$CO$4:$CO$201),"")</f>
        <v/>
      </c>
      <c r="I41" s="75">
        <f>IFERROR(AVERAGEIF('AVALIAÇÃO'!$E$4:$E$201,A41,'AVALIAÇÃO'!$DC$4:$DC$201),"")</f>
        <v>1.708333333</v>
      </c>
      <c r="J41" s="75">
        <f>IFERROR(AVERAGEIF('AVALIAÇÃO'!$E$4:$E$201,A41,'AVALIAÇÃO'!$DQ$4:$DQ$201),"")</f>
        <v>1.5</v>
      </c>
    </row>
    <row r="42" ht="15.75" customHeight="1">
      <c r="A42" s="11" t="s">
        <v>258</v>
      </c>
      <c r="B42" s="74" t="str">
        <f>IFERROR(AVERAGEIF('AVALIAÇÃO'!$E$4:$E$201,A42,'AVALIAÇÃO'!$I$4:$I$201),"")</f>
        <v/>
      </c>
      <c r="C42" s="74">
        <f>IFERROR(AVERAGEIF('AVALIAÇÃO'!$E$4:$E$201,A42,'AVALIAÇÃO'!$W$4:$W$201),"")</f>
        <v>2</v>
      </c>
      <c r="D42" s="74">
        <f>IFERROR(AVERAGEIF('AVALIAÇÃO'!$E$4:$E$201,A42,'AVALIAÇÃO'!$AK$4:$AK$201),"")</f>
        <v>2</v>
      </c>
      <c r="E42" s="74" t="str">
        <f>IFERROR(AVERAGEIF('AVALIAÇÃO'!$E$4:$E$201,A42,'AVALIAÇÃO'!$AY$4:$AY$201),"")</f>
        <v/>
      </c>
      <c r="F42" s="74">
        <f>IFERROR(AVERAGEIF('AVALIAÇÃO'!$E$4:$E$201,A42,'AVALIAÇÃO'!$BM$4:$BM$201),"")</f>
        <v>2</v>
      </c>
      <c r="G42" s="74">
        <f>IFERROR(AVERAGEIF('AVALIAÇÃO'!$E$4:$E$201,A42,'AVALIAÇÃO'!$CA$4:$CA$201),"")</f>
        <v>2</v>
      </c>
      <c r="H42" s="74" t="str">
        <f>IFERROR(AVERAGEIF('AVALIAÇÃO'!$E$4:$E$201,A42,'AVALIAÇÃO'!$CO$4:$CO$201),"")</f>
        <v/>
      </c>
      <c r="I42" s="74">
        <f>IFERROR(AVERAGEIF('AVALIAÇÃO'!$E$4:$E$201,A42,'AVALIAÇÃO'!$DC$4:$DC$201),"")</f>
        <v>2</v>
      </c>
      <c r="J42" s="74">
        <f>IFERROR(AVERAGEIF('AVALIAÇÃO'!$E$4:$E$201,A42,'AVALIAÇÃO'!$DQ$4:$DQ$201),"")</f>
        <v>2</v>
      </c>
    </row>
    <row r="43" ht="15.75" customHeight="1">
      <c r="A43" s="14" t="s">
        <v>296</v>
      </c>
      <c r="B43" s="75" t="str">
        <f>IFERROR(AVERAGEIF('AVALIAÇÃO'!$E$4:$E$201,A43,'AVALIAÇÃO'!$I$4:$I$201),"")</f>
        <v/>
      </c>
      <c r="C43" s="75">
        <f>IFERROR(AVERAGEIF('AVALIAÇÃO'!$E$4:$E$201,A43,'AVALIAÇÃO'!$W$4:$W$201),"")</f>
        <v>1.944444444</v>
      </c>
      <c r="D43" s="75">
        <f>IFERROR(AVERAGEIF('AVALIAÇÃO'!$E$4:$E$201,A43,'AVALIAÇÃO'!$AK$4:$AK$201),"")</f>
        <v>1.944444444</v>
      </c>
      <c r="E43" s="75" t="str">
        <f>IFERROR(AVERAGEIF('AVALIAÇÃO'!$E$4:$E$201,A43,'AVALIAÇÃO'!$AY$4:$AY$201),"")</f>
        <v/>
      </c>
      <c r="F43" s="75">
        <f>IFERROR(AVERAGEIF('AVALIAÇÃO'!$E$4:$E$201,A43,'AVALIAÇÃO'!$BM$4:$BM$201),"")</f>
        <v>1.944444444</v>
      </c>
      <c r="G43" s="75">
        <f>IFERROR(AVERAGEIF('AVALIAÇÃO'!$E$4:$E$201,A43,'AVALIAÇÃO'!$CA$4:$CA$201),"")</f>
        <v>2</v>
      </c>
      <c r="H43" s="75" t="str">
        <f>IFERROR(AVERAGEIF('AVALIAÇÃO'!$E$4:$E$201,A43,'AVALIAÇÃO'!$CO$4:$CO$201),"")</f>
        <v/>
      </c>
      <c r="I43" s="75">
        <f>IFERROR(AVERAGEIF('AVALIAÇÃO'!$E$4:$E$201,A43,'AVALIAÇÃO'!$DC$4:$DC$201),"")</f>
        <v>1.888888889</v>
      </c>
      <c r="J43" s="75">
        <f>IFERROR(AVERAGEIF('AVALIAÇÃO'!$E$4:$E$201,A43,'AVALIAÇÃO'!$DQ$4:$DQ$201),"")</f>
        <v>1.611111111</v>
      </c>
    </row>
    <row r="44" ht="15.75" customHeight="1">
      <c r="A44" s="14" t="s">
        <v>270</v>
      </c>
      <c r="B44" s="75" t="str">
        <f>IFERROR(AVERAGEIF('AVALIAÇÃO'!$E$4:$E$201,A44,'AVALIAÇÃO'!$I$4:$I$201),"")</f>
        <v/>
      </c>
      <c r="C44" s="75">
        <f>IFERROR(AVERAGEIF('AVALIAÇÃO'!$E$4:$E$201,A44,'AVALIAÇÃO'!$W$4:$W$201),"")</f>
        <v>2</v>
      </c>
      <c r="D44" s="75">
        <f>IFERROR(AVERAGEIF('AVALIAÇÃO'!$E$4:$E$201,A44,'AVALIAÇÃO'!$AK$4:$AK$201),"")</f>
        <v>2</v>
      </c>
      <c r="E44" s="75" t="str">
        <f>IFERROR(AVERAGEIF('AVALIAÇÃO'!$E$4:$E$201,A44,'AVALIAÇÃO'!$AY$4:$AY$201),"")</f>
        <v/>
      </c>
      <c r="F44" s="75">
        <f>IFERROR(AVERAGEIF('AVALIAÇÃO'!$E$4:$E$201,A44,'AVALIAÇÃO'!$BM$4:$BM$201),"")</f>
        <v>2</v>
      </c>
      <c r="G44" s="75">
        <f>IFERROR(AVERAGEIF('AVALIAÇÃO'!$E$4:$E$201,A44,'AVALIAÇÃO'!$CA$4:$CA$201),"")</f>
        <v>2</v>
      </c>
      <c r="H44" s="75" t="str">
        <f>IFERROR(AVERAGEIF('AVALIAÇÃO'!$E$4:$E$201,A44,'AVALIAÇÃO'!$CO$4:$CO$201),"")</f>
        <v/>
      </c>
      <c r="I44" s="75">
        <f>IFERROR(AVERAGEIF('AVALIAÇÃO'!$E$4:$E$201,A44,'AVALIAÇÃO'!$DC$4:$DC$201),"")</f>
        <v>1.833333333</v>
      </c>
      <c r="J44" s="75">
        <f>IFERROR(AVERAGEIF('AVALIAÇÃO'!$E$4:$E$201,A44,'AVALIAÇÃO'!$DQ$4:$DQ$201),"")</f>
        <v>1.833333333</v>
      </c>
    </row>
    <row r="45" ht="15.75" customHeight="1"/>
    <row r="46" ht="60.0" customHeight="1">
      <c r="A46" s="18" t="s">
        <v>728</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A10:N10"/>
    <mergeCell ref="A23:N23"/>
    <mergeCell ref="A31:N31"/>
    <mergeCell ref="A46:N46"/>
    <mergeCell ref="A1:N1"/>
    <mergeCell ref="A3:N3"/>
    <mergeCell ref="A4:D4"/>
    <mergeCell ref="A5:D5"/>
    <mergeCell ref="A6:D6"/>
    <mergeCell ref="A7:D7"/>
    <mergeCell ref="A8:D8"/>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4.0"/>
    <col customWidth="1" min="2" max="5" width="16.0"/>
    <col customWidth="1" min="6" max="12" width="10.0"/>
    <col customWidth="1" min="13" max="26" width="8.71"/>
  </cols>
  <sheetData>
    <row r="1" ht="27.75" customHeight="1">
      <c r="A1" s="7" t="s">
        <v>448</v>
      </c>
      <c r="B1" s="2"/>
      <c r="C1" s="2"/>
      <c r="D1" s="2"/>
      <c r="E1" s="2"/>
      <c r="F1" s="2"/>
      <c r="G1" s="2"/>
      <c r="H1" s="2"/>
      <c r="I1" s="2"/>
      <c r="J1" s="2"/>
      <c r="K1" s="2"/>
      <c r="L1" s="3"/>
    </row>
    <row r="3">
      <c r="A3" s="66" t="s">
        <v>458</v>
      </c>
      <c r="B3" s="2"/>
      <c r="C3" s="3"/>
      <c r="D3" s="66" t="s">
        <v>460</v>
      </c>
      <c r="E3" s="2"/>
      <c r="F3" s="3"/>
      <c r="G3" s="66" t="s">
        <v>461</v>
      </c>
      <c r="H3" s="2"/>
      <c r="I3" s="3"/>
      <c r="J3" s="66" t="s">
        <v>462</v>
      </c>
      <c r="K3" s="2"/>
      <c r="L3" s="3"/>
    </row>
    <row r="4" ht="27.75" customHeight="1">
      <c r="A4" s="68">
        <f>RESULTADOS!$E$4</f>
        <v>6</v>
      </c>
      <c r="B4" s="2"/>
      <c r="C4" s="3"/>
      <c r="D4" s="68">
        <f>RESULTADOS!$E$5</f>
        <v>33</v>
      </c>
      <c r="E4" s="2"/>
      <c r="F4" s="3"/>
      <c r="G4" s="68">
        <f>RESULTADOS!$E$6</f>
        <v>198</v>
      </c>
      <c r="H4" s="2"/>
      <c r="I4" s="3"/>
      <c r="J4" s="68">
        <f>RESULTADOS!$E$7</f>
        <v>60</v>
      </c>
      <c r="K4" s="2"/>
      <c r="L4" s="3"/>
    </row>
    <row r="6" ht="27.75" customHeight="1">
      <c r="A6" s="71" t="s">
        <v>474</v>
      </c>
    </row>
    <row r="8" ht="34.5" customHeight="1">
      <c r="A8" s="9" t="s">
        <v>331</v>
      </c>
      <c r="B8" s="9" t="s">
        <v>339</v>
      </c>
      <c r="C8" s="9" t="s">
        <v>340</v>
      </c>
      <c r="D8" s="9" t="s">
        <v>341</v>
      </c>
      <c r="E8" s="9" t="s">
        <v>342</v>
      </c>
    </row>
    <row r="9" ht="15.75" hidden="1" customHeight="1">
      <c r="A9" s="14" t="s">
        <v>198</v>
      </c>
      <c r="B9" s="46" t="str">
        <f>RESULTADOS!$H$12</f>
        <v/>
      </c>
      <c r="C9" s="46" t="str">
        <f>RESULTADOS!$I$12</f>
        <v/>
      </c>
      <c r="D9" s="46" t="str">
        <f>RESULTADOS!$J$12</f>
        <v/>
      </c>
      <c r="E9" s="46" t="str">
        <f>RESULTADOS!$K$12</f>
        <v/>
      </c>
    </row>
    <row r="10" ht="15.75" customHeight="1">
      <c r="A10" s="11" t="s">
        <v>477</v>
      </c>
      <c r="B10" s="40">
        <f>RESULTADOS!$H$13</f>
        <v>0.9393939394</v>
      </c>
      <c r="C10" s="40">
        <f>RESULTADOS!$I$13</f>
        <v>0</v>
      </c>
      <c r="D10" s="40">
        <f>RESULTADOS!$J$13</f>
        <v>0.01515151515</v>
      </c>
      <c r="E10" s="40">
        <f>RESULTADOS!$K$13</f>
        <v>0</v>
      </c>
    </row>
    <row r="11" ht="15.75" customHeight="1">
      <c r="A11" s="14" t="s">
        <v>348</v>
      </c>
      <c r="B11" s="46">
        <f>RESULTADOS!$H$14</f>
        <v>0.9242424242</v>
      </c>
      <c r="C11" s="46">
        <f>RESULTADOS!$I$14</f>
        <v>0.005050505051</v>
      </c>
      <c r="D11" s="46">
        <f>RESULTADOS!$J$14</f>
        <v>0.01515151515</v>
      </c>
      <c r="E11" s="46">
        <f>RESULTADOS!$K$14</f>
        <v>0</v>
      </c>
    </row>
    <row r="12" ht="15.75" hidden="1" customHeight="1">
      <c r="A12" s="11" t="s">
        <v>239</v>
      </c>
      <c r="B12" s="40" t="str">
        <f>RESULTADOS!$H$15</f>
        <v/>
      </c>
      <c r="C12" s="40" t="str">
        <f>RESULTADOS!$I$15</f>
        <v/>
      </c>
      <c r="D12" s="40" t="str">
        <f>RESULTADOS!$J$15</f>
        <v/>
      </c>
      <c r="E12" s="40" t="str">
        <f>RESULTADOS!$K$15</f>
        <v/>
      </c>
    </row>
    <row r="13" ht="15.75" customHeight="1">
      <c r="A13" s="64" t="s">
        <v>256</v>
      </c>
      <c r="B13" s="46">
        <f>RESULTADOS!$H$16</f>
        <v>0.9242424242</v>
      </c>
      <c r="C13" s="46">
        <f>RESULTADOS!$I$16</f>
        <v>0.005050505051</v>
      </c>
      <c r="D13" s="46">
        <f>RESULTADOS!$J$16</f>
        <v>0.01515151515</v>
      </c>
      <c r="E13" s="46">
        <f>RESULTADOS!$K$16</f>
        <v>0</v>
      </c>
    </row>
    <row r="14" ht="15.75" customHeight="1">
      <c r="A14" s="11" t="s">
        <v>268</v>
      </c>
      <c r="B14" s="40">
        <f>RESULTADOS!$H$17</f>
        <v>0.9494949495</v>
      </c>
      <c r="C14" s="40">
        <f>RESULTADOS!$I$17</f>
        <v>0.005050505051</v>
      </c>
      <c r="D14" s="40">
        <f>RESULTADOS!$J$17</f>
        <v>0.0101010101</v>
      </c>
      <c r="E14" s="40">
        <f>RESULTADOS!$K$17</f>
        <v>0</v>
      </c>
    </row>
    <row r="15" ht="15.75" hidden="1" customHeight="1">
      <c r="A15" s="14" t="s">
        <v>282</v>
      </c>
      <c r="B15" s="46" t="str">
        <f>RESULTADOS!$H$18</f>
        <v/>
      </c>
      <c r="C15" s="46" t="str">
        <f>RESULTADOS!$I$18</f>
        <v/>
      </c>
      <c r="D15" s="46" t="str">
        <f>RESULTADOS!$J$18</f>
        <v/>
      </c>
      <c r="E15" s="46" t="str">
        <f>RESULTADOS!$K$18</f>
        <v/>
      </c>
    </row>
    <row r="16" ht="15.75" customHeight="1">
      <c r="A16" s="62" t="s">
        <v>413</v>
      </c>
      <c r="B16" s="40">
        <f>RESULTADOS!$H$19</f>
        <v>0.8484848485</v>
      </c>
      <c r="C16" s="40">
        <f>RESULTADOS!$I$19</f>
        <v>0.0202020202</v>
      </c>
      <c r="D16" s="40">
        <f>RESULTADOS!$J$19</f>
        <v>0.101010101</v>
      </c>
      <c r="E16" s="40">
        <f>RESULTADOS!$K$19</f>
        <v>0.0202020202</v>
      </c>
    </row>
    <row r="17" ht="15.75" customHeight="1">
      <c r="A17" s="64" t="s">
        <v>306</v>
      </c>
      <c r="B17" s="46">
        <f>RESULTADOS!$H$20</f>
        <v>0.7272727273</v>
      </c>
      <c r="C17" s="46">
        <f>RESULTADOS!$I$20</f>
        <v>0.1161616162</v>
      </c>
      <c r="D17" s="46">
        <f>RESULTADOS!$J$20</f>
        <v>0.1767676768</v>
      </c>
      <c r="E17" s="46">
        <f>RESULTADOS!$K$20</f>
        <v>0.06060606061</v>
      </c>
    </row>
    <row r="18" ht="15.75" customHeight="1"/>
    <row r="19" ht="31.5" customHeight="1">
      <c r="A19" s="9" t="s">
        <v>331</v>
      </c>
      <c r="B19" s="9" t="s">
        <v>510</v>
      </c>
      <c r="C19" s="9" t="s">
        <v>511</v>
      </c>
      <c r="D19" s="9" t="s">
        <v>512</v>
      </c>
    </row>
    <row r="20" ht="15.75" hidden="1" customHeight="1">
      <c r="A20" s="14" t="s">
        <v>198</v>
      </c>
      <c r="B20" s="44" t="str">
        <f>RESULTADOS!$L$12</f>
        <v/>
      </c>
      <c r="C20" s="44" t="str">
        <f>RESULTADOS!$M$12</f>
        <v/>
      </c>
      <c r="D20" s="45" t="str">
        <f>RESULTADOS!$N$12</f>
        <v/>
      </c>
    </row>
    <row r="21" ht="15.75" customHeight="1">
      <c r="A21" s="11" t="s">
        <v>477</v>
      </c>
      <c r="B21" s="47">
        <f>RESULTADOS!$L$13</f>
        <v>1.939393939</v>
      </c>
      <c r="C21" s="47">
        <f>RESULTADOS!$M$13</f>
        <v>2</v>
      </c>
      <c r="D21" s="48" t="str">
        <f>RESULTADOS!$N$13</f>
        <v/>
      </c>
    </row>
    <row r="22" ht="15.75" customHeight="1">
      <c r="A22" s="14" t="s">
        <v>348</v>
      </c>
      <c r="B22" s="44">
        <f>RESULTADOS!$L$14</f>
        <v>1.919191919</v>
      </c>
      <c r="C22" s="44">
        <f>RESULTADOS!$M$14</f>
        <v>2</v>
      </c>
      <c r="D22" s="45" t="str">
        <f>RESULTADOS!$N$14</f>
        <v/>
      </c>
    </row>
    <row r="23" ht="15.75" hidden="1" customHeight="1">
      <c r="A23" s="11" t="s">
        <v>239</v>
      </c>
      <c r="B23" s="47" t="str">
        <f>RESULTADOS!$L$15</f>
        <v/>
      </c>
      <c r="C23" s="47" t="str">
        <f>RESULTADOS!$M$15</f>
        <v/>
      </c>
      <c r="D23" s="48" t="str">
        <f>RESULTADOS!$N$15</f>
        <v/>
      </c>
    </row>
    <row r="24" ht="15.75" customHeight="1">
      <c r="A24" s="64" t="s">
        <v>256</v>
      </c>
      <c r="B24" s="44">
        <f>RESULTADOS!$L$16</f>
        <v>1.919191919</v>
      </c>
      <c r="C24" s="44">
        <f>RESULTADOS!$M$16</f>
        <v>2</v>
      </c>
      <c r="D24" s="45" t="str">
        <f>RESULTADOS!$N$16</f>
        <v/>
      </c>
    </row>
    <row r="25" ht="15.75" customHeight="1">
      <c r="A25" s="11" t="s">
        <v>268</v>
      </c>
      <c r="B25" s="47">
        <f>RESULTADOS!$L$17</f>
        <v>1.944444444</v>
      </c>
      <c r="C25" s="47">
        <f>RESULTADOS!$M$17</f>
        <v>1.994949495</v>
      </c>
      <c r="D25" s="48" t="str">
        <f>RESULTADOS!$N$17</f>
        <v/>
      </c>
    </row>
    <row r="26" ht="15.75" hidden="1" customHeight="1">
      <c r="A26" s="14" t="s">
        <v>282</v>
      </c>
      <c r="B26" s="44" t="str">
        <f>RESULTADOS!$L$18</f>
        <v/>
      </c>
      <c r="C26" s="44" t="str">
        <f>RESULTADOS!$M$18</f>
        <v/>
      </c>
      <c r="D26" s="45" t="str">
        <f>RESULTADOS!$N$18</f>
        <v/>
      </c>
    </row>
    <row r="27" ht="15.75" customHeight="1">
      <c r="A27" s="62" t="s">
        <v>413</v>
      </c>
      <c r="B27" s="47">
        <f>RESULTADOS!$L$19</f>
        <v>1.828282828</v>
      </c>
      <c r="C27" s="47">
        <f>RESULTADOS!$M$19</f>
        <v>1.994949495</v>
      </c>
      <c r="D27" s="48" t="str">
        <f>RESULTADOS!$N$19</f>
        <v/>
      </c>
    </row>
    <row r="28" ht="15.75" customHeight="1">
      <c r="A28" s="64" t="s">
        <v>306</v>
      </c>
      <c r="B28" s="44">
        <f>RESULTADOS!$L$20</f>
        <v>1.611111111</v>
      </c>
      <c r="C28" s="44">
        <f>RESULTADOS!$M$20</f>
        <v>1.868686869</v>
      </c>
      <c r="D28" s="45" t="str">
        <f>RESULTADOS!$N$20</f>
        <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G4:I4"/>
    <mergeCell ref="J4:L4"/>
    <mergeCell ref="A1:L1"/>
    <mergeCell ref="A3:C3"/>
    <mergeCell ref="D3:F3"/>
    <mergeCell ref="G3:I3"/>
    <mergeCell ref="J3:L3"/>
    <mergeCell ref="A4:C4"/>
    <mergeCell ref="D4:F4"/>
    <mergeCell ref="A6:L6"/>
  </mergeCells>
  <printOptions/>
  <pageMargins bottom="1.0" footer="0.0" header="0.0" left="0.75" right="0.75" top="1.0"/>
  <pageSetup paperSize="8"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9.0"/>
    <col customWidth="1" min="2" max="3" width="12.0"/>
    <col customWidth="1" min="4" max="4" width="30.0"/>
    <col customWidth="1" min="5" max="6" width="40.0"/>
    <col customWidth="1" min="7" max="9" width="26.0"/>
    <col customWidth="1" min="10" max="10" width="30.0"/>
    <col customWidth="1" min="11" max="11" width="8.0"/>
    <col customWidth="1" min="12" max="12" width="14.0"/>
    <col customWidth="1" min="13" max="14" width="34.0"/>
    <col customWidth="1" min="15" max="15" width="20.0"/>
    <col customWidth="1" min="16" max="17" width="14.0"/>
    <col customWidth="1" min="18" max="18" width="26.0"/>
    <col customWidth="1" min="19" max="26" width="8.71"/>
  </cols>
  <sheetData>
    <row r="1" ht="27.75" customHeight="1">
      <c r="A1" s="7" t="s">
        <v>349</v>
      </c>
      <c r="B1" s="2"/>
      <c r="C1" s="2"/>
      <c r="D1" s="2"/>
      <c r="E1" s="2"/>
      <c r="F1" s="2"/>
      <c r="G1" s="2"/>
      <c r="H1" s="2"/>
      <c r="I1" s="2"/>
      <c r="J1" s="2"/>
      <c r="K1" s="2"/>
      <c r="L1" s="2"/>
      <c r="M1" s="2"/>
      <c r="N1" s="2"/>
      <c r="O1" s="2"/>
      <c r="P1" s="2"/>
      <c r="Q1" s="2"/>
      <c r="R1" s="3"/>
    </row>
    <row r="2">
      <c r="A2" s="49" t="s">
        <v>350</v>
      </c>
      <c r="B2" s="49" t="s">
        <v>351</v>
      </c>
      <c r="C2" s="49" t="s">
        <v>9</v>
      </c>
      <c r="D2" s="49" t="s">
        <v>185</v>
      </c>
      <c r="E2" s="49" t="s">
        <v>14</v>
      </c>
      <c r="F2" s="49" t="s">
        <v>352</v>
      </c>
      <c r="G2" s="49" t="s">
        <v>353</v>
      </c>
      <c r="H2" s="49" t="s">
        <v>354</v>
      </c>
      <c r="I2" s="49" t="s">
        <v>355</v>
      </c>
      <c r="J2" s="49" t="s">
        <v>356</v>
      </c>
      <c r="K2" s="49" t="s">
        <v>357</v>
      </c>
      <c r="L2" s="49" t="s">
        <v>358</v>
      </c>
      <c r="M2" s="49" t="s">
        <v>359</v>
      </c>
      <c r="N2" s="49" t="s">
        <v>360</v>
      </c>
      <c r="O2" s="49" t="s">
        <v>361</v>
      </c>
      <c r="P2" s="49" t="s">
        <v>362</v>
      </c>
      <c r="Q2" s="49" t="s">
        <v>363</v>
      </c>
      <c r="R2" s="49" t="s">
        <v>57</v>
      </c>
    </row>
    <row r="3" ht="15.75" customHeight="1">
      <c r="A3" s="11" t="s">
        <v>364</v>
      </c>
      <c r="B3" s="11">
        <v>1.0</v>
      </c>
      <c r="C3" s="11" t="s">
        <v>33</v>
      </c>
      <c r="D3" s="11" t="str">
        <f t="array" ref="D3">IFERROR(INDEX(DOCUMENTOS!$E:$E,MATCH($B3,DOCUMENTOS!$A:$A,0)),"")</f>
        <v>Planilha Mapa Comparativo de Preços</v>
      </c>
      <c r="E3" s="11" t="str">
        <f t="array" ref="E3">IFERROR(INDEX('BANCO DE PERGUNTAS'!$D:$D,MATCH($C3,'BANCO DE PERGUNTAS'!$A:$A,0)),"")</f>
        <v>Qual é o objeto principal deste documento?</v>
      </c>
      <c r="F3" s="54" t="s">
        <v>369</v>
      </c>
      <c r="G3" s="55" t="s">
        <v>370</v>
      </c>
      <c r="H3" s="55" t="s">
        <v>371</v>
      </c>
      <c r="I3" s="55" t="s">
        <v>372</v>
      </c>
      <c r="J3" s="55" t="s">
        <v>373</v>
      </c>
      <c r="K3" s="55" t="s">
        <v>374</v>
      </c>
      <c r="L3" s="55" t="s">
        <v>375</v>
      </c>
      <c r="M3" s="55" t="s">
        <v>376</v>
      </c>
      <c r="N3" s="56" t="s">
        <v>377</v>
      </c>
      <c r="O3" s="56" t="s">
        <v>378</v>
      </c>
      <c r="P3" s="56" t="s">
        <v>379</v>
      </c>
      <c r="Q3" s="57"/>
      <c r="R3" s="56" t="s">
        <v>380</v>
      </c>
    </row>
    <row r="4" ht="31.5" customHeight="1">
      <c r="A4" s="14" t="s">
        <v>381</v>
      </c>
      <c r="B4" s="14">
        <v>1.0</v>
      </c>
      <c r="C4" s="14" t="s">
        <v>68</v>
      </c>
      <c r="D4" s="14" t="str">
        <f t="array" ref="D4">IFERROR(INDEX(DOCUMENTOS!$E:$E,MATCH($B4,DOCUMENTOS!$A:$A,0)),"")</f>
        <v>Planilha Mapa Comparativo de Preços</v>
      </c>
      <c r="E4" s="14" t="str">
        <f t="array" ref="E4">IFERROR(INDEX('BANCO DE PERGUNTAS'!$D:$D,MATCH($C4,'BANCO DE PERGUNTAS'!$A:$A,0)),"")</f>
        <v>Qual é o número ou identificação do documento?</v>
      </c>
      <c r="F4" s="54" t="s">
        <v>383</v>
      </c>
      <c r="G4" s="55" t="s">
        <v>384</v>
      </c>
      <c r="H4" s="55" t="s">
        <v>386</v>
      </c>
      <c r="I4" s="55" t="s">
        <v>387</v>
      </c>
      <c r="J4" s="55" t="s">
        <v>388</v>
      </c>
      <c r="K4" s="55" t="s">
        <v>374</v>
      </c>
      <c r="L4" s="55" t="s">
        <v>389</v>
      </c>
      <c r="M4" s="55" t="s">
        <v>390</v>
      </c>
      <c r="N4" s="56" t="s">
        <v>391</v>
      </c>
      <c r="O4" s="56" t="s">
        <v>378</v>
      </c>
      <c r="P4" s="56" t="s">
        <v>379</v>
      </c>
      <c r="Q4" s="57"/>
      <c r="R4" s="56" t="s">
        <v>380</v>
      </c>
    </row>
    <row r="5" ht="15.75" customHeight="1">
      <c r="A5" s="11" t="s">
        <v>392</v>
      </c>
      <c r="B5" s="11">
        <v>1.0</v>
      </c>
      <c r="C5" s="11" t="s">
        <v>90</v>
      </c>
      <c r="D5" s="11" t="str">
        <f t="array" ref="D5">IFERROR(INDEX(DOCUMENTOS!$E:$E,MATCH($B5,DOCUMENTOS!$A:$A,0)),"")</f>
        <v>Planilha Mapa Comparativo de Preços</v>
      </c>
      <c r="E5" s="11" t="str">
        <f t="array" ref="E5">IFERROR(INDEX('BANCO DE PERGUNTAS'!$D:$D,MATCH($C5,'BANCO DE PERGUNTAS'!$A:$A,0)),"")</f>
        <v>Qual é o número do processo relacionado?</v>
      </c>
      <c r="F5" s="54" t="s">
        <v>394</v>
      </c>
      <c r="G5" s="55" t="s">
        <v>395</v>
      </c>
      <c r="H5" s="61"/>
      <c r="I5" s="55" t="s">
        <v>396</v>
      </c>
      <c r="J5" s="55" t="s">
        <v>397</v>
      </c>
      <c r="K5" s="55" t="s">
        <v>374</v>
      </c>
      <c r="L5" s="55" t="s">
        <v>398</v>
      </c>
      <c r="M5" s="55" t="s">
        <v>399</v>
      </c>
      <c r="N5" s="56" t="s">
        <v>400</v>
      </c>
      <c r="O5" s="56" t="s">
        <v>378</v>
      </c>
      <c r="P5" s="56" t="s">
        <v>379</v>
      </c>
      <c r="Q5" s="57"/>
      <c r="R5" s="56" t="s">
        <v>380</v>
      </c>
    </row>
    <row r="6" ht="15.75" customHeight="1">
      <c r="A6" s="14" t="s">
        <v>401</v>
      </c>
      <c r="B6" s="14">
        <v>1.0</v>
      </c>
      <c r="C6" s="14" t="s">
        <v>103</v>
      </c>
      <c r="D6" s="14" t="str">
        <f t="array" ref="D6">IFERROR(INDEX(DOCUMENTOS!$E:$E,MATCH($B6,DOCUMENTOS!$A:$A,0)),"")</f>
        <v>Planilha Mapa Comparativo de Preços</v>
      </c>
      <c r="E6" s="14" t="str">
        <f t="array" ref="E6">IFERROR(INDEX('BANCO DE PERGUNTAS'!$D:$D,MATCH($C6,'BANCO DE PERGUNTAS'!$A:$A,0)),"")</f>
        <v>Qual é a data do documento?</v>
      </c>
      <c r="F6" s="54" t="s">
        <v>403</v>
      </c>
      <c r="G6" s="55" t="s">
        <v>404</v>
      </c>
      <c r="H6" s="55" t="s">
        <v>405</v>
      </c>
      <c r="I6" s="55" t="s">
        <v>406</v>
      </c>
      <c r="J6" s="55" t="s">
        <v>407</v>
      </c>
      <c r="K6" s="55" t="s">
        <v>408</v>
      </c>
      <c r="L6" s="55" t="s">
        <v>409</v>
      </c>
      <c r="M6" s="55" t="s">
        <v>410</v>
      </c>
      <c r="N6" s="56" t="s">
        <v>411</v>
      </c>
      <c r="O6" s="56" t="s">
        <v>378</v>
      </c>
      <c r="P6" s="56" t="s">
        <v>379</v>
      </c>
      <c r="Q6" s="57"/>
      <c r="R6" s="56" t="s">
        <v>380</v>
      </c>
    </row>
    <row r="7" ht="15.75" customHeight="1">
      <c r="A7" s="11" t="s">
        <v>412</v>
      </c>
      <c r="B7" s="11">
        <v>1.0</v>
      </c>
      <c r="C7" s="11" t="s">
        <v>117</v>
      </c>
      <c r="D7" s="11" t="str">
        <f t="array" ref="D7">IFERROR(INDEX(DOCUMENTOS!$E:$E,MATCH($B7,DOCUMENTOS!$A:$A,0)),"")</f>
        <v>Planilha Mapa Comparativo de Preços</v>
      </c>
      <c r="E7" s="11" t="str">
        <f t="array" ref="E7">IFERROR(INDEX('BANCO DE PERGUNTAS'!$D:$D,MATCH($C7,'BANCO DE PERGUNTAS'!$A:$A,0)),"")</f>
        <v>Qual setor ou unidade está relacionado ao documento?</v>
      </c>
      <c r="F7" s="54" t="s">
        <v>414</v>
      </c>
      <c r="G7" s="55" t="s">
        <v>415</v>
      </c>
      <c r="H7" s="55" t="s">
        <v>416</v>
      </c>
      <c r="I7" s="61"/>
      <c r="J7" s="55" t="s">
        <v>417</v>
      </c>
      <c r="K7" s="55" t="s">
        <v>418</v>
      </c>
      <c r="L7" s="55" t="s">
        <v>419</v>
      </c>
      <c r="M7" s="61"/>
      <c r="N7" s="56" t="s">
        <v>420</v>
      </c>
      <c r="O7" s="56" t="s">
        <v>378</v>
      </c>
      <c r="P7" s="56" t="s">
        <v>379</v>
      </c>
      <c r="Q7" s="57"/>
      <c r="R7" s="56" t="s">
        <v>380</v>
      </c>
    </row>
    <row r="8" ht="15.75" customHeight="1">
      <c r="A8" s="14" t="s">
        <v>421</v>
      </c>
      <c r="B8" s="14">
        <v>1.0</v>
      </c>
      <c r="C8" s="14" t="s">
        <v>131</v>
      </c>
      <c r="D8" s="14" t="str">
        <f t="array" ref="D8">IFERROR(INDEX(DOCUMENTOS!$E:$E,MATCH($B8,DOCUMENTOS!$A:$A,0)),"")</f>
        <v>Planilha Mapa Comparativo de Preços</v>
      </c>
      <c r="E8" s="14" t="str">
        <f t="array" ref="E8">IFERROR(INDEX('BANCO DE PERGUNTAS'!$D:$D,MATCH($C8,'BANCO DE PERGUNTAS'!$A:$A,0)),"")</f>
        <v>Quais são as partes ou instituições mencionadas?</v>
      </c>
      <c r="F8" s="54" t="s">
        <v>424</v>
      </c>
      <c r="G8" s="55" t="s">
        <v>425</v>
      </c>
      <c r="H8" s="55" t="s">
        <v>426</v>
      </c>
      <c r="I8" s="55" t="s">
        <v>427</v>
      </c>
      <c r="J8" s="55" t="s">
        <v>428</v>
      </c>
      <c r="K8" s="55" t="s">
        <v>429</v>
      </c>
      <c r="L8" s="55" t="s">
        <v>430</v>
      </c>
      <c r="M8" s="61"/>
      <c r="N8" s="56" t="s">
        <v>431</v>
      </c>
      <c r="O8" s="56" t="s">
        <v>378</v>
      </c>
      <c r="P8" s="56" t="s">
        <v>379</v>
      </c>
      <c r="Q8" s="57"/>
      <c r="R8" s="56" t="s">
        <v>380</v>
      </c>
    </row>
    <row r="9" ht="15.75" customHeight="1">
      <c r="A9" s="11" t="s">
        <v>433</v>
      </c>
      <c r="B9" s="11">
        <v>1.0</v>
      </c>
      <c r="C9" s="11" t="s">
        <v>144</v>
      </c>
      <c r="D9" s="11" t="str">
        <f t="array" ref="D9">IFERROR(INDEX(DOCUMENTOS!$E:$E,MATCH($B9,DOCUMENTOS!$A:$A,0)),"")</f>
        <v>Planilha Mapa Comparativo de Preços</v>
      </c>
      <c r="E9" s="11" t="str">
        <f t="array" ref="E9">IFERROR(INDEX('BANCO DE PERGUNTAS'!$D:$D,MATCH($C9,'BANCO DE PERGUNTAS'!$A:$A,0)),"")</f>
        <v>Qual informação específica está apresentada na seção 08?</v>
      </c>
      <c r="F9" s="54" t="s">
        <v>436</v>
      </c>
      <c r="G9" s="55" t="s">
        <v>437</v>
      </c>
      <c r="H9" s="55" t="s">
        <v>438</v>
      </c>
      <c r="I9" s="55" t="s">
        <v>440</v>
      </c>
      <c r="J9" s="55" t="s">
        <v>441</v>
      </c>
      <c r="K9" s="55" t="s">
        <v>442</v>
      </c>
      <c r="L9" s="55" t="s">
        <v>443</v>
      </c>
      <c r="M9" s="55" t="s">
        <v>444</v>
      </c>
      <c r="N9" s="56" t="s">
        <v>445</v>
      </c>
      <c r="O9" s="56" t="s">
        <v>378</v>
      </c>
      <c r="P9" s="56" t="s">
        <v>379</v>
      </c>
      <c r="Q9" s="57"/>
      <c r="R9" s="56" t="s">
        <v>380</v>
      </c>
    </row>
    <row r="10" ht="15.75" customHeight="1">
      <c r="A10" s="14" t="s">
        <v>446</v>
      </c>
      <c r="B10" s="14">
        <v>1.0</v>
      </c>
      <c r="C10" s="14" t="s">
        <v>156</v>
      </c>
      <c r="D10" s="14" t="str">
        <f t="array" ref="D10">IFERROR(INDEX(DOCUMENTOS!$E:$E,MATCH($B10,DOCUMENTOS!$A:$A,0)),"")</f>
        <v>Planilha Mapa Comparativo de Preços</v>
      </c>
      <c r="E10" s="14" t="str">
        <f t="array" ref="E10">IFERROR(INDEX('BANCO DE PERGUNTAS'!$D:$D,MATCH($C10,'BANCO DE PERGUNTAS'!$A:$A,0)),"")</f>
        <v>Em qual seção do documento está localizada a informação solicitada?</v>
      </c>
      <c r="F10" s="54" t="s">
        <v>449</v>
      </c>
      <c r="G10" s="55" t="s">
        <v>450</v>
      </c>
      <c r="H10" s="55" t="s">
        <v>451</v>
      </c>
      <c r="I10" s="55" t="s">
        <v>452</v>
      </c>
      <c r="J10" s="55" t="s">
        <v>454</v>
      </c>
      <c r="K10" s="55" t="s">
        <v>455</v>
      </c>
      <c r="L10" s="55" t="s">
        <v>456</v>
      </c>
      <c r="M10" s="61"/>
      <c r="N10" s="56" t="s">
        <v>457</v>
      </c>
      <c r="O10" s="56" t="s">
        <v>378</v>
      </c>
      <c r="P10" s="56" t="s">
        <v>379</v>
      </c>
      <c r="Q10" s="57"/>
      <c r="R10" s="56" t="s">
        <v>380</v>
      </c>
    </row>
    <row r="11" ht="15.75" customHeight="1">
      <c r="A11" s="11" t="s">
        <v>459</v>
      </c>
      <c r="B11" s="11">
        <v>1.0</v>
      </c>
      <c r="C11" s="11" t="s">
        <v>162</v>
      </c>
      <c r="D11" s="11" t="str">
        <f t="array" ref="D11">IFERROR(INDEX(DOCUMENTOS!$E:$E,MATCH($B11,DOCUMENTOS!$A:$A,0)),"")</f>
        <v>Planilha Mapa Comparativo de Preços</v>
      </c>
      <c r="E11" s="11" t="str">
        <f t="array" ref="E11">IFERROR(INDEX('BANCO DE PERGUNTAS'!$D:$D,MATCH($C11,'BANCO DE PERGUNTAS'!$A:$A,0)),"")</f>
        <v>Qual é o valor indicado para o Valor Total Anual do Objeto licitado?</v>
      </c>
      <c r="F11" s="54" t="s">
        <v>463</v>
      </c>
      <c r="G11" s="55" t="s">
        <v>464</v>
      </c>
      <c r="H11" s="55" t="s">
        <v>465</v>
      </c>
      <c r="I11" s="55" t="s">
        <v>466</v>
      </c>
      <c r="J11" s="55" t="s">
        <v>467</v>
      </c>
      <c r="K11" s="55" t="s">
        <v>468</v>
      </c>
      <c r="L11" s="55" t="s">
        <v>469</v>
      </c>
      <c r="M11" s="55" t="s">
        <v>470</v>
      </c>
      <c r="N11" s="56" t="s">
        <v>471</v>
      </c>
      <c r="O11" s="56" t="s">
        <v>378</v>
      </c>
      <c r="P11" s="56" t="s">
        <v>379</v>
      </c>
      <c r="Q11" s="57"/>
      <c r="R11" s="56" t="s">
        <v>380</v>
      </c>
    </row>
    <row r="12" ht="15.75" customHeight="1">
      <c r="A12" s="14" t="s">
        <v>472</v>
      </c>
      <c r="B12" s="14">
        <v>1.0</v>
      </c>
      <c r="C12" s="14" t="s">
        <v>168</v>
      </c>
      <c r="D12" s="14" t="str">
        <f t="array" ref="D12">IFERROR(INDEX(DOCUMENTOS!$E:$E,MATCH($B12,DOCUMENTOS!$A:$A,0)),"")</f>
        <v>Planilha Mapa Comparativo de Preços</v>
      </c>
      <c r="E12" s="14" t="str">
        <f t="array" ref="E12">IFERROR(INDEX('BANCO DE PERGUNTAS'!$D:$D,MATCH($C12,'BANCO DE PERGUNTAS'!$A:$A,0)),"")</f>
        <v>Qual é a data indicada para de assinatura de todos os membros da comissão da contratação?</v>
      </c>
      <c r="F12" s="54" t="s">
        <v>482</v>
      </c>
      <c r="G12" s="55" t="s">
        <v>483</v>
      </c>
      <c r="H12" s="55" t="s">
        <v>484</v>
      </c>
      <c r="I12" s="55" t="s">
        <v>485</v>
      </c>
      <c r="J12" s="55" t="s">
        <v>486</v>
      </c>
      <c r="K12" s="55" t="s">
        <v>487</v>
      </c>
      <c r="L12" s="55" t="s">
        <v>488</v>
      </c>
      <c r="M12" s="55" t="s">
        <v>489</v>
      </c>
      <c r="N12" s="56" t="s">
        <v>490</v>
      </c>
      <c r="O12" s="56" t="s">
        <v>378</v>
      </c>
      <c r="P12" s="56" t="s">
        <v>379</v>
      </c>
      <c r="Q12" s="57"/>
      <c r="R12" s="56" t="s">
        <v>380</v>
      </c>
    </row>
    <row r="13" ht="16.5" customHeight="1">
      <c r="A13" s="11" t="s">
        <v>491</v>
      </c>
      <c r="B13" s="11">
        <v>1.0</v>
      </c>
      <c r="C13" s="11" t="s">
        <v>172</v>
      </c>
      <c r="D13" s="11" t="str">
        <f t="array" ref="D13">IFERROR(INDEX(DOCUMENTOS!$E:$E,MATCH($B13,DOCUMENTOS!$A:$A,0)),"")</f>
        <v>Planilha Mapa Comparativo de Preços</v>
      </c>
      <c r="E13" s="11" t="str">
        <f t="array" ref="E13">IFERROR(INDEX('BANCO DE PERGUNTAS'!$D:$D,MATCH($C13,'BANCO DE PERGUNTAS'!$A:$A,0)),"")</f>
        <v>Extraia os principais dados do documento em formato estruturado.</v>
      </c>
      <c r="F13" s="54" t="s">
        <v>493</v>
      </c>
      <c r="G13" s="55" t="s">
        <v>494</v>
      </c>
      <c r="H13" s="55" t="s">
        <v>495</v>
      </c>
      <c r="I13" s="61"/>
      <c r="J13" s="55" t="s">
        <v>496</v>
      </c>
      <c r="K13" s="55" t="s">
        <v>455</v>
      </c>
      <c r="L13" s="55" t="s">
        <v>497</v>
      </c>
      <c r="M13" s="61"/>
      <c r="N13" s="56" t="s">
        <v>498</v>
      </c>
      <c r="O13" s="56" t="s">
        <v>378</v>
      </c>
      <c r="P13" s="56" t="s">
        <v>379</v>
      </c>
      <c r="Q13" s="57"/>
      <c r="R13" s="56" t="s">
        <v>380</v>
      </c>
    </row>
    <row r="14" ht="22.5" customHeight="1">
      <c r="A14" s="14" t="s">
        <v>499</v>
      </c>
      <c r="B14" s="14">
        <v>1.0</v>
      </c>
      <c r="C14" s="14" t="s">
        <v>179</v>
      </c>
      <c r="D14" s="14" t="str">
        <f t="array" ref="D14">IFERROR(INDEX(DOCUMENTOS!$E:$E,MATCH($B14,DOCUMENTOS!$A:$A,0)),"")</f>
        <v>Planilha Mapa Comparativo de Preços</v>
      </c>
      <c r="E14" s="14" t="str">
        <f t="array" ref="E14">IFERROR(INDEX('BANCO DE PERGUNTAS'!$D:$D,MATCH($C14,'BANCO DE PERGUNTAS'!$A:$A,0)),"")</f>
        <v>Liste os valores financeiros presentes no documento.</v>
      </c>
      <c r="F14" s="54" t="s">
        <v>500</v>
      </c>
      <c r="G14" s="55" t="s">
        <v>501</v>
      </c>
      <c r="H14" s="55" t="s">
        <v>502</v>
      </c>
      <c r="I14" s="55" t="s">
        <v>503</v>
      </c>
      <c r="J14" s="55" t="s">
        <v>504</v>
      </c>
      <c r="K14" s="55" t="s">
        <v>505</v>
      </c>
      <c r="L14" s="55" t="s">
        <v>506</v>
      </c>
      <c r="M14" s="61"/>
      <c r="N14" s="56" t="s">
        <v>507</v>
      </c>
      <c r="O14" s="56" t="s">
        <v>378</v>
      </c>
      <c r="P14" s="56" t="s">
        <v>379</v>
      </c>
      <c r="Q14" s="57"/>
      <c r="R14" s="56" t="s">
        <v>380</v>
      </c>
    </row>
    <row r="15" ht="19.5" customHeight="1">
      <c r="A15" s="11" t="s">
        <v>508</v>
      </c>
      <c r="B15" s="11">
        <v>1.0</v>
      </c>
      <c r="C15" s="11" t="s">
        <v>186</v>
      </c>
      <c r="D15" s="11" t="str">
        <f t="array" ref="D15">IFERROR(INDEX(DOCUMENTOS!$E:$E,MATCH($B15,DOCUMENTOS!$A:$A,0)),"")</f>
        <v>Planilha Mapa Comparativo de Preços</v>
      </c>
      <c r="E15" s="11" t="str">
        <f t="array" ref="E15">IFERROR(INDEX('BANCO DE PERGUNTAS'!$D:$D,MATCH($C15,'BANCO DE PERGUNTAS'!$A:$A,0)),"")</f>
        <v>Liste as obrigações ou responsabilidades estabelecidas.</v>
      </c>
      <c r="F15" s="54" t="s">
        <v>515</v>
      </c>
      <c r="G15" s="55" t="s">
        <v>516</v>
      </c>
      <c r="H15" s="61"/>
      <c r="I15" s="61"/>
      <c r="J15" s="55" t="s">
        <v>517</v>
      </c>
      <c r="K15" s="55" t="s">
        <v>518</v>
      </c>
      <c r="L15" s="55" t="s">
        <v>519</v>
      </c>
      <c r="M15" s="61"/>
      <c r="N15" s="56" t="s">
        <v>520</v>
      </c>
      <c r="O15" s="56" t="s">
        <v>378</v>
      </c>
      <c r="P15" s="56" t="s">
        <v>379</v>
      </c>
      <c r="Q15" s="57"/>
      <c r="R15" s="56" t="s">
        <v>380</v>
      </c>
    </row>
    <row r="16" ht="18.75" customHeight="1">
      <c r="A16" s="14" t="s">
        <v>521</v>
      </c>
      <c r="B16" s="14">
        <v>1.0</v>
      </c>
      <c r="C16" s="14" t="s">
        <v>190</v>
      </c>
      <c r="D16" s="14" t="str">
        <f t="array" ref="D16">IFERROR(INDEX(DOCUMENTOS!$E:$E,MATCH($B16,DOCUMENTOS!$A:$A,0)),"")</f>
        <v>Planilha Mapa Comparativo de Preços</v>
      </c>
      <c r="E16" s="14" t="str">
        <f t="array" ref="E16">IFERROR(INDEX('BANCO DE PERGUNTAS'!$D:$D,MATCH($C16,'BANCO DE PERGUNTAS'!$A:$A,0)),"")</f>
        <v>Explique o significado da cláusula/seção 4.1.4..</v>
      </c>
      <c r="F16" s="54" t="s">
        <v>524</v>
      </c>
      <c r="G16" s="55" t="s">
        <v>525</v>
      </c>
      <c r="H16" s="55" t="s">
        <v>526</v>
      </c>
      <c r="I16" s="55" t="s">
        <v>527</v>
      </c>
      <c r="J16" s="55" t="s">
        <v>528</v>
      </c>
      <c r="K16" s="55" t="s">
        <v>529</v>
      </c>
      <c r="L16" s="55" t="s">
        <v>530</v>
      </c>
      <c r="M16" s="55" t="s">
        <v>531</v>
      </c>
      <c r="N16" s="56" t="s">
        <v>532</v>
      </c>
      <c r="O16" s="56" t="s">
        <v>378</v>
      </c>
      <c r="P16" s="56" t="s">
        <v>379</v>
      </c>
      <c r="Q16" s="57"/>
      <c r="R16" s="56" t="s">
        <v>380</v>
      </c>
    </row>
    <row r="17" ht="16.5" customHeight="1">
      <c r="A17" s="11" t="s">
        <v>535</v>
      </c>
      <c r="B17" s="11">
        <v>1.0</v>
      </c>
      <c r="C17" s="11" t="s">
        <v>199</v>
      </c>
      <c r="D17" s="11" t="str">
        <f t="array" ref="D17">IFERROR(INDEX(DOCUMENTOS!$E:$E,MATCH($B17,DOCUMENTOS!$A:$A,0)),"")</f>
        <v>Planilha Mapa Comparativo de Preços</v>
      </c>
      <c r="E17" s="11" t="str">
        <f t="array" ref="E17">IFERROR(INDEX('BANCO DE PERGUNTAS'!$D:$D,MATCH($C17,'BANCO DE PERGUNTAS'!$A:$A,0)),"")</f>
        <v>Qual é a finalidade administrativa deste documento?</v>
      </c>
      <c r="F17" s="54" t="s">
        <v>536</v>
      </c>
      <c r="G17" s="55" t="s">
        <v>537</v>
      </c>
      <c r="H17" s="61"/>
      <c r="I17" s="61"/>
      <c r="J17" s="55" t="s">
        <v>538</v>
      </c>
      <c r="K17" s="55" t="s">
        <v>455</v>
      </c>
      <c r="L17" s="55" t="s">
        <v>539</v>
      </c>
      <c r="M17" s="61"/>
      <c r="N17" s="56" t="s">
        <v>540</v>
      </c>
      <c r="O17" s="56" t="s">
        <v>378</v>
      </c>
      <c r="P17" s="56" t="s">
        <v>379</v>
      </c>
      <c r="Q17" s="57"/>
      <c r="R17" s="56" t="s">
        <v>380</v>
      </c>
    </row>
    <row r="18" ht="18.75" customHeight="1">
      <c r="A18" s="14" t="s">
        <v>541</v>
      </c>
      <c r="B18" s="14">
        <v>1.0</v>
      </c>
      <c r="C18" s="14" t="s">
        <v>203</v>
      </c>
      <c r="D18" s="14" t="str">
        <f t="array" ref="D18">IFERROR(INDEX(DOCUMENTOS!$E:$E,MATCH($B18,DOCUMENTOS!$A:$A,0)),"")</f>
        <v>Planilha Mapa Comparativo de Preços</v>
      </c>
      <c r="E18" s="14" t="str">
        <f t="array" ref="E18">IFERROR(INDEX('BANCO DE PERGUNTAS'!$D:$D,MATCH($C18,'BANCO DE PERGUNTAS'!$A:$A,0)),"")</f>
        <v>Qual consequência decorre da informação estabelecida em 4.11?</v>
      </c>
      <c r="F18" s="54" t="s">
        <v>543</v>
      </c>
      <c r="G18" s="55" t="s">
        <v>544</v>
      </c>
      <c r="H18" s="55" t="s">
        <v>545</v>
      </c>
      <c r="I18" s="55" t="s">
        <v>546</v>
      </c>
      <c r="J18" s="55" t="s">
        <v>547</v>
      </c>
      <c r="K18" s="55" t="s">
        <v>548</v>
      </c>
      <c r="L18" s="55" t="s">
        <v>549</v>
      </c>
      <c r="M18" s="55" t="s">
        <v>550</v>
      </c>
      <c r="N18" s="56" t="s">
        <v>551</v>
      </c>
      <c r="O18" s="56" t="s">
        <v>378</v>
      </c>
      <c r="P18" s="56" t="s">
        <v>379</v>
      </c>
      <c r="Q18" s="57"/>
      <c r="R18" s="56" t="s">
        <v>380</v>
      </c>
    </row>
    <row r="19" ht="20.25" customHeight="1">
      <c r="A19" s="11" t="s">
        <v>552</v>
      </c>
      <c r="B19" s="11">
        <v>1.0</v>
      </c>
      <c r="C19" s="11" t="s">
        <v>208</v>
      </c>
      <c r="D19" s="11" t="str">
        <f t="array" ref="D19">IFERROR(INDEX(DOCUMENTOS!$E:$E,MATCH($B19,DOCUMENTOS!$A:$A,0)),"")</f>
        <v>Planilha Mapa Comparativo de Preços</v>
      </c>
      <c r="E19" s="11" t="str">
        <f t="array" ref="E19">IFERROR(INDEX('BANCO DE PERGUNTAS'!$D:$D,MATCH($C19,'BANCO DE PERGUNTAS'!$A:$A,0)),"")</f>
        <v>Existem informações aparentemente inconsistentes dentro do documento?</v>
      </c>
      <c r="F19" s="54" t="s">
        <v>553</v>
      </c>
      <c r="G19" s="55" t="s">
        <v>554</v>
      </c>
      <c r="H19" s="55" t="s">
        <v>556</v>
      </c>
      <c r="I19" s="55" t="s">
        <v>557</v>
      </c>
      <c r="J19" s="55" t="s">
        <v>558</v>
      </c>
      <c r="K19" s="55" t="s">
        <v>559</v>
      </c>
      <c r="L19" s="55" t="s">
        <v>560</v>
      </c>
      <c r="M19" s="55" t="s">
        <v>561</v>
      </c>
      <c r="N19" s="56" t="s">
        <v>562</v>
      </c>
      <c r="O19" s="56" t="s">
        <v>378</v>
      </c>
      <c r="P19" s="56" t="s">
        <v>379</v>
      </c>
      <c r="Q19" s="57"/>
      <c r="R19" s="56" t="s">
        <v>380</v>
      </c>
    </row>
    <row r="20" ht="15.75" customHeight="1">
      <c r="A20" s="14" t="s">
        <v>563</v>
      </c>
      <c r="B20" s="14">
        <v>1.0</v>
      </c>
      <c r="C20" s="14" t="s">
        <v>215</v>
      </c>
      <c r="D20" s="14" t="str">
        <f t="array" ref="D20">IFERROR(INDEX(DOCUMENTOS!$E:$E,MATCH($B20,DOCUMENTOS!$A:$A,0)),"")</f>
        <v>Planilha Mapa Comparativo de Preços</v>
      </c>
      <c r="E20" s="14" t="str">
        <f t="array" ref="E20">IFERROR(INDEX('BANCO DE PERGUNTAS'!$D:$D,MATCH($C20,'BANCO DE PERGUNTAS'!$A:$A,0)),"")</f>
        <v>Existem valores, datas, números ou informações aparentemente incompatíveis?</v>
      </c>
      <c r="F20" s="54" t="s">
        <v>566</v>
      </c>
      <c r="G20" s="55" t="s">
        <v>567</v>
      </c>
      <c r="H20" s="55" t="s">
        <v>568</v>
      </c>
      <c r="I20" s="61"/>
      <c r="J20" s="55" t="s">
        <v>569</v>
      </c>
      <c r="K20" s="55" t="s">
        <v>570</v>
      </c>
      <c r="L20" s="55" t="s">
        <v>571</v>
      </c>
      <c r="M20" s="61"/>
      <c r="N20" s="56" t="s">
        <v>572</v>
      </c>
      <c r="O20" s="56" t="s">
        <v>378</v>
      </c>
      <c r="P20" s="56" t="s">
        <v>379</v>
      </c>
      <c r="Q20" s="57"/>
      <c r="R20" s="56" t="s">
        <v>380</v>
      </c>
    </row>
    <row r="21" ht="17.25" customHeight="1">
      <c r="A21" s="11" t="s">
        <v>573</v>
      </c>
      <c r="B21" s="11">
        <v>1.0</v>
      </c>
      <c r="C21" s="11" t="s">
        <v>219</v>
      </c>
      <c r="D21" s="11" t="str">
        <f t="array" ref="D21">IFERROR(INDEX(DOCUMENTOS!$E:$E,MATCH($B21,DOCUMENTOS!$A:$A,0)),"")</f>
        <v>Planilha Mapa Comparativo de Preços</v>
      </c>
      <c r="E21" s="11" t="str">
        <f t="array" ref="E21">IFERROR(INDEX('BANCO DE PERGUNTAS'!$D:$D,MATCH($C21,'BANCO DE PERGUNTAS'!$A:$A,0)),"")</f>
        <v>Existem informações relevantes ausentes?</v>
      </c>
      <c r="F21" s="54" t="s">
        <v>577</v>
      </c>
      <c r="G21" s="55" t="s">
        <v>578</v>
      </c>
      <c r="H21" s="55" t="s">
        <v>568</v>
      </c>
      <c r="I21" s="61"/>
      <c r="J21" s="55" t="s">
        <v>579</v>
      </c>
      <c r="K21" s="55" t="s">
        <v>580</v>
      </c>
      <c r="L21" s="55" t="s">
        <v>581</v>
      </c>
      <c r="M21" s="61"/>
      <c r="N21" s="56" t="s">
        <v>582</v>
      </c>
      <c r="O21" s="56" t="s">
        <v>378</v>
      </c>
      <c r="P21" s="56" t="s">
        <v>379</v>
      </c>
      <c r="Q21" s="57"/>
      <c r="R21" s="56" t="s">
        <v>380</v>
      </c>
    </row>
    <row r="22" ht="16.5" customHeight="1">
      <c r="A22" s="14" t="s">
        <v>583</v>
      </c>
      <c r="B22" s="14">
        <v>1.0</v>
      </c>
      <c r="C22" s="14" t="s">
        <v>226</v>
      </c>
      <c r="D22" s="14" t="str">
        <f t="array" ref="D22">IFERROR(INDEX(DOCUMENTOS!$E:$E,MATCH($B22,DOCUMENTOS!$A:$A,0)),"")</f>
        <v>Planilha Mapa Comparativo de Preços</v>
      </c>
      <c r="E22" s="14" t="str">
        <f t="array" ref="E22">IFERROR(INDEX('BANCO DE PERGUNTAS'!$D:$D,MATCH($C22,'BANCO DE PERGUNTAS'!$A:$A,0)),"")</f>
        <v>Identifique possíveis erros materiais no documento.</v>
      </c>
      <c r="F22" s="54" t="s">
        <v>585</v>
      </c>
      <c r="G22" s="55" t="s">
        <v>586</v>
      </c>
      <c r="H22" s="55" t="s">
        <v>587</v>
      </c>
      <c r="I22" s="61"/>
      <c r="J22" s="55" t="s">
        <v>588</v>
      </c>
      <c r="K22" s="55" t="s">
        <v>589</v>
      </c>
      <c r="L22" s="55" t="s">
        <v>590</v>
      </c>
      <c r="M22" s="61"/>
      <c r="N22" s="56" t="s">
        <v>591</v>
      </c>
      <c r="O22" s="56" t="s">
        <v>378</v>
      </c>
      <c r="P22" s="56" t="s">
        <v>379</v>
      </c>
      <c r="Q22" s="57"/>
      <c r="R22" s="56" t="s">
        <v>380</v>
      </c>
    </row>
    <row r="23" ht="18.0" customHeight="1">
      <c r="A23" s="11" t="s">
        <v>592</v>
      </c>
      <c r="B23" s="11">
        <v>1.0</v>
      </c>
      <c r="C23" s="11" t="s">
        <v>232</v>
      </c>
      <c r="D23" s="11" t="str">
        <f t="array" ref="D23">IFERROR(INDEX(DOCUMENTOS!$E:$E,MATCH($B23,DOCUMENTOS!$A:$A,0)),"")</f>
        <v>Planilha Mapa Comparativo de Preços</v>
      </c>
      <c r="E23" s="11" t="str">
        <f t="array" ref="E23">IFERROR(INDEX('BANCO DE PERGUNTAS'!$D:$D,MATCH($C23,'BANCO DE PERGUNTAS'!$A:$A,0)),"")</f>
        <v>Existem informações que deveriam ser verificadas por um servidor antes da utilização do documento?</v>
      </c>
      <c r="F23" s="54" t="s">
        <v>593</v>
      </c>
      <c r="G23" s="61"/>
      <c r="H23" s="61"/>
      <c r="I23" s="61"/>
      <c r="J23" s="55" t="s">
        <v>595</v>
      </c>
      <c r="K23" s="55" t="s">
        <v>596</v>
      </c>
      <c r="L23" s="55" t="s">
        <v>597</v>
      </c>
      <c r="M23" s="61"/>
      <c r="N23" s="56" t="s">
        <v>598</v>
      </c>
      <c r="O23" s="56" t="s">
        <v>378</v>
      </c>
      <c r="P23" s="56" t="s">
        <v>379</v>
      </c>
      <c r="Q23" s="57"/>
      <c r="R23" s="56" t="s">
        <v>380</v>
      </c>
    </row>
    <row r="24" ht="19.5" customHeight="1">
      <c r="A24" s="14" t="s">
        <v>599</v>
      </c>
      <c r="B24" s="14">
        <v>1.0</v>
      </c>
      <c r="C24" s="14" t="s">
        <v>240</v>
      </c>
      <c r="D24" s="14" t="str">
        <f t="array" ref="D24">IFERROR(INDEX(DOCUMENTOS!$E:$E,MATCH($B24,DOCUMENTOS!$A:$A,0)),"")</f>
        <v>Planilha Mapa Comparativo de Preços</v>
      </c>
      <c r="E24" s="14" t="str">
        <f t="array" ref="E24">IFERROR(INDEX('BANCO DE PERGUNTAS'!$D:$D,MATCH($C24,'BANCO DE PERGUNTAS'!$A:$A,0)),"")</f>
        <v>Existem elementos que indiquem possível desconformidade com os próprios requisitos apresentados no documento?</v>
      </c>
      <c r="F24" s="54" t="s">
        <v>603</v>
      </c>
      <c r="G24" s="55" t="s">
        <v>604</v>
      </c>
      <c r="H24" s="55" t="s">
        <v>605</v>
      </c>
      <c r="I24" s="61"/>
      <c r="J24" s="55" t="s">
        <v>606</v>
      </c>
      <c r="K24" s="55" t="s">
        <v>607</v>
      </c>
      <c r="L24" s="55" t="s">
        <v>608</v>
      </c>
      <c r="M24" s="61"/>
      <c r="N24" s="56" t="s">
        <v>609</v>
      </c>
      <c r="O24" s="56" t="s">
        <v>378</v>
      </c>
      <c r="P24" s="56" t="s">
        <v>379</v>
      </c>
      <c r="Q24" s="57"/>
      <c r="R24" s="56" t="s">
        <v>380</v>
      </c>
    </row>
    <row r="25" ht="16.5" customHeight="1">
      <c r="A25" s="11" t="s">
        <v>611</v>
      </c>
      <c r="B25" s="11">
        <v>1.0</v>
      </c>
      <c r="C25" s="11" t="s">
        <v>247</v>
      </c>
      <c r="D25" s="11" t="str">
        <f t="array" ref="D25">IFERROR(INDEX(DOCUMENTOS!$E:$E,MATCH($B25,DOCUMENTOS!$A:$A,0)),"")</f>
        <v>Planilha Mapa Comparativo de Preços</v>
      </c>
      <c r="E25" s="11" t="str">
        <f t="array" ref="E25">IFERROR(INDEX('BANCO DE PERGUNTAS'!$D:$D,MATCH($C25,'BANCO DE PERGUNTAS'!$A:$A,0)),"")</f>
        <v>Quais requisitos estão explicitamente presentes?</v>
      </c>
      <c r="F25" s="54" t="s">
        <v>633</v>
      </c>
      <c r="G25" s="55" t="s">
        <v>634</v>
      </c>
      <c r="H25" s="61"/>
      <c r="I25" s="61"/>
      <c r="J25" s="55" t="s">
        <v>635</v>
      </c>
      <c r="K25" s="55" t="s">
        <v>636</v>
      </c>
      <c r="L25" s="55" t="s">
        <v>637</v>
      </c>
      <c r="M25" s="61"/>
      <c r="N25" s="56" t="s">
        <v>638</v>
      </c>
      <c r="O25" s="56" t="s">
        <v>378</v>
      </c>
      <c r="P25" s="56" t="s">
        <v>379</v>
      </c>
      <c r="Q25" s="57"/>
      <c r="R25" s="56" t="s">
        <v>380</v>
      </c>
    </row>
    <row r="26" ht="18.0" customHeight="1">
      <c r="A26" s="14" t="s">
        <v>639</v>
      </c>
      <c r="B26" s="14">
        <v>1.0</v>
      </c>
      <c r="C26" s="14" t="s">
        <v>252</v>
      </c>
      <c r="D26" s="14" t="str">
        <f t="array" ref="D26">IFERROR(INDEX(DOCUMENTOS!$E:$E,MATCH($B26,DOCUMENTOS!$A:$A,0)),"")</f>
        <v>Planilha Mapa Comparativo de Preços</v>
      </c>
      <c r="E26" s="14" t="str">
        <f t="array" ref="E26">IFERROR(INDEX('BANCO DE PERGUNTAS'!$D:$D,MATCH($C26,'BANCO DE PERGUNTAS'!$A:$A,0)),"")</f>
        <v>Quais informações necessárias parecem estar ausentes?</v>
      </c>
      <c r="F26" s="54" t="s">
        <v>640</v>
      </c>
      <c r="G26" s="61"/>
      <c r="H26" s="61"/>
      <c r="I26" s="61"/>
      <c r="J26" s="55" t="s">
        <v>641</v>
      </c>
      <c r="K26" s="55" t="s">
        <v>642</v>
      </c>
      <c r="L26" s="55" t="s">
        <v>643</v>
      </c>
      <c r="M26" s="61"/>
      <c r="N26" s="56" t="s">
        <v>644</v>
      </c>
      <c r="O26" s="56" t="s">
        <v>378</v>
      </c>
      <c r="P26" s="56" t="s">
        <v>379</v>
      </c>
      <c r="Q26" s="57"/>
      <c r="R26" s="56" t="s">
        <v>380</v>
      </c>
    </row>
    <row r="27" ht="15.75" customHeight="1">
      <c r="A27" s="11" t="s">
        <v>645</v>
      </c>
      <c r="B27" s="11">
        <v>1.0</v>
      </c>
      <c r="C27" s="11" t="s">
        <v>257</v>
      </c>
      <c r="D27" s="11" t="str">
        <f t="array" ref="D27">IFERROR(INDEX(DOCUMENTOS!$E:$E,MATCH($B27,DOCUMENTOS!$A:$A,0)),"")</f>
        <v>Planilha Mapa Comparativo de Preços</v>
      </c>
      <c r="E27" s="11" t="str">
        <f t="array" ref="E27">IFERROR(INDEX('BANCO DE PERGUNTAS'!$D:$D,MATCH($C27,'BANCO DE PERGUNTAS'!$A:$A,0)),"")</f>
        <v>Existem informações conflitantes com outro documento relacionado?</v>
      </c>
      <c r="F27" s="54" t="s">
        <v>650</v>
      </c>
      <c r="G27" s="55" t="s">
        <v>651</v>
      </c>
      <c r="H27" s="55" t="s">
        <v>652</v>
      </c>
      <c r="I27" s="55" t="s">
        <v>653</v>
      </c>
      <c r="J27" s="55" t="s">
        <v>654</v>
      </c>
      <c r="K27" s="55" t="s">
        <v>655</v>
      </c>
      <c r="L27" s="55" t="s">
        <v>656</v>
      </c>
      <c r="M27" s="61"/>
      <c r="N27" s="56" t="s">
        <v>658</v>
      </c>
      <c r="O27" s="56" t="s">
        <v>378</v>
      </c>
      <c r="P27" s="56" t="s">
        <v>379</v>
      </c>
      <c r="Q27" s="57"/>
      <c r="R27" s="56" t="s">
        <v>659</v>
      </c>
    </row>
    <row r="28" ht="15.75" customHeight="1">
      <c r="A28" s="14" t="s">
        <v>660</v>
      </c>
      <c r="B28" s="14">
        <v>1.0</v>
      </c>
      <c r="C28" s="14" t="s">
        <v>264</v>
      </c>
      <c r="D28" s="14" t="str">
        <f t="array" ref="D28">IFERROR(INDEX(DOCUMENTOS!$E:$E,MATCH($B28,DOCUMENTOS!$A:$A,0)),"")</f>
        <v>Planilha Mapa Comparativo de Preços</v>
      </c>
      <c r="E28" s="14" t="str">
        <f t="array" ref="E28">IFERROR(INDEX('BANCO DE PERGUNTAS'!$D:$D,MATCH($C28,'BANCO DE PERGUNTAS'!$A:$A,0)),"")</f>
        <v>Quais diferenças existem entre os documentos?</v>
      </c>
      <c r="F28" s="54" t="s">
        <v>662</v>
      </c>
      <c r="G28" s="55" t="s">
        <v>663</v>
      </c>
      <c r="H28" s="61"/>
      <c r="I28" s="61"/>
      <c r="J28" s="55" t="s">
        <v>664</v>
      </c>
      <c r="K28" s="55" t="s">
        <v>665</v>
      </c>
      <c r="L28" s="55" t="s">
        <v>666</v>
      </c>
      <c r="M28" s="61"/>
      <c r="N28" s="56" t="s">
        <v>667</v>
      </c>
      <c r="O28" s="56" t="s">
        <v>378</v>
      </c>
      <c r="P28" s="56" t="s">
        <v>379</v>
      </c>
      <c r="Q28" s="57"/>
      <c r="R28" s="56" t="s">
        <v>659</v>
      </c>
    </row>
    <row r="29" ht="15.75" customHeight="1">
      <c r="A29" s="11" t="s">
        <v>668</v>
      </c>
      <c r="B29" s="11">
        <v>1.0</v>
      </c>
      <c r="C29" s="11" t="s">
        <v>269</v>
      </c>
      <c r="D29" s="11" t="str">
        <f t="array" ref="D29">IFERROR(INDEX(DOCUMENTOS!$E:$E,MATCH($B29,DOCUMENTOS!$A:$A,0)),"")</f>
        <v>Planilha Mapa Comparativo de Preços</v>
      </c>
      <c r="E29" s="11" t="str">
        <f t="array" ref="E29">IFERROR(INDEX('BANCO DE PERGUNTAS'!$D:$D,MATCH($C29,'BANCO DE PERGUNTAS'!$A:$A,0)),"")</f>
        <v>Quais informações foram alteradas?</v>
      </c>
      <c r="F29" s="54" t="s">
        <v>672</v>
      </c>
      <c r="G29" s="55" t="s">
        <v>674</v>
      </c>
      <c r="H29" s="61"/>
      <c r="I29" s="61"/>
      <c r="J29" s="55" t="s">
        <v>675</v>
      </c>
      <c r="K29" s="55" t="s">
        <v>676</v>
      </c>
      <c r="L29" s="55" t="s">
        <v>677</v>
      </c>
      <c r="M29" s="61"/>
      <c r="N29" s="56" t="s">
        <v>678</v>
      </c>
      <c r="O29" s="56" t="s">
        <v>378</v>
      </c>
      <c r="P29" s="56" t="s">
        <v>379</v>
      </c>
      <c r="Q29" s="57"/>
      <c r="R29" s="56" t="s">
        <v>659</v>
      </c>
    </row>
    <row r="30" ht="15.75" customHeight="1">
      <c r="A30" s="14" t="s">
        <v>679</v>
      </c>
      <c r="B30" s="14">
        <v>1.0</v>
      </c>
      <c r="C30" s="14" t="s">
        <v>276</v>
      </c>
      <c r="D30" s="14" t="str">
        <f t="array" ref="D30">IFERROR(INDEX(DOCUMENTOS!$E:$E,MATCH($B30,DOCUMENTOS!$A:$A,0)),"")</f>
        <v>Planilha Mapa Comparativo de Preços</v>
      </c>
      <c r="E30" s="14" t="str">
        <f t="array" ref="E30">IFERROR(INDEX('BANCO DE PERGUNTAS'!$D:$D,MATCH($C30,'BANCO DE PERGUNTAS'!$A:$A,0)),"")</f>
        <v>Identifique possíveis pontos de atenção administrativa.</v>
      </c>
      <c r="F30" s="54" t="s">
        <v>683</v>
      </c>
      <c r="G30" s="61"/>
      <c r="H30" s="61"/>
      <c r="I30" s="61"/>
      <c r="J30" s="55" t="s">
        <v>684</v>
      </c>
      <c r="K30" s="55" t="s">
        <v>685</v>
      </c>
      <c r="L30" s="55" t="s">
        <v>686</v>
      </c>
      <c r="M30" s="61"/>
      <c r="N30" s="56" t="s">
        <v>687</v>
      </c>
      <c r="O30" s="56" t="s">
        <v>378</v>
      </c>
      <c r="P30" s="56" t="s">
        <v>379</v>
      </c>
      <c r="Q30" s="57"/>
      <c r="R30" s="56" t="s">
        <v>380</v>
      </c>
    </row>
    <row r="31" ht="15.75" customHeight="1">
      <c r="A31" s="11" t="s">
        <v>688</v>
      </c>
      <c r="B31" s="11">
        <v>1.0</v>
      </c>
      <c r="C31" s="11" t="s">
        <v>284</v>
      </c>
      <c r="D31" s="11" t="str">
        <f t="array" ref="D31">IFERROR(INDEX(DOCUMENTOS!$E:$E,MATCH($B31,DOCUMENTOS!$A:$A,0)),"")</f>
        <v>Planilha Mapa Comparativo de Preços</v>
      </c>
      <c r="E31" s="11" t="str">
        <f t="array" ref="E31">IFERROR(INDEX('BANCO DE PERGUNTAS'!$D:$D,MATCH($C31,'BANCO DE PERGUNTAS'!$A:$A,0)),"")</f>
        <v>Quais informações deveriam ser verificadas antes de uma decisão administrativa?</v>
      </c>
      <c r="F31" s="54" t="s">
        <v>689</v>
      </c>
      <c r="G31" s="61"/>
      <c r="H31" s="61"/>
      <c r="I31" s="61"/>
      <c r="J31" s="55" t="s">
        <v>690</v>
      </c>
      <c r="K31" s="55" t="s">
        <v>596</v>
      </c>
      <c r="L31" s="55" t="s">
        <v>691</v>
      </c>
      <c r="M31" s="61"/>
      <c r="N31" s="56" t="s">
        <v>692</v>
      </c>
      <c r="O31" s="56" t="s">
        <v>378</v>
      </c>
      <c r="P31" s="56" t="s">
        <v>379</v>
      </c>
      <c r="Q31" s="57"/>
      <c r="R31" s="56" t="s">
        <v>380</v>
      </c>
    </row>
    <row r="32" ht="15.75" customHeight="1">
      <c r="A32" s="14" t="s">
        <v>693</v>
      </c>
      <c r="B32" s="14">
        <v>1.0</v>
      </c>
      <c r="C32" s="14" t="s">
        <v>288</v>
      </c>
      <c r="D32" s="14" t="str">
        <f t="array" ref="D32">IFERROR(INDEX(DOCUMENTOS!$E:$E,MATCH($B32,DOCUMENTOS!$A:$A,0)),"")</f>
        <v>Planilha Mapa Comparativo de Preços</v>
      </c>
      <c r="E32" s="14" t="str">
        <f t="array" ref="E32">IFERROR(INDEX('BANCO DE PERGUNTAS'!$D:$D,MATCH($C32,'BANCO DE PERGUNTAS'!$A:$A,0)),"")</f>
        <v>Identifique situações que possam representar risco administrativo.</v>
      </c>
      <c r="F32" s="54" t="s">
        <v>697</v>
      </c>
      <c r="G32" s="61"/>
      <c r="H32" s="61"/>
      <c r="I32" s="61"/>
      <c r="J32" s="55" t="s">
        <v>698</v>
      </c>
      <c r="K32" s="55" t="s">
        <v>699</v>
      </c>
      <c r="L32" s="55" t="s">
        <v>590</v>
      </c>
      <c r="M32" s="61"/>
      <c r="N32" s="56" t="s">
        <v>700</v>
      </c>
      <c r="O32" s="56" t="s">
        <v>378</v>
      </c>
      <c r="P32" s="56" t="s">
        <v>379</v>
      </c>
      <c r="Q32" s="57"/>
      <c r="R32" s="56" t="s">
        <v>380</v>
      </c>
    </row>
    <row r="33" ht="15.75" customHeight="1">
      <c r="A33" s="11" t="s">
        <v>702</v>
      </c>
      <c r="B33" s="11">
        <v>1.0</v>
      </c>
      <c r="C33" s="11" t="s">
        <v>294</v>
      </c>
      <c r="D33" s="11" t="str">
        <f t="array" ref="D33">IFERROR(INDEX(DOCUMENTOS!$E:$E,MATCH($B33,DOCUMENTOS!$A:$A,0)),"")</f>
        <v>Planilha Mapa Comparativo de Preços</v>
      </c>
      <c r="E33" s="11" t="str">
        <f t="array" ref="E33">IFERROR(INDEX('BANCO DE PERGUNTAS'!$D:$D,MATCH($C33,'BANCO DE PERGUNTAS'!$A:$A,0)),"")</f>
        <v>Resuma o documento em até cinco pontos objetivos.</v>
      </c>
      <c r="F33" s="54" t="s">
        <v>705</v>
      </c>
      <c r="G33" s="55" t="s">
        <v>706</v>
      </c>
      <c r="H33" s="61"/>
      <c r="I33" s="61"/>
      <c r="J33" s="55" t="s">
        <v>707</v>
      </c>
      <c r="K33" s="55" t="s">
        <v>708</v>
      </c>
      <c r="L33" s="55" t="s">
        <v>539</v>
      </c>
      <c r="M33" s="61"/>
      <c r="N33" s="56" t="s">
        <v>709</v>
      </c>
      <c r="O33" s="56" t="s">
        <v>378</v>
      </c>
      <c r="P33" s="56" t="s">
        <v>379</v>
      </c>
      <c r="Q33" s="57"/>
      <c r="R33" s="56" t="s">
        <v>380</v>
      </c>
    </row>
    <row r="34" ht="15.75" customHeight="1">
      <c r="A34" s="14" t="s">
        <v>710</v>
      </c>
      <c r="B34" s="14">
        <v>1.0</v>
      </c>
      <c r="C34" s="14" t="s">
        <v>302</v>
      </c>
      <c r="D34" s="14" t="str">
        <f t="array" ref="D34">IFERROR(INDEX(DOCUMENTOS!$E:$E,MATCH($B34,DOCUMENTOS!$A:$A,0)),"")</f>
        <v>Planilha Mapa Comparativo de Preços</v>
      </c>
      <c r="E34" s="14" t="str">
        <f t="array" ref="E34">IFERROR(INDEX('BANCO DE PERGUNTAS'!$D:$D,MATCH($C34,'BANCO DE PERGUNTAS'!$A:$A,0)),"")</f>
        <v>Qual é a principal finalidade do documento?</v>
      </c>
      <c r="F34" s="54" t="s">
        <v>712</v>
      </c>
      <c r="G34" s="61"/>
      <c r="H34" s="61"/>
      <c r="I34" s="61"/>
      <c r="J34" s="55" t="s">
        <v>713</v>
      </c>
      <c r="K34" s="55" t="s">
        <v>374</v>
      </c>
      <c r="L34" s="55" t="s">
        <v>539</v>
      </c>
      <c r="M34" s="61"/>
      <c r="N34" s="56" t="s">
        <v>714</v>
      </c>
      <c r="O34" s="56" t="s">
        <v>378</v>
      </c>
      <c r="P34" s="56" t="s">
        <v>379</v>
      </c>
      <c r="Q34" s="57"/>
      <c r="R34" s="56" t="s">
        <v>380</v>
      </c>
    </row>
    <row r="35" ht="15.75" customHeight="1">
      <c r="A35" s="11" t="s">
        <v>715</v>
      </c>
      <c r="B35" s="11">
        <v>1.0</v>
      </c>
      <c r="C35" s="11" t="s">
        <v>307</v>
      </c>
      <c r="D35" s="11" t="str">
        <f t="array" ref="D35">IFERROR(INDEX(DOCUMENTOS!$E:$E,MATCH($B35,DOCUMENTOS!$A:$A,0)),"")</f>
        <v>Planilha Mapa Comparativo de Preços</v>
      </c>
      <c r="E35" s="11" t="str">
        <f t="array" ref="E35">IFERROR(INDEX('BANCO DE PERGUNTAS'!$D:$D,MATCH($C35,'BANCO DE PERGUNTAS'!$A:$A,0)),"")</f>
        <v>Quais são as três informações mais importantes para um servidor responsável pela análise?</v>
      </c>
      <c r="F35" s="54" t="s">
        <v>719</v>
      </c>
      <c r="G35" s="61"/>
      <c r="H35" s="61"/>
      <c r="I35" s="61"/>
      <c r="J35" s="55" t="s">
        <v>720</v>
      </c>
      <c r="K35" s="55" t="s">
        <v>721</v>
      </c>
      <c r="L35" s="55" t="s">
        <v>722</v>
      </c>
      <c r="M35" s="61"/>
      <c r="N35" s="56" t="s">
        <v>723</v>
      </c>
      <c r="O35" s="56" t="s">
        <v>378</v>
      </c>
      <c r="P35" s="56" t="s">
        <v>379</v>
      </c>
      <c r="Q35" s="57"/>
      <c r="R35" s="56" t="s">
        <v>380</v>
      </c>
    </row>
    <row r="36" ht="15.75" customHeight="1">
      <c r="A36" s="14" t="s">
        <v>724</v>
      </c>
      <c r="B36" s="14">
        <v>2.0</v>
      </c>
      <c r="C36" s="14" t="s">
        <v>33</v>
      </c>
      <c r="D36" s="14" t="str">
        <f t="array" ref="D36">IFERROR(INDEX(DOCUMENTOS!$E:$E,MATCH($B36,DOCUMENTOS!$A:$A,0)),"")</f>
        <v>Relatório Pesquisa de Preço - Banco de Preços</v>
      </c>
      <c r="E36" s="14" t="str">
        <f t="array" ref="E36">IFERROR(INDEX('BANCO DE PERGUNTAS'!$D:$D,MATCH($C36,'BANCO DE PERGUNTAS'!$A:$A,0)),"")</f>
        <v>Qual é o objeto principal deste documento?</v>
      </c>
      <c r="F36" s="54" t="s">
        <v>729</v>
      </c>
      <c r="G36" s="55" t="s">
        <v>730</v>
      </c>
      <c r="H36" s="55" t="s">
        <v>731</v>
      </c>
      <c r="I36" s="55" t="s">
        <v>732</v>
      </c>
      <c r="J36" s="55" t="s">
        <v>733</v>
      </c>
      <c r="K36" s="55" t="s">
        <v>734</v>
      </c>
      <c r="L36" s="55" t="s">
        <v>735</v>
      </c>
      <c r="M36" s="55" t="s">
        <v>736</v>
      </c>
      <c r="N36" s="56" t="s">
        <v>737</v>
      </c>
      <c r="O36" s="56" t="s">
        <v>378</v>
      </c>
      <c r="P36" s="56" t="s">
        <v>379</v>
      </c>
      <c r="Q36" s="57"/>
      <c r="R36" s="56" t="s">
        <v>380</v>
      </c>
    </row>
    <row r="37" ht="15.75" customHeight="1">
      <c r="A37" s="11" t="s">
        <v>738</v>
      </c>
      <c r="B37" s="11">
        <v>2.0</v>
      </c>
      <c r="C37" s="11" t="s">
        <v>68</v>
      </c>
      <c r="D37" s="11" t="str">
        <f t="array" ref="D37">IFERROR(INDEX(DOCUMENTOS!$E:$E,MATCH($B37,DOCUMENTOS!$A:$A,0)),"")</f>
        <v>Relatório Pesquisa de Preço - Banco de Preços</v>
      </c>
      <c r="E37" s="11" t="str">
        <f t="array" ref="E37">IFERROR(INDEX('BANCO DE PERGUNTAS'!$D:$D,MATCH($C37,'BANCO DE PERGUNTAS'!$A:$A,0)),"")</f>
        <v>Qual é o número ou identificação do documento?</v>
      </c>
      <c r="F37" s="54" t="s">
        <v>739</v>
      </c>
      <c r="G37" s="55" t="s">
        <v>740</v>
      </c>
      <c r="H37" s="61"/>
      <c r="I37" s="55" t="s">
        <v>741</v>
      </c>
      <c r="J37" s="55" t="s">
        <v>742</v>
      </c>
      <c r="K37" s="55" t="s">
        <v>374</v>
      </c>
      <c r="L37" s="55" t="s">
        <v>743</v>
      </c>
      <c r="M37" s="55" t="s">
        <v>744</v>
      </c>
      <c r="N37" s="56" t="s">
        <v>745</v>
      </c>
      <c r="O37" s="56" t="s">
        <v>378</v>
      </c>
      <c r="P37" s="56" t="s">
        <v>379</v>
      </c>
      <c r="Q37" s="57"/>
      <c r="R37" s="56" t="s">
        <v>746</v>
      </c>
    </row>
    <row r="38" ht="15.75" customHeight="1">
      <c r="A38" s="14" t="s">
        <v>747</v>
      </c>
      <c r="B38" s="14">
        <v>2.0</v>
      </c>
      <c r="C38" s="14" t="s">
        <v>90</v>
      </c>
      <c r="D38" s="14" t="str">
        <f t="array" ref="D38">IFERROR(INDEX(DOCUMENTOS!$E:$E,MATCH($B38,DOCUMENTOS!$A:$A,0)),"")</f>
        <v>Relatório Pesquisa de Preço - Banco de Preços</v>
      </c>
      <c r="E38" s="14" t="str">
        <f t="array" ref="E38">IFERROR(INDEX('BANCO DE PERGUNTAS'!$D:$D,MATCH($C38,'BANCO DE PERGUNTAS'!$A:$A,0)),"")</f>
        <v>Qual é o número do processo relacionado?</v>
      </c>
      <c r="F38" s="54" t="s">
        <v>750</v>
      </c>
      <c r="G38" s="55" t="s">
        <v>395</v>
      </c>
      <c r="H38" s="61"/>
      <c r="I38" s="55" t="s">
        <v>751</v>
      </c>
      <c r="J38" s="55" t="s">
        <v>752</v>
      </c>
      <c r="K38" s="55" t="s">
        <v>374</v>
      </c>
      <c r="L38" s="55" t="s">
        <v>753</v>
      </c>
      <c r="M38" s="55" t="s">
        <v>754</v>
      </c>
      <c r="N38" s="56" t="s">
        <v>755</v>
      </c>
      <c r="O38" s="56" t="s">
        <v>378</v>
      </c>
      <c r="P38" s="56" t="s">
        <v>379</v>
      </c>
      <c r="Q38" s="57"/>
      <c r="R38" s="56" t="s">
        <v>380</v>
      </c>
    </row>
    <row r="39" ht="15.75" customHeight="1">
      <c r="A39" s="11" t="s">
        <v>757</v>
      </c>
      <c r="B39" s="11">
        <v>2.0</v>
      </c>
      <c r="C39" s="11" t="s">
        <v>103</v>
      </c>
      <c r="D39" s="11" t="str">
        <f t="array" ref="D39">IFERROR(INDEX(DOCUMENTOS!$E:$E,MATCH($B39,DOCUMENTOS!$A:$A,0)),"")</f>
        <v>Relatório Pesquisa de Preço - Banco de Preços</v>
      </c>
      <c r="E39" s="11" t="str">
        <f t="array" ref="E39">IFERROR(INDEX('BANCO DE PERGUNTAS'!$D:$D,MATCH($C39,'BANCO DE PERGUNTAS'!$A:$A,0)),"")</f>
        <v>Qual é a data do documento?</v>
      </c>
      <c r="F39" s="54" t="s">
        <v>761</v>
      </c>
      <c r="G39" s="55" t="s">
        <v>762</v>
      </c>
      <c r="H39" s="61"/>
      <c r="I39" s="55" t="s">
        <v>763</v>
      </c>
      <c r="J39" s="55" t="s">
        <v>764</v>
      </c>
      <c r="K39" s="55" t="s">
        <v>765</v>
      </c>
      <c r="L39" s="55" t="s">
        <v>766</v>
      </c>
      <c r="M39" s="61"/>
      <c r="N39" s="56" t="s">
        <v>767</v>
      </c>
      <c r="O39" s="56" t="s">
        <v>378</v>
      </c>
      <c r="P39" s="56" t="s">
        <v>379</v>
      </c>
      <c r="Q39" s="57"/>
      <c r="R39" s="56" t="s">
        <v>380</v>
      </c>
    </row>
    <row r="40" ht="15.75" customHeight="1">
      <c r="A40" s="14" t="s">
        <v>768</v>
      </c>
      <c r="B40" s="14">
        <v>2.0</v>
      </c>
      <c r="C40" s="14" t="s">
        <v>117</v>
      </c>
      <c r="D40" s="14" t="str">
        <f t="array" ref="D40">IFERROR(INDEX(DOCUMENTOS!$E:$E,MATCH($B40,DOCUMENTOS!$A:$A,0)),"")</f>
        <v>Relatório Pesquisa de Preço - Banco de Preços</v>
      </c>
      <c r="E40" s="14" t="str">
        <f t="array" ref="E40">IFERROR(INDEX('BANCO DE PERGUNTAS'!$D:$D,MATCH($C40,'BANCO DE PERGUNTAS'!$A:$A,0)),"")</f>
        <v>Qual setor ou unidade está relacionado ao documento?</v>
      </c>
      <c r="F40" s="54" t="s">
        <v>770</v>
      </c>
      <c r="G40" s="55" t="s">
        <v>771</v>
      </c>
      <c r="H40" s="55" t="s">
        <v>772</v>
      </c>
      <c r="I40" s="61"/>
      <c r="J40" s="55" t="s">
        <v>773</v>
      </c>
      <c r="K40" s="55" t="s">
        <v>374</v>
      </c>
      <c r="L40" s="55" t="s">
        <v>774</v>
      </c>
      <c r="M40" s="55" t="s">
        <v>775</v>
      </c>
      <c r="N40" s="56" t="s">
        <v>776</v>
      </c>
      <c r="O40" s="56" t="s">
        <v>378</v>
      </c>
      <c r="P40" s="56" t="s">
        <v>379</v>
      </c>
      <c r="Q40" s="57"/>
      <c r="R40" s="56" t="s">
        <v>380</v>
      </c>
    </row>
    <row r="41" ht="15.75" customHeight="1">
      <c r="A41" s="11" t="s">
        <v>777</v>
      </c>
      <c r="B41" s="11">
        <v>2.0</v>
      </c>
      <c r="C41" s="11" t="s">
        <v>131</v>
      </c>
      <c r="D41" s="11" t="str">
        <f t="array" ref="D41">IFERROR(INDEX(DOCUMENTOS!$E:$E,MATCH($B41,DOCUMENTOS!$A:$A,0)),"")</f>
        <v>Relatório Pesquisa de Preço - Banco de Preços</v>
      </c>
      <c r="E41" s="11" t="str">
        <f t="array" ref="E41">IFERROR(INDEX('BANCO DE PERGUNTAS'!$D:$D,MATCH($C41,'BANCO DE PERGUNTAS'!$A:$A,0)),"")</f>
        <v>Quais são as partes ou instituições mencionadas?</v>
      </c>
      <c r="F41" s="54" t="s">
        <v>779</v>
      </c>
      <c r="G41" s="55" t="s">
        <v>780</v>
      </c>
      <c r="H41" s="55" t="s">
        <v>568</v>
      </c>
      <c r="I41" s="61"/>
      <c r="J41" s="55" t="s">
        <v>781</v>
      </c>
      <c r="K41" s="55" t="s">
        <v>782</v>
      </c>
      <c r="L41" s="55" t="s">
        <v>783</v>
      </c>
      <c r="M41" s="61"/>
      <c r="N41" s="56" t="s">
        <v>431</v>
      </c>
      <c r="O41" s="56" t="s">
        <v>378</v>
      </c>
      <c r="P41" s="56" t="s">
        <v>379</v>
      </c>
      <c r="Q41" s="57"/>
      <c r="R41" s="56" t="s">
        <v>380</v>
      </c>
    </row>
    <row r="42" ht="15.75" customHeight="1">
      <c r="A42" s="14" t="s">
        <v>784</v>
      </c>
      <c r="B42" s="14">
        <v>2.0</v>
      </c>
      <c r="C42" s="14" t="s">
        <v>144</v>
      </c>
      <c r="D42" s="14" t="str">
        <f t="array" ref="D42">IFERROR(INDEX(DOCUMENTOS!$E:$E,MATCH($B42,DOCUMENTOS!$A:$A,0)),"")</f>
        <v>Relatório Pesquisa de Preço - Banco de Preços</v>
      </c>
      <c r="E42" s="14" t="str">
        <f t="array" ref="E42">IFERROR(INDEX('BANCO DE PERGUNTAS'!$D:$D,MATCH($C42,'BANCO DE PERGUNTAS'!$A:$A,0)),"")</f>
        <v>Qual informação específica está apresentada na seção 08?</v>
      </c>
      <c r="F42" s="54" t="s">
        <v>785</v>
      </c>
      <c r="G42" s="55" t="s">
        <v>786</v>
      </c>
      <c r="H42" s="55" t="s">
        <v>787</v>
      </c>
      <c r="I42" s="55" t="s">
        <v>788</v>
      </c>
      <c r="J42" s="55" t="s">
        <v>789</v>
      </c>
      <c r="K42" s="55" t="s">
        <v>790</v>
      </c>
      <c r="L42" s="55" t="s">
        <v>443</v>
      </c>
      <c r="M42" s="55" t="s">
        <v>791</v>
      </c>
      <c r="N42" s="56" t="s">
        <v>792</v>
      </c>
      <c r="O42" s="56" t="s">
        <v>378</v>
      </c>
      <c r="P42" s="56" t="s">
        <v>379</v>
      </c>
      <c r="Q42" s="57"/>
      <c r="R42" s="56" t="s">
        <v>380</v>
      </c>
    </row>
    <row r="43" ht="15.75" customHeight="1">
      <c r="A43" s="11" t="s">
        <v>793</v>
      </c>
      <c r="B43" s="11">
        <v>2.0</v>
      </c>
      <c r="C43" s="11" t="s">
        <v>156</v>
      </c>
      <c r="D43" s="11" t="str">
        <f t="array" ref="D43">IFERROR(INDEX(DOCUMENTOS!$E:$E,MATCH($B43,DOCUMENTOS!$A:$A,0)),"")</f>
        <v>Relatório Pesquisa de Preço - Banco de Preços</v>
      </c>
      <c r="E43" s="11" t="str">
        <f t="array" ref="E43">IFERROR(INDEX('BANCO DE PERGUNTAS'!$D:$D,MATCH($C43,'BANCO DE PERGUNTAS'!$A:$A,0)),"")</f>
        <v>Em qual seção do documento está localizada a informação solicitada?</v>
      </c>
      <c r="F43" s="54" t="s">
        <v>827</v>
      </c>
      <c r="G43" s="55" t="s">
        <v>450</v>
      </c>
      <c r="H43" s="55" t="s">
        <v>830</v>
      </c>
      <c r="I43" s="61"/>
      <c r="J43" s="55" t="s">
        <v>831</v>
      </c>
      <c r="K43" s="55" t="s">
        <v>832</v>
      </c>
      <c r="L43" s="55" t="s">
        <v>456</v>
      </c>
      <c r="M43" s="61"/>
      <c r="N43" s="56" t="s">
        <v>457</v>
      </c>
      <c r="O43" s="56" t="s">
        <v>378</v>
      </c>
      <c r="P43" s="56" t="s">
        <v>379</v>
      </c>
      <c r="Q43" s="57"/>
      <c r="R43" s="56" t="s">
        <v>380</v>
      </c>
    </row>
    <row r="44" ht="15.75" customHeight="1">
      <c r="A44" s="14" t="s">
        <v>837</v>
      </c>
      <c r="B44" s="14">
        <v>2.0</v>
      </c>
      <c r="C44" s="14" t="s">
        <v>162</v>
      </c>
      <c r="D44" s="14" t="str">
        <f t="array" ref="D44">IFERROR(INDEX(DOCUMENTOS!$E:$E,MATCH($B44,DOCUMENTOS!$A:$A,0)),"")</f>
        <v>Relatório Pesquisa de Preço - Banco de Preços</v>
      </c>
      <c r="E44" s="14" t="str">
        <f t="array" ref="E44">IFERROR(INDEX('BANCO DE PERGUNTAS'!$D:$D,MATCH($C44,'BANCO DE PERGUNTAS'!$A:$A,0)),"")</f>
        <v>Qual é o valor indicado para o Valor Total Anual do Objeto licitado?</v>
      </c>
      <c r="F44" s="54" t="s">
        <v>898</v>
      </c>
      <c r="G44" s="55" t="s">
        <v>902</v>
      </c>
      <c r="H44" s="55" t="s">
        <v>905</v>
      </c>
      <c r="I44" s="55" t="s">
        <v>908</v>
      </c>
      <c r="J44" s="55" t="s">
        <v>909</v>
      </c>
      <c r="K44" s="55" t="s">
        <v>911</v>
      </c>
      <c r="L44" s="55" t="s">
        <v>913</v>
      </c>
      <c r="M44" s="55" t="s">
        <v>914</v>
      </c>
      <c r="N44" s="56" t="s">
        <v>916</v>
      </c>
      <c r="O44" s="56" t="s">
        <v>378</v>
      </c>
      <c r="P44" s="56" t="s">
        <v>379</v>
      </c>
      <c r="Q44" s="57"/>
      <c r="R44" s="56" t="s">
        <v>380</v>
      </c>
    </row>
    <row r="45" ht="15.75" customHeight="1">
      <c r="A45" s="11" t="s">
        <v>920</v>
      </c>
      <c r="B45" s="11">
        <v>2.0</v>
      </c>
      <c r="C45" s="11" t="s">
        <v>168</v>
      </c>
      <c r="D45" s="11" t="str">
        <f t="array" ref="D45">IFERROR(INDEX(DOCUMENTOS!$E:$E,MATCH($B45,DOCUMENTOS!$A:$A,0)),"")</f>
        <v>Relatório Pesquisa de Preço - Banco de Preços</v>
      </c>
      <c r="E45" s="11" t="str">
        <f t="array" ref="E45">IFERROR(INDEX('BANCO DE PERGUNTAS'!$D:$D,MATCH($C45,'BANCO DE PERGUNTAS'!$A:$A,0)),"")</f>
        <v>Qual é a data indicada para de assinatura de todos os membros da comissão da contratação?</v>
      </c>
      <c r="F45" s="54" t="s">
        <v>947</v>
      </c>
      <c r="G45" s="55" t="s">
        <v>404</v>
      </c>
      <c r="H45" s="55" t="s">
        <v>948</v>
      </c>
      <c r="I45" s="61"/>
      <c r="J45" s="55" t="s">
        <v>764</v>
      </c>
      <c r="K45" s="55" t="s">
        <v>765</v>
      </c>
      <c r="L45" s="55" t="s">
        <v>766</v>
      </c>
      <c r="M45" s="55" t="s">
        <v>949</v>
      </c>
      <c r="N45" s="56" t="s">
        <v>490</v>
      </c>
      <c r="O45" s="56" t="s">
        <v>378</v>
      </c>
      <c r="P45" s="56" t="s">
        <v>379</v>
      </c>
      <c r="Q45" s="57"/>
      <c r="R45" s="56" t="s">
        <v>380</v>
      </c>
    </row>
    <row r="46" ht="15.75" customHeight="1">
      <c r="A46" s="14" t="s">
        <v>950</v>
      </c>
      <c r="B46" s="14">
        <v>2.0</v>
      </c>
      <c r="C46" s="14" t="s">
        <v>172</v>
      </c>
      <c r="D46" s="14" t="str">
        <f t="array" ref="D46">IFERROR(INDEX(DOCUMENTOS!$E:$E,MATCH($B46,DOCUMENTOS!$A:$A,0)),"")</f>
        <v>Relatório Pesquisa de Preço - Banco de Preços</v>
      </c>
      <c r="E46" s="14" t="str">
        <f t="array" ref="E46">IFERROR(INDEX('BANCO DE PERGUNTAS'!$D:$D,MATCH($C46,'BANCO DE PERGUNTAS'!$A:$A,0)),"")</f>
        <v>Extraia os principais dados do documento em formato estruturado.</v>
      </c>
      <c r="F46" s="54" t="s">
        <v>955</v>
      </c>
      <c r="G46" s="55" t="s">
        <v>956</v>
      </c>
      <c r="H46" s="61"/>
      <c r="I46" s="61"/>
      <c r="J46" s="55" t="s">
        <v>957</v>
      </c>
      <c r="K46" s="55" t="s">
        <v>782</v>
      </c>
      <c r="L46" s="55" t="s">
        <v>539</v>
      </c>
      <c r="M46" s="61"/>
      <c r="N46" s="56" t="s">
        <v>498</v>
      </c>
      <c r="O46" s="56" t="s">
        <v>378</v>
      </c>
      <c r="P46" s="56" t="s">
        <v>379</v>
      </c>
      <c r="Q46" s="57"/>
      <c r="R46" s="56" t="s">
        <v>380</v>
      </c>
    </row>
    <row r="47" ht="15.75" customHeight="1">
      <c r="A47" s="11" t="s">
        <v>959</v>
      </c>
      <c r="B47" s="11">
        <v>2.0</v>
      </c>
      <c r="C47" s="11" t="s">
        <v>179</v>
      </c>
      <c r="D47" s="11" t="str">
        <f t="array" ref="D47">IFERROR(INDEX(DOCUMENTOS!$E:$E,MATCH($B47,DOCUMENTOS!$A:$A,0)),"")</f>
        <v>Relatório Pesquisa de Preço - Banco de Preços</v>
      </c>
      <c r="E47" s="11" t="str">
        <f t="array" ref="E47">IFERROR(INDEX('BANCO DE PERGUNTAS'!$D:$D,MATCH($C47,'BANCO DE PERGUNTAS'!$A:$A,0)),"")</f>
        <v>Liste os valores financeiros presentes no documento.</v>
      </c>
      <c r="F47" s="54" t="s">
        <v>962</v>
      </c>
      <c r="G47" s="55" t="s">
        <v>963</v>
      </c>
      <c r="H47" s="55" t="s">
        <v>964</v>
      </c>
      <c r="I47" s="61"/>
      <c r="J47" s="55" t="s">
        <v>965</v>
      </c>
      <c r="K47" s="55" t="s">
        <v>966</v>
      </c>
      <c r="L47" s="55" t="s">
        <v>967</v>
      </c>
      <c r="M47" s="61"/>
      <c r="N47" s="56" t="s">
        <v>507</v>
      </c>
      <c r="O47" s="56" t="s">
        <v>378</v>
      </c>
      <c r="P47" s="56" t="s">
        <v>379</v>
      </c>
      <c r="Q47" s="57"/>
      <c r="R47" s="56" t="s">
        <v>380</v>
      </c>
    </row>
    <row r="48" ht="15.75" customHeight="1">
      <c r="A48" s="14" t="s">
        <v>968</v>
      </c>
      <c r="B48" s="14">
        <v>2.0</v>
      </c>
      <c r="C48" s="14" t="s">
        <v>186</v>
      </c>
      <c r="D48" s="14" t="str">
        <f t="array" ref="D48">IFERROR(INDEX(DOCUMENTOS!$E:$E,MATCH($B48,DOCUMENTOS!$A:$A,0)),"")</f>
        <v>Relatório Pesquisa de Preço - Banco de Preços</v>
      </c>
      <c r="E48" s="14" t="str">
        <f t="array" ref="E48">IFERROR(INDEX('BANCO DE PERGUNTAS'!$D:$D,MATCH($C48,'BANCO DE PERGUNTAS'!$A:$A,0)),"")</f>
        <v>Liste as obrigações ou responsabilidades estabelecidas.</v>
      </c>
      <c r="F48" s="54" t="s">
        <v>969</v>
      </c>
      <c r="G48" s="55" t="s">
        <v>970</v>
      </c>
      <c r="H48" s="61"/>
      <c r="I48" s="61"/>
      <c r="J48" s="55" t="s">
        <v>971</v>
      </c>
      <c r="K48" s="55" t="s">
        <v>972</v>
      </c>
      <c r="L48" s="55" t="s">
        <v>973</v>
      </c>
      <c r="M48" s="61"/>
      <c r="N48" s="56" t="s">
        <v>520</v>
      </c>
      <c r="O48" s="56" t="s">
        <v>378</v>
      </c>
      <c r="P48" s="56" t="s">
        <v>379</v>
      </c>
      <c r="Q48" s="57"/>
      <c r="R48" s="56" t="s">
        <v>380</v>
      </c>
    </row>
    <row r="49" ht="15.75" customHeight="1">
      <c r="A49" s="11" t="s">
        <v>975</v>
      </c>
      <c r="B49" s="11">
        <v>2.0</v>
      </c>
      <c r="C49" s="11" t="s">
        <v>190</v>
      </c>
      <c r="D49" s="11" t="str">
        <f t="array" ref="D49">IFERROR(INDEX(DOCUMENTOS!$E:$E,MATCH($B49,DOCUMENTOS!$A:$A,0)),"")</f>
        <v>Relatório Pesquisa de Preço - Banco de Preços</v>
      </c>
      <c r="E49" s="11" t="str">
        <f t="array" ref="E49">IFERROR(INDEX('BANCO DE PERGUNTAS'!$D:$D,MATCH($C49,'BANCO DE PERGUNTAS'!$A:$A,0)),"")</f>
        <v>Explique o significado da cláusula/seção 4.1.4..</v>
      </c>
      <c r="F49" s="54" t="s">
        <v>981</v>
      </c>
      <c r="G49" s="55" t="s">
        <v>982</v>
      </c>
      <c r="H49" s="55" t="s">
        <v>983</v>
      </c>
      <c r="I49" s="55" t="s">
        <v>984</v>
      </c>
      <c r="J49" s="55" t="s">
        <v>539</v>
      </c>
      <c r="K49" s="61"/>
      <c r="L49" s="55" t="s">
        <v>539</v>
      </c>
      <c r="M49" s="61"/>
      <c r="N49" s="56" t="s">
        <v>986</v>
      </c>
      <c r="O49" s="56" t="s">
        <v>378</v>
      </c>
      <c r="P49" s="56" t="s">
        <v>379</v>
      </c>
      <c r="Q49" s="57"/>
      <c r="R49" s="56" t="s">
        <v>380</v>
      </c>
    </row>
    <row r="50" ht="15.75" customHeight="1">
      <c r="A50" s="14" t="s">
        <v>988</v>
      </c>
      <c r="B50" s="14">
        <v>2.0</v>
      </c>
      <c r="C50" s="14" t="s">
        <v>199</v>
      </c>
      <c r="D50" s="14" t="str">
        <f t="array" ref="D50">IFERROR(INDEX(DOCUMENTOS!$E:$E,MATCH($B50,DOCUMENTOS!$A:$A,0)),"")</f>
        <v>Relatório Pesquisa de Preço - Banco de Preços</v>
      </c>
      <c r="E50" s="14" t="str">
        <f t="array" ref="E50">IFERROR(INDEX('BANCO DE PERGUNTAS'!$D:$D,MATCH($C50,'BANCO DE PERGUNTAS'!$A:$A,0)),"")</f>
        <v>Qual é a finalidade administrativa deste documento?</v>
      </c>
      <c r="F50" s="54" t="s">
        <v>1011</v>
      </c>
      <c r="G50" s="55" t="s">
        <v>1012</v>
      </c>
      <c r="H50" s="61"/>
      <c r="I50" s="61"/>
      <c r="J50" s="55" t="s">
        <v>1013</v>
      </c>
      <c r="K50" s="55" t="s">
        <v>1014</v>
      </c>
      <c r="L50" s="55" t="s">
        <v>539</v>
      </c>
      <c r="M50" s="61"/>
      <c r="N50" s="56" t="s">
        <v>1015</v>
      </c>
      <c r="O50" s="56" t="s">
        <v>378</v>
      </c>
      <c r="P50" s="56" t="s">
        <v>379</v>
      </c>
      <c r="Q50" s="57"/>
      <c r="R50" s="56" t="s">
        <v>380</v>
      </c>
    </row>
    <row r="51" ht="15.75" customHeight="1">
      <c r="A51" s="11" t="s">
        <v>1016</v>
      </c>
      <c r="B51" s="11">
        <v>2.0</v>
      </c>
      <c r="C51" s="11" t="s">
        <v>203</v>
      </c>
      <c r="D51" s="11" t="str">
        <f t="array" ref="D51">IFERROR(INDEX(DOCUMENTOS!$E:$E,MATCH($B51,DOCUMENTOS!$A:$A,0)),"")</f>
        <v>Relatório Pesquisa de Preço - Banco de Preços</v>
      </c>
      <c r="E51" s="11" t="str">
        <f t="array" ref="E51">IFERROR(INDEX('BANCO DE PERGUNTAS'!$D:$D,MATCH($C51,'BANCO DE PERGUNTAS'!$A:$A,0)),"")</f>
        <v>Qual consequência decorre da informação estabelecida em 4.11?</v>
      </c>
      <c r="F51" s="54" t="s">
        <v>1017</v>
      </c>
      <c r="G51" s="55" t="s">
        <v>982</v>
      </c>
      <c r="H51" s="55" t="s">
        <v>983</v>
      </c>
      <c r="I51" s="55" t="s">
        <v>984</v>
      </c>
      <c r="J51" s="55" t="s">
        <v>539</v>
      </c>
      <c r="K51" s="61"/>
      <c r="L51" s="55" t="s">
        <v>539</v>
      </c>
      <c r="M51" s="61"/>
      <c r="N51" s="56" t="s">
        <v>986</v>
      </c>
      <c r="O51" s="56" t="s">
        <v>378</v>
      </c>
      <c r="P51" s="56" t="s">
        <v>379</v>
      </c>
      <c r="Q51" s="57"/>
      <c r="R51" s="56" t="s">
        <v>380</v>
      </c>
    </row>
    <row r="52" ht="15.75" customHeight="1">
      <c r="A52" s="14" t="s">
        <v>1019</v>
      </c>
      <c r="B52" s="14">
        <v>2.0</v>
      </c>
      <c r="C52" s="14" t="s">
        <v>208</v>
      </c>
      <c r="D52" s="14" t="str">
        <f t="array" ref="D52">IFERROR(INDEX(DOCUMENTOS!$E:$E,MATCH($B52,DOCUMENTOS!$A:$A,0)),"")</f>
        <v>Relatório Pesquisa de Preço - Banco de Preços</v>
      </c>
      <c r="E52" s="14" t="str">
        <f t="array" ref="E52">IFERROR(INDEX('BANCO DE PERGUNTAS'!$D:$D,MATCH($C52,'BANCO DE PERGUNTAS'!$A:$A,0)),"")</f>
        <v>Existem informações aparentemente inconsistentes dentro do documento?</v>
      </c>
      <c r="F52" s="54" t="s">
        <v>1027</v>
      </c>
      <c r="G52" s="55" t="s">
        <v>1028</v>
      </c>
      <c r="H52" s="55" t="s">
        <v>1029</v>
      </c>
      <c r="I52" s="55" t="s">
        <v>557</v>
      </c>
      <c r="J52" s="55" t="s">
        <v>1030</v>
      </c>
      <c r="K52" s="55" t="s">
        <v>1031</v>
      </c>
      <c r="L52" s="55" t="s">
        <v>1032</v>
      </c>
      <c r="M52" s="55" t="s">
        <v>1033</v>
      </c>
      <c r="N52" s="56" t="s">
        <v>1034</v>
      </c>
      <c r="O52" s="56" t="s">
        <v>378</v>
      </c>
      <c r="P52" s="56" t="s">
        <v>379</v>
      </c>
      <c r="Q52" s="57"/>
      <c r="R52" s="56" t="s">
        <v>380</v>
      </c>
    </row>
    <row r="53" ht="15.75" customHeight="1">
      <c r="A53" s="11" t="s">
        <v>1036</v>
      </c>
      <c r="B53" s="11">
        <v>2.0</v>
      </c>
      <c r="C53" s="11" t="s">
        <v>215</v>
      </c>
      <c r="D53" s="11" t="str">
        <f t="array" ref="D53">IFERROR(INDEX(DOCUMENTOS!$E:$E,MATCH($B53,DOCUMENTOS!$A:$A,0)),"")</f>
        <v>Relatório Pesquisa de Preço - Banco de Preços</v>
      </c>
      <c r="E53" s="11" t="str">
        <f t="array" ref="E53">IFERROR(INDEX('BANCO DE PERGUNTAS'!$D:$D,MATCH($C53,'BANCO DE PERGUNTAS'!$A:$A,0)),"")</f>
        <v>Existem valores, datas, números ou informações aparentemente incompatíveis?</v>
      </c>
      <c r="F53" s="54" t="s">
        <v>1041</v>
      </c>
      <c r="G53" s="55" t="s">
        <v>1042</v>
      </c>
      <c r="H53" s="55" t="s">
        <v>1043</v>
      </c>
      <c r="I53" s="61"/>
      <c r="J53" s="55" t="s">
        <v>1044</v>
      </c>
      <c r="K53" s="55" t="s">
        <v>1045</v>
      </c>
      <c r="L53" s="55" t="s">
        <v>1046</v>
      </c>
      <c r="M53" s="61"/>
      <c r="N53" s="56" t="s">
        <v>572</v>
      </c>
      <c r="O53" s="56" t="s">
        <v>378</v>
      </c>
      <c r="P53" s="56" t="s">
        <v>379</v>
      </c>
      <c r="Q53" s="57"/>
      <c r="R53" s="56" t="s">
        <v>380</v>
      </c>
    </row>
    <row r="54" ht="15.75" customHeight="1">
      <c r="A54" s="14" t="s">
        <v>1048</v>
      </c>
      <c r="B54" s="14">
        <v>2.0</v>
      </c>
      <c r="C54" s="14" t="s">
        <v>219</v>
      </c>
      <c r="D54" s="14" t="str">
        <f t="array" ref="D54">IFERROR(INDEX(DOCUMENTOS!$E:$E,MATCH($B54,DOCUMENTOS!$A:$A,0)),"")</f>
        <v>Relatório Pesquisa de Preço - Banco de Preços</v>
      </c>
      <c r="E54" s="14" t="str">
        <f t="array" ref="E54">IFERROR(INDEX('BANCO DE PERGUNTAS'!$D:$D,MATCH($C54,'BANCO DE PERGUNTAS'!$A:$A,0)),"")</f>
        <v>Existem informações relevantes ausentes?</v>
      </c>
      <c r="F54" s="54" t="s">
        <v>1054</v>
      </c>
      <c r="G54" s="55" t="s">
        <v>1055</v>
      </c>
      <c r="H54" s="55" t="s">
        <v>568</v>
      </c>
      <c r="I54" s="61"/>
      <c r="J54" s="55" t="s">
        <v>1056</v>
      </c>
      <c r="K54" s="55" t="s">
        <v>548</v>
      </c>
      <c r="L54" s="55" t="s">
        <v>1057</v>
      </c>
      <c r="M54" s="61"/>
      <c r="N54" s="56" t="s">
        <v>582</v>
      </c>
      <c r="O54" s="56" t="s">
        <v>378</v>
      </c>
      <c r="P54" s="56" t="s">
        <v>379</v>
      </c>
      <c r="Q54" s="57"/>
      <c r="R54" s="56" t="s">
        <v>380</v>
      </c>
    </row>
    <row r="55" ht="15.75" customHeight="1">
      <c r="A55" s="11" t="s">
        <v>1059</v>
      </c>
      <c r="B55" s="11">
        <v>2.0</v>
      </c>
      <c r="C55" s="11" t="s">
        <v>226</v>
      </c>
      <c r="D55" s="11" t="str">
        <f t="array" ref="D55">IFERROR(INDEX(DOCUMENTOS!$E:$E,MATCH($B55,DOCUMENTOS!$A:$A,0)),"")</f>
        <v>Relatório Pesquisa de Preço - Banco de Preços</v>
      </c>
      <c r="E55" s="11" t="str">
        <f t="array" ref="E55">IFERROR(INDEX('BANCO DE PERGUNTAS'!$D:$D,MATCH($C55,'BANCO DE PERGUNTAS'!$A:$A,0)),"")</f>
        <v>Identifique possíveis erros materiais no documento.</v>
      </c>
      <c r="F55" s="54" t="s">
        <v>1068</v>
      </c>
      <c r="G55" s="55" t="s">
        <v>1069</v>
      </c>
      <c r="H55" s="55" t="s">
        <v>1070</v>
      </c>
      <c r="I55" s="61"/>
      <c r="J55" s="55" t="s">
        <v>1072</v>
      </c>
      <c r="K55" s="55" t="s">
        <v>1073</v>
      </c>
      <c r="L55" s="55" t="s">
        <v>590</v>
      </c>
      <c r="M55" s="61"/>
      <c r="N55" s="56" t="s">
        <v>591</v>
      </c>
      <c r="O55" s="56" t="s">
        <v>378</v>
      </c>
      <c r="P55" s="56" t="s">
        <v>379</v>
      </c>
      <c r="Q55" s="57"/>
      <c r="R55" s="56" t="s">
        <v>380</v>
      </c>
    </row>
    <row r="56" ht="15.75" customHeight="1">
      <c r="A56" s="14" t="s">
        <v>1074</v>
      </c>
      <c r="B56" s="14">
        <v>2.0</v>
      </c>
      <c r="C56" s="14" t="s">
        <v>232</v>
      </c>
      <c r="D56" s="14" t="str">
        <f t="array" ref="D56">IFERROR(INDEX(DOCUMENTOS!$E:$E,MATCH($B56,DOCUMENTOS!$A:$A,0)),"")</f>
        <v>Relatório Pesquisa de Preço - Banco de Preços</v>
      </c>
      <c r="E56" s="14" t="str">
        <f t="array" ref="E56">IFERROR(INDEX('BANCO DE PERGUNTAS'!$D:$D,MATCH($C56,'BANCO DE PERGUNTAS'!$A:$A,0)),"")</f>
        <v>Existem informações que deveriam ser verificadas por um servidor antes da utilização do documento?</v>
      </c>
      <c r="F56" s="54" t="s">
        <v>1079</v>
      </c>
      <c r="G56" s="61"/>
      <c r="H56" s="61"/>
      <c r="I56" s="61"/>
      <c r="J56" s="55" t="s">
        <v>1080</v>
      </c>
      <c r="K56" s="55" t="s">
        <v>1081</v>
      </c>
      <c r="L56" s="55" t="s">
        <v>1082</v>
      </c>
      <c r="M56" s="61"/>
      <c r="N56" s="56" t="s">
        <v>1083</v>
      </c>
      <c r="O56" s="56" t="s">
        <v>378</v>
      </c>
      <c r="P56" s="56" t="s">
        <v>379</v>
      </c>
      <c r="Q56" s="57"/>
      <c r="R56" s="56" t="s">
        <v>380</v>
      </c>
    </row>
    <row r="57" ht="15.75" customHeight="1">
      <c r="A57" s="11" t="s">
        <v>1084</v>
      </c>
      <c r="B57" s="11">
        <v>2.0</v>
      </c>
      <c r="C57" s="11" t="s">
        <v>240</v>
      </c>
      <c r="D57" s="11" t="str">
        <f t="array" ref="D57">IFERROR(INDEX(DOCUMENTOS!$E:$E,MATCH($B57,DOCUMENTOS!$A:$A,0)),"")</f>
        <v>Relatório Pesquisa de Preço - Banco de Preços</v>
      </c>
      <c r="E57" s="11" t="str">
        <f t="array" ref="E57">IFERROR(INDEX('BANCO DE PERGUNTAS'!$D:$D,MATCH($C57,'BANCO DE PERGUNTAS'!$A:$A,0)),"")</f>
        <v>Existem elementos que indiquem possível desconformidade com os próprios requisitos apresentados no documento?</v>
      </c>
      <c r="F57" s="54" t="s">
        <v>1088</v>
      </c>
      <c r="G57" s="55" t="s">
        <v>1089</v>
      </c>
      <c r="H57" s="55" t="s">
        <v>1090</v>
      </c>
      <c r="I57" s="61"/>
      <c r="J57" s="55" t="s">
        <v>1091</v>
      </c>
      <c r="K57" s="55" t="s">
        <v>1093</v>
      </c>
      <c r="L57" s="55" t="s">
        <v>1094</v>
      </c>
      <c r="M57" s="61"/>
      <c r="N57" s="56" t="s">
        <v>1095</v>
      </c>
      <c r="O57" s="56" t="s">
        <v>378</v>
      </c>
      <c r="P57" s="56" t="s">
        <v>379</v>
      </c>
      <c r="Q57" s="57"/>
      <c r="R57" s="56" t="s">
        <v>380</v>
      </c>
    </row>
    <row r="58" ht="15.75" customHeight="1">
      <c r="A58" s="14" t="s">
        <v>1096</v>
      </c>
      <c r="B58" s="14">
        <v>2.0</v>
      </c>
      <c r="C58" s="14" t="s">
        <v>247</v>
      </c>
      <c r="D58" s="14" t="str">
        <f t="array" ref="D58">IFERROR(INDEX(DOCUMENTOS!$E:$E,MATCH($B58,DOCUMENTOS!$A:$A,0)),"")</f>
        <v>Relatório Pesquisa de Preço - Banco de Preços</v>
      </c>
      <c r="E58" s="14" t="str">
        <f t="array" ref="E58">IFERROR(INDEX('BANCO DE PERGUNTAS'!$D:$D,MATCH($C58,'BANCO DE PERGUNTAS'!$A:$A,0)),"")</f>
        <v>Quais requisitos estão explicitamente presentes?</v>
      </c>
      <c r="F58" s="54" t="s">
        <v>1104</v>
      </c>
      <c r="G58" s="61"/>
      <c r="H58" s="61"/>
      <c r="I58" s="61"/>
      <c r="J58" s="55" t="s">
        <v>1105</v>
      </c>
      <c r="K58" s="55" t="s">
        <v>1073</v>
      </c>
      <c r="L58" s="55" t="s">
        <v>1106</v>
      </c>
      <c r="M58" s="61"/>
      <c r="N58" s="56" t="s">
        <v>638</v>
      </c>
      <c r="O58" s="56" t="s">
        <v>378</v>
      </c>
      <c r="P58" s="56" t="s">
        <v>379</v>
      </c>
      <c r="Q58" s="57"/>
      <c r="R58" s="56" t="s">
        <v>380</v>
      </c>
    </row>
    <row r="59" ht="15.75" customHeight="1">
      <c r="A59" s="11" t="s">
        <v>1108</v>
      </c>
      <c r="B59" s="11">
        <v>2.0</v>
      </c>
      <c r="C59" s="11" t="s">
        <v>252</v>
      </c>
      <c r="D59" s="11" t="str">
        <f t="array" ref="D59">IFERROR(INDEX(DOCUMENTOS!$E:$E,MATCH($B59,DOCUMENTOS!$A:$A,0)),"")</f>
        <v>Relatório Pesquisa de Preço - Banco de Preços</v>
      </c>
      <c r="E59" s="11" t="str">
        <f t="array" ref="E59">IFERROR(INDEX('BANCO DE PERGUNTAS'!$D:$D,MATCH($C59,'BANCO DE PERGUNTAS'!$A:$A,0)),"")</f>
        <v>Quais informações necessárias parecem estar ausentes?</v>
      </c>
      <c r="F59" s="54" t="s">
        <v>1117</v>
      </c>
      <c r="G59" s="61"/>
      <c r="H59" s="61"/>
      <c r="I59" s="61"/>
      <c r="J59" s="55" t="s">
        <v>1118</v>
      </c>
      <c r="K59" s="55" t="s">
        <v>548</v>
      </c>
      <c r="L59" s="55" t="s">
        <v>1119</v>
      </c>
      <c r="M59" s="61"/>
      <c r="N59" s="56" t="s">
        <v>644</v>
      </c>
      <c r="O59" s="56" t="s">
        <v>378</v>
      </c>
      <c r="P59" s="56" t="s">
        <v>379</v>
      </c>
      <c r="Q59" s="57"/>
      <c r="R59" s="56" t="s">
        <v>380</v>
      </c>
    </row>
    <row r="60" ht="15.75" customHeight="1">
      <c r="A60" s="14" t="s">
        <v>1120</v>
      </c>
      <c r="B60" s="14">
        <v>2.0</v>
      </c>
      <c r="C60" s="14" t="s">
        <v>257</v>
      </c>
      <c r="D60" s="14" t="str">
        <f t="array" ref="D60">IFERROR(INDEX(DOCUMENTOS!$E:$E,MATCH($B60,DOCUMENTOS!$A:$A,0)),"")</f>
        <v>Relatório Pesquisa de Preço - Banco de Preços</v>
      </c>
      <c r="E60" s="14" t="str">
        <f t="array" ref="E60">IFERROR(INDEX('BANCO DE PERGUNTAS'!$D:$D,MATCH($C60,'BANCO DE PERGUNTAS'!$A:$A,0)),"")</f>
        <v>Existem informações conflitantes com outro documento relacionado?</v>
      </c>
      <c r="F60" s="54" t="s">
        <v>1123</v>
      </c>
      <c r="G60" s="55" t="s">
        <v>1125</v>
      </c>
      <c r="H60" s="61"/>
      <c r="I60" s="55" t="s">
        <v>1126</v>
      </c>
      <c r="J60" s="55" t="s">
        <v>539</v>
      </c>
      <c r="K60" s="61"/>
      <c r="L60" s="55" t="s">
        <v>539</v>
      </c>
      <c r="M60" s="61"/>
      <c r="N60" s="56" t="s">
        <v>1127</v>
      </c>
      <c r="O60" s="56" t="s">
        <v>378</v>
      </c>
      <c r="P60" s="56" t="s">
        <v>379</v>
      </c>
      <c r="Q60" s="57"/>
      <c r="R60" s="56" t="s">
        <v>1128</v>
      </c>
    </row>
    <row r="61" ht="15.75" customHeight="1">
      <c r="A61" s="11" t="s">
        <v>1129</v>
      </c>
      <c r="B61" s="11">
        <v>2.0</v>
      </c>
      <c r="C61" s="11" t="s">
        <v>264</v>
      </c>
      <c r="D61" s="11" t="str">
        <f t="array" ref="D61">IFERROR(INDEX(DOCUMENTOS!$E:$E,MATCH($B61,DOCUMENTOS!$A:$A,0)),"")</f>
        <v>Relatório Pesquisa de Preço - Banco de Preços</v>
      </c>
      <c r="E61" s="11" t="str">
        <f t="array" ref="E61">IFERROR(INDEX('BANCO DE PERGUNTAS'!$D:$D,MATCH($C61,'BANCO DE PERGUNTAS'!$A:$A,0)),"")</f>
        <v>Quais diferenças existem entre os documentos?</v>
      </c>
      <c r="F61" s="54" t="s">
        <v>1132</v>
      </c>
      <c r="G61" s="55" t="s">
        <v>1133</v>
      </c>
      <c r="H61" s="61"/>
      <c r="I61" s="61"/>
      <c r="J61" s="55" t="s">
        <v>1134</v>
      </c>
      <c r="K61" s="55" t="s">
        <v>548</v>
      </c>
      <c r="L61" s="55" t="s">
        <v>1135</v>
      </c>
      <c r="M61" s="61"/>
      <c r="N61" s="56" t="s">
        <v>1136</v>
      </c>
      <c r="O61" s="56" t="s">
        <v>378</v>
      </c>
      <c r="P61" s="56" t="s">
        <v>379</v>
      </c>
      <c r="Q61" s="57"/>
      <c r="R61" s="56" t="s">
        <v>1128</v>
      </c>
    </row>
    <row r="62" ht="15.75" customHeight="1">
      <c r="A62" s="14" t="s">
        <v>1137</v>
      </c>
      <c r="B62" s="14">
        <v>2.0</v>
      </c>
      <c r="C62" s="14" t="s">
        <v>269</v>
      </c>
      <c r="D62" s="14" t="str">
        <f t="array" ref="D62">IFERROR(INDEX(DOCUMENTOS!$E:$E,MATCH($B62,DOCUMENTOS!$A:$A,0)),"")</f>
        <v>Relatório Pesquisa de Preço - Banco de Preços</v>
      </c>
      <c r="E62" s="14" t="str">
        <f t="array" ref="E62">IFERROR(INDEX('BANCO DE PERGUNTAS'!$D:$D,MATCH($C62,'BANCO DE PERGUNTAS'!$A:$A,0)),"")</f>
        <v>Quais informações foram alteradas?</v>
      </c>
      <c r="F62" s="54" t="s">
        <v>1144</v>
      </c>
      <c r="G62" s="55" t="s">
        <v>1145</v>
      </c>
      <c r="H62" s="61"/>
      <c r="I62" s="61"/>
      <c r="J62" s="55" t="s">
        <v>1146</v>
      </c>
      <c r="K62" s="55" t="s">
        <v>1147</v>
      </c>
      <c r="L62" s="55" t="s">
        <v>1148</v>
      </c>
      <c r="M62" s="61"/>
      <c r="N62" s="56" t="s">
        <v>1150</v>
      </c>
      <c r="O62" s="56" t="s">
        <v>378</v>
      </c>
      <c r="P62" s="56" t="s">
        <v>379</v>
      </c>
      <c r="Q62" s="57"/>
      <c r="R62" s="56" t="s">
        <v>380</v>
      </c>
    </row>
    <row r="63" ht="15.75" customHeight="1">
      <c r="A63" s="11" t="s">
        <v>1151</v>
      </c>
      <c r="B63" s="11">
        <v>2.0</v>
      </c>
      <c r="C63" s="11" t="s">
        <v>276</v>
      </c>
      <c r="D63" s="11" t="str">
        <f t="array" ref="D63">IFERROR(INDEX(DOCUMENTOS!$E:$E,MATCH($B63,DOCUMENTOS!$A:$A,0)),"")</f>
        <v>Relatório Pesquisa de Preço - Banco de Preços</v>
      </c>
      <c r="E63" s="11" t="str">
        <f t="array" ref="E63">IFERROR(INDEX('BANCO DE PERGUNTAS'!$D:$D,MATCH($C63,'BANCO DE PERGUNTAS'!$A:$A,0)),"")</f>
        <v>Identifique possíveis pontos de atenção administrativa.</v>
      </c>
      <c r="F63" s="54" t="s">
        <v>1158</v>
      </c>
      <c r="G63" s="61"/>
      <c r="H63" s="61"/>
      <c r="I63" s="61"/>
      <c r="J63" s="55" t="s">
        <v>1159</v>
      </c>
      <c r="K63" s="55" t="s">
        <v>1160</v>
      </c>
      <c r="L63" s="55" t="s">
        <v>1161</v>
      </c>
      <c r="M63" s="61"/>
      <c r="N63" s="56" t="s">
        <v>687</v>
      </c>
      <c r="O63" s="56" t="s">
        <v>378</v>
      </c>
      <c r="P63" s="56" t="s">
        <v>379</v>
      </c>
      <c r="Q63" s="57"/>
      <c r="R63" s="56" t="s">
        <v>380</v>
      </c>
    </row>
    <row r="64" ht="15.75" customHeight="1">
      <c r="A64" s="14" t="s">
        <v>1163</v>
      </c>
      <c r="B64" s="14">
        <v>2.0</v>
      </c>
      <c r="C64" s="14" t="s">
        <v>284</v>
      </c>
      <c r="D64" s="14" t="str">
        <f t="array" ref="D64">IFERROR(INDEX(DOCUMENTOS!$E:$E,MATCH($B64,DOCUMENTOS!$A:$A,0)),"")</f>
        <v>Relatório Pesquisa de Preço - Banco de Preços</v>
      </c>
      <c r="E64" s="14" t="str">
        <f t="array" ref="E64">IFERROR(INDEX('BANCO DE PERGUNTAS'!$D:$D,MATCH($C64,'BANCO DE PERGUNTAS'!$A:$A,0)),"")</f>
        <v>Quais informações deveriam ser verificadas antes de uma decisão administrativa?</v>
      </c>
      <c r="F64" s="54" t="s">
        <v>1176</v>
      </c>
      <c r="G64" s="61"/>
      <c r="H64" s="61"/>
      <c r="I64" s="61"/>
      <c r="J64" s="55" t="s">
        <v>1159</v>
      </c>
      <c r="K64" s="55" t="s">
        <v>1160</v>
      </c>
      <c r="L64" s="55" t="s">
        <v>1161</v>
      </c>
      <c r="M64" s="61"/>
      <c r="N64" s="56" t="s">
        <v>1178</v>
      </c>
      <c r="O64" s="56" t="s">
        <v>378</v>
      </c>
      <c r="P64" s="56" t="s">
        <v>379</v>
      </c>
      <c r="Q64" s="57"/>
      <c r="R64" s="56" t="s">
        <v>380</v>
      </c>
    </row>
    <row r="65" ht="15.75" customHeight="1">
      <c r="A65" s="11" t="s">
        <v>1180</v>
      </c>
      <c r="B65" s="11">
        <v>2.0</v>
      </c>
      <c r="C65" s="11" t="s">
        <v>288</v>
      </c>
      <c r="D65" s="11" t="str">
        <f t="array" ref="D65">IFERROR(INDEX(DOCUMENTOS!$E:$E,MATCH($B65,DOCUMENTOS!$A:$A,0)),"")</f>
        <v>Relatório Pesquisa de Preço - Banco de Preços</v>
      </c>
      <c r="E65" s="11" t="str">
        <f t="array" ref="E65">IFERROR(INDEX('BANCO DE PERGUNTAS'!$D:$D,MATCH($C65,'BANCO DE PERGUNTAS'!$A:$A,0)),"")</f>
        <v>Identifique situações que possam representar risco administrativo.</v>
      </c>
      <c r="F65" s="54" t="s">
        <v>1187</v>
      </c>
      <c r="G65" s="61"/>
      <c r="H65" s="61"/>
      <c r="I65" s="61"/>
      <c r="J65" s="55" t="s">
        <v>1188</v>
      </c>
      <c r="K65" s="55" t="s">
        <v>1189</v>
      </c>
      <c r="L65" s="55" t="s">
        <v>1190</v>
      </c>
      <c r="M65" s="61"/>
      <c r="N65" s="56" t="s">
        <v>1191</v>
      </c>
      <c r="O65" s="56" t="s">
        <v>378</v>
      </c>
      <c r="P65" s="56" t="s">
        <v>379</v>
      </c>
      <c r="Q65" s="57"/>
      <c r="R65" s="56" t="s">
        <v>380</v>
      </c>
    </row>
    <row r="66" ht="15.75" customHeight="1">
      <c r="A66" s="14" t="s">
        <v>1192</v>
      </c>
      <c r="B66" s="14">
        <v>2.0</v>
      </c>
      <c r="C66" s="14" t="s">
        <v>294</v>
      </c>
      <c r="D66" s="14" t="str">
        <f t="array" ref="D66">IFERROR(INDEX(DOCUMENTOS!$E:$E,MATCH($B66,DOCUMENTOS!$A:$A,0)),"")</f>
        <v>Relatório Pesquisa de Preço - Banco de Preços</v>
      </c>
      <c r="E66" s="14" t="str">
        <f t="array" ref="E66">IFERROR(INDEX('BANCO DE PERGUNTAS'!$D:$D,MATCH($C66,'BANCO DE PERGUNTAS'!$A:$A,0)),"")</f>
        <v>Resuma o documento em até cinco pontos objetivos.</v>
      </c>
      <c r="F66" s="54" t="s">
        <v>1193</v>
      </c>
      <c r="G66" s="55" t="s">
        <v>1194</v>
      </c>
      <c r="H66" s="61"/>
      <c r="I66" s="61"/>
      <c r="J66" s="55" t="s">
        <v>1013</v>
      </c>
      <c r="K66" s="55" t="s">
        <v>1014</v>
      </c>
      <c r="L66" s="55" t="s">
        <v>539</v>
      </c>
      <c r="M66" s="61"/>
      <c r="N66" s="56" t="s">
        <v>709</v>
      </c>
      <c r="O66" s="56" t="s">
        <v>378</v>
      </c>
      <c r="P66" s="56" t="s">
        <v>379</v>
      </c>
      <c r="Q66" s="57"/>
      <c r="R66" s="56" t="s">
        <v>380</v>
      </c>
    </row>
    <row r="67" ht="15.75" customHeight="1">
      <c r="A67" s="11" t="s">
        <v>1195</v>
      </c>
      <c r="B67" s="11">
        <v>2.0</v>
      </c>
      <c r="C67" s="11" t="s">
        <v>302</v>
      </c>
      <c r="D67" s="11" t="str">
        <f t="array" ref="D67">IFERROR(INDEX(DOCUMENTOS!$E:$E,MATCH($B67,DOCUMENTOS!$A:$A,0)),"")</f>
        <v>Relatório Pesquisa de Preço - Banco de Preços</v>
      </c>
      <c r="E67" s="11" t="str">
        <f t="array" ref="E67">IFERROR(INDEX('BANCO DE PERGUNTAS'!$D:$D,MATCH($C67,'BANCO DE PERGUNTAS'!$A:$A,0)),"")</f>
        <v>Qual é a principal finalidade do documento?</v>
      </c>
      <c r="F67" s="54" t="s">
        <v>1196</v>
      </c>
      <c r="G67" s="61"/>
      <c r="H67" s="61"/>
      <c r="I67" s="61"/>
      <c r="J67" s="55" t="s">
        <v>1197</v>
      </c>
      <c r="K67" s="55" t="s">
        <v>1198</v>
      </c>
      <c r="L67" s="55" t="s">
        <v>1199</v>
      </c>
      <c r="M67" s="61"/>
      <c r="N67" s="56" t="s">
        <v>714</v>
      </c>
      <c r="O67" s="56" t="s">
        <v>378</v>
      </c>
      <c r="P67" s="56" t="s">
        <v>379</v>
      </c>
      <c r="Q67" s="57"/>
      <c r="R67" s="56" t="s">
        <v>380</v>
      </c>
    </row>
    <row r="68" ht="15.75" customHeight="1">
      <c r="A68" s="14" t="s">
        <v>1200</v>
      </c>
      <c r="B68" s="14">
        <v>2.0</v>
      </c>
      <c r="C68" s="14" t="s">
        <v>307</v>
      </c>
      <c r="D68" s="14" t="str">
        <f t="array" ref="D68">IFERROR(INDEX(DOCUMENTOS!$E:$E,MATCH($B68,DOCUMENTOS!$A:$A,0)),"")</f>
        <v>Relatório Pesquisa de Preço - Banco de Preços</v>
      </c>
      <c r="E68" s="14" t="str">
        <f t="array" ref="E68">IFERROR(INDEX('BANCO DE PERGUNTAS'!$D:$D,MATCH($C68,'BANCO DE PERGUNTAS'!$A:$A,0)),"")</f>
        <v>Quais são as três informações mais importantes para um servidor responsável pela análise?</v>
      </c>
      <c r="F68" s="54" t="s">
        <v>1205</v>
      </c>
      <c r="G68" s="61"/>
      <c r="H68" s="61"/>
      <c r="I68" s="61"/>
      <c r="J68" s="55" t="s">
        <v>1206</v>
      </c>
      <c r="K68" s="55" t="s">
        <v>1081</v>
      </c>
      <c r="L68" s="55" t="s">
        <v>1207</v>
      </c>
      <c r="M68" s="61"/>
      <c r="N68" s="56" t="s">
        <v>723</v>
      </c>
      <c r="O68" s="56" t="s">
        <v>378</v>
      </c>
      <c r="P68" s="56" t="s">
        <v>379</v>
      </c>
      <c r="Q68" s="57"/>
      <c r="R68" s="56" t="s">
        <v>380</v>
      </c>
    </row>
    <row r="69" ht="15.75" customHeight="1">
      <c r="A69" s="11" t="s">
        <v>1208</v>
      </c>
      <c r="B69" s="11">
        <v>3.0</v>
      </c>
      <c r="C69" s="11" t="s">
        <v>33</v>
      </c>
      <c r="D69" s="11" t="str">
        <f t="array" ref="D69">IFERROR(INDEX(DOCUMENTOS!$E:$E,MATCH($B69,DOCUMENTOS!$A:$A,0)),"")</f>
        <v>Boletim de Medição</v>
      </c>
      <c r="E69" s="11" t="str">
        <f t="array" ref="E69">IFERROR(INDEX('BANCO DE PERGUNTAS'!$D:$D,MATCH($C69,'BANCO DE PERGUNTAS'!$A:$A,0)),"")</f>
        <v>Qual é o objeto principal deste documento?</v>
      </c>
      <c r="F69" s="54" t="s">
        <v>1211</v>
      </c>
      <c r="G69" s="55" t="s">
        <v>1212</v>
      </c>
      <c r="H69" s="55" t="s">
        <v>1213</v>
      </c>
      <c r="I69" s="55" t="s">
        <v>1214</v>
      </c>
      <c r="J69" s="55" t="s">
        <v>1215</v>
      </c>
      <c r="K69" s="55" t="s">
        <v>374</v>
      </c>
      <c r="L69" s="55" t="s">
        <v>1216</v>
      </c>
      <c r="M69" s="55" t="s">
        <v>1217</v>
      </c>
      <c r="N69" s="56" t="s">
        <v>1218</v>
      </c>
      <c r="O69" s="56" t="s">
        <v>378</v>
      </c>
      <c r="P69" s="56" t="s">
        <v>379</v>
      </c>
      <c r="Q69" s="57"/>
      <c r="R69" s="56" t="s">
        <v>380</v>
      </c>
    </row>
    <row r="70" ht="15.75" customHeight="1">
      <c r="A70" s="14" t="s">
        <v>1219</v>
      </c>
      <c r="B70" s="14">
        <v>3.0</v>
      </c>
      <c r="C70" s="14" t="s">
        <v>68</v>
      </c>
      <c r="D70" s="14" t="str">
        <f t="array" ref="D70">IFERROR(INDEX(DOCUMENTOS!$E:$E,MATCH($B70,DOCUMENTOS!$A:$A,0)),"")</f>
        <v>Boletim de Medição</v>
      </c>
      <c r="E70" s="14" t="str">
        <f t="array" ref="E70">IFERROR(INDEX('BANCO DE PERGUNTAS'!$D:$D,MATCH($C70,'BANCO DE PERGUNTAS'!$A:$A,0)),"")</f>
        <v>Qual é o número ou identificação do documento?</v>
      </c>
      <c r="F70" s="54" t="s">
        <v>1220</v>
      </c>
      <c r="G70" s="55" t="s">
        <v>1221</v>
      </c>
      <c r="H70" s="55" t="s">
        <v>1222</v>
      </c>
      <c r="I70" s="61"/>
      <c r="J70" s="55" t="s">
        <v>1223</v>
      </c>
      <c r="K70" s="55" t="s">
        <v>1224</v>
      </c>
      <c r="L70" s="55" t="s">
        <v>1225</v>
      </c>
      <c r="M70" s="55" t="s">
        <v>1226</v>
      </c>
      <c r="N70" s="56" t="s">
        <v>745</v>
      </c>
      <c r="O70" s="56" t="s">
        <v>378</v>
      </c>
      <c r="P70" s="56" t="s">
        <v>379</v>
      </c>
      <c r="Q70" s="57"/>
      <c r="R70" s="56" t="s">
        <v>380</v>
      </c>
    </row>
    <row r="71" ht="15.75" customHeight="1">
      <c r="A71" s="11" t="s">
        <v>1227</v>
      </c>
      <c r="B71" s="11">
        <v>3.0</v>
      </c>
      <c r="C71" s="11" t="s">
        <v>90</v>
      </c>
      <c r="D71" s="11" t="str">
        <f t="array" ref="D71">IFERROR(INDEX(DOCUMENTOS!$E:$E,MATCH($B71,DOCUMENTOS!$A:$A,0)),"")</f>
        <v>Boletim de Medição</v>
      </c>
      <c r="E71" s="11" t="str">
        <f t="array" ref="E71">IFERROR(INDEX('BANCO DE PERGUNTAS'!$D:$D,MATCH($C71,'BANCO DE PERGUNTAS'!$A:$A,0)),"")</f>
        <v>Qual é o número do processo relacionado?</v>
      </c>
      <c r="F71" s="54" t="s">
        <v>1228</v>
      </c>
      <c r="G71" s="55" t="s">
        <v>1229</v>
      </c>
      <c r="H71" s="61"/>
      <c r="I71" s="55" t="s">
        <v>1230</v>
      </c>
      <c r="J71" s="55" t="s">
        <v>1231</v>
      </c>
      <c r="K71" s="55" t="s">
        <v>1224</v>
      </c>
      <c r="L71" s="55" t="s">
        <v>1232</v>
      </c>
      <c r="M71" s="55" t="s">
        <v>1233</v>
      </c>
      <c r="N71" s="56" t="s">
        <v>1234</v>
      </c>
      <c r="O71" s="56" t="s">
        <v>378</v>
      </c>
      <c r="P71" s="56" t="s">
        <v>379</v>
      </c>
      <c r="Q71" s="57"/>
      <c r="R71" s="56" t="s">
        <v>380</v>
      </c>
    </row>
    <row r="72" ht="15.75" customHeight="1">
      <c r="A72" s="14" t="s">
        <v>1235</v>
      </c>
      <c r="B72" s="14">
        <v>3.0</v>
      </c>
      <c r="C72" s="14" t="s">
        <v>103</v>
      </c>
      <c r="D72" s="14" t="str">
        <f t="array" ref="D72">IFERROR(INDEX(DOCUMENTOS!$E:$E,MATCH($B72,DOCUMENTOS!$A:$A,0)),"")</f>
        <v>Boletim de Medição</v>
      </c>
      <c r="E72" s="14" t="str">
        <f t="array" ref="E72">IFERROR(INDEX('BANCO DE PERGUNTAS'!$D:$D,MATCH($C72,'BANCO DE PERGUNTAS'!$A:$A,0)),"")</f>
        <v>Qual é a data do documento?</v>
      </c>
      <c r="F72" s="54" t="s">
        <v>1237</v>
      </c>
      <c r="G72" s="55" t="s">
        <v>1238</v>
      </c>
      <c r="H72" s="55" t="s">
        <v>1239</v>
      </c>
      <c r="I72" s="55" t="s">
        <v>1240</v>
      </c>
      <c r="J72" s="55" t="s">
        <v>1241</v>
      </c>
      <c r="K72" s="55" t="s">
        <v>1224</v>
      </c>
      <c r="L72" s="55" t="s">
        <v>1242</v>
      </c>
      <c r="M72" s="61"/>
      <c r="N72" s="56" t="s">
        <v>1243</v>
      </c>
      <c r="O72" s="56" t="s">
        <v>378</v>
      </c>
      <c r="P72" s="56" t="s">
        <v>379</v>
      </c>
      <c r="Q72" s="57"/>
      <c r="R72" s="56" t="s">
        <v>380</v>
      </c>
    </row>
    <row r="73" ht="15.75" customHeight="1">
      <c r="A73" s="11" t="s">
        <v>1245</v>
      </c>
      <c r="B73" s="11">
        <v>3.0</v>
      </c>
      <c r="C73" s="11" t="s">
        <v>117</v>
      </c>
      <c r="D73" s="11" t="str">
        <f t="array" ref="D73">IFERROR(INDEX(DOCUMENTOS!$E:$E,MATCH($B73,DOCUMENTOS!$A:$A,0)),"")</f>
        <v>Boletim de Medição</v>
      </c>
      <c r="E73" s="11" t="str">
        <f t="array" ref="E73">IFERROR(INDEX('BANCO DE PERGUNTAS'!$D:$D,MATCH($C73,'BANCO DE PERGUNTAS'!$A:$A,0)),"")</f>
        <v>Qual setor ou unidade está relacionado ao documento?</v>
      </c>
      <c r="F73" s="54" t="s">
        <v>1248</v>
      </c>
      <c r="G73" s="55" t="s">
        <v>1249</v>
      </c>
      <c r="H73" s="61"/>
      <c r="I73" s="61"/>
      <c r="J73" s="55" t="s">
        <v>1250</v>
      </c>
      <c r="K73" s="55" t="s">
        <v>1224</v>
      </c>
      <c r="L73" s="55" t="s">
        <v>1251</v>
      </c>
      <c r="M73" s="61"/>
      <c r="N73" s="56" t="s">
        <v>1252</v>
      </c>
      <c r="O73" s="56" t="s">
        <v>378</v>
      </c>
      <c r="P73" s="56" t="s">
        <v>379</v>
      </c>
      <c r="Q73" s="57"/>
      <c r="R73" s="56" t="s">
        <v>380</v>
      </c>
    </row>
    <row r="74" ht="15.75" customHeight="1">
      <c r="A74" s="14" t="s">
        <v>1254</v>
      </c>
      <c r="B74" s="14">
        <v>3.0</v>
      </c>
      <c r="C74" s="14" t="s">
        <v>131</v>
      </c>
      <c r="D74" s="14" t="str">
        <f t="array" ref="D74">IFERROR(INDEX(DOCUMENTOS!$E:$E,MATCH($B74,DOCUMENTOS!$A:$A,0)),"")</f>
        <v>Boletim de Medição</v>
      </c>
      <c r="E74" s="14" t="str">
        <f t="array" ref="E74">IFERROR(INDEX('BANCO DE PERGUNTAS'!$D:$D,MATCH($C74,'BANCO DE PERGUNTAS'!$A:$A,0)),"")</f>
        <v>Quais são as partes ou instituições mencionadas?</v>
      </c>
      <c r="F74" s="54" t="s">
        <v>1256</v>
      </c>
      <c r="G74" s="55" t="s">
        <v>1257</v>
      </c>
      <c r="H74" s="55" t="s">
        <v>1258</v>
      </c>
      <c r="I74" s="55" t="s">
        <v>1259</v>
      </c>
      <c r="J74" s="55" t="s">
        <v>1260</v>
      </c>
      <c r="K74" s="55" t="s">
        <v>1261</v>
      </c>
      <c r="L74" s="55" t="s">
        <v>539</v>
      </c>
      <c r="M74" s="61"/>
      <c r="N74" s="56" t="s">
        <v>431</v>
      </c>
      <c r="O74" s="56" t="s">
        <v>378</v>
      </c>
      <c r="P74" s="56" t="s">
        <v>379</v>
      </c>
      <c r="Q74" s="57"/>
      <c r="R74" s="56" t="s">
        <v>380</v>
      </c>
    </row>
    <row r="75" ht="15.75" customHeight="1">
      <c r="A75" s="11" t="s">
        <v>1262</v>
      </c>
      <c r="B75" s="11">
        <v>3.0</v>
      </c>
      <c r="C75" s="11" t="s">
        <v>144</v>
      </c>
      <c r="D75" s="11" t="str">
        <f t="array" ref="D75">IFERROR(INDEX(DOCUMENTOS!$E:$E,MATCH($B75,DOCUMENTOS!$A:$A,0)),"")</f>
        <v>Boletim de Medição</v>
      </c>
      <c r="E75" s="11" t="str">
        <f t="array" ref="E75">IFERROR(INDEX('BANCO DE PERGUNTAS'!$D:$D,MATCH($C75,'BANCO DE PERGUNTAS'!$A:$A,0)),"")</f>
        <v>Qual informação específica está apresentada na seção 08?</v>
      </c>
      <c r="F75" s="54" t="s">
        <v>1263</v>
      </c>
      <c r="G75" s="55" t="s">
        <v>1264</v>
      </c>
      <c r="H75" s="55" t="s">
        <v>1265</v>
      </c>
      <c r="I75" s="55" t="s">
        <v>1266</v>
      </c>
      <c r="J75" s="55" t="s">
        <v>1267</v>
      </c>
      <c r="K75" s="55" t="s">
        <v>1268</v>
      </c>
      <c r="L75" s="55" t="s">
        <v>1269</v>
      </c>
      <c r="M75" s="55" t="s">
        <v>1270</v>
      </c>
      <c r="N75" s="56" t="s">
        <v>1271</v>
      </c>
      <c r="O75" s="56" t="s">
        <v>378</v>
      </c>
      <c r="P75" s="56" t="s">
        <v>379</v>
      </c>
      <c r="Q75" s="57"/>
      <c r="R75" s="56" t="s">
        <v>380</v>
      </c>
    </row>
    <row r="76" ht="15.75" customHeight="1">
      <c r="A76" s="14" t="s">
        <v>1272</v>
      </c>
      <c r="B76" s="14">
        <v>3.0</v>
      </c>
      <c r="C76" s="14" t="s">
        <v>156</v>
      </c>
      <c r="D76" s="14" t="str">
        <f t="array" ref="D76">IFERROR(INDEX(DOCUMENTOS!$E:$E,MATCH($B76,DOCUMENTOS!$A:$A,0)),"")</f>
        <v>Boletim de Medição</v>
      </c>
      <c r="E76" s="14" t="str">
        <f t="array" ref="E76">IFERROR(INDEX('BANCO DE PERGUNTAS'!$D:$D,MATCH($C76,'BANCO DE PERGUNTAS'!$A:$A,0)),"")</f>
        <v>Em qual seção do documento está localizada a informação solicitada?</v>
      </c>
      <c r="F76" s="54" t="s">
        <v>1273</v>
      </c>
      <c r="G76" s="55" t="s">
        <v>450</v>
      </c>
      <c r="H76" s="55" t="s">
        <v>830</v>
      </c>
      <c r="I76" s="61"/>
      <c r="J76" s="55" t="s">
        <v>1274</v>
      </c>
      <c r="K76" s="55" t="s">
        <v>1275</v>
      </c>
      <c r="L76" s="55" t="s">
        <v>456</v>
      </c>
      <c r="M76" s="61"/>
      <c r="N76" s="56" t="s">
        <v>457</v>
      </c>
      <c r="O76" s="56" t="s">
        <v>378</v>
      </c>
      <c r="P76" s="56" t="s">
        <v>379</v>
      </c>
      <c r="Q76" s="57"/>
      <c r="R76" s="56" t="s">
        <v>380</v>
      </c>
    </row>
    <row r="77" ht="15.75" customHeight="1">
      <c r="A77" s="11" t="s">
        <v>1276</v>
      </c>
      <c r="B77" s="11">
        <v>3.0</v>
      </c>
      <c r="C77" s="11" t="s">
        <v>162</v>
      </c>
      <c r="D77" s="11" t="str">
        <f t="array" ref="D77">IFERROR(INDEX(DOCUMENTOS!$E:$E,MATCH($B77,DOCUMENTOS!$A:$A,0)),"")</f>
        <v>Boletim de Medição</v>
      </c>
      <c r="E77" s="11" t="str">
        <f t="array" ref="E77">IFERROR(INDEX('BANCO DE PERGUNTAS'!$D:$D,MATCH($C77,'BANCO DE PERGUNTAS'!$A:$A,0)),"")</f>
        <v>Qual é o valor indicado para o Valor Total Anual do Objeto licitado?</v>
      </c>
      <c r="F77" s="54" t="s">
        <v>1278</v>
      </c>
      <c r="G77" s="55" t="s">
        <v>464</v>
      </c>
      <c r="H77" s="55" t="s">
        <v>1279</v>
      </c>
      <c r="I77" s="55" t="s">
        <v>1280</v>
      </c>
      <c r="J77" s="55" t="s">
        <v>1281</v>
      </c>
      <c r="K77" s="55" t="s">
        <v>374</v>
      </c>
      <c r="L77" s="55" t="s">
        <v>1282</v>
      </c>
      <c r="M77" s="55" t="s">
        <v>1283</v>
      </c>
      <c r="N77" s="56" t="s">
        <v>1284</v>
      </c>
      <c r="O77" s="56" t="s">
        <v>378</v>
      </c>
      <c r="P77" s="56" t="s">
        <v>379</v>
      </c>
      <c r="Q77" s="57"/>
      <c r="R77" s="56" t="s">
        <v>380</v>
      </c>
    </row>
    <row r="78" ht="15.75" customHeight="1">
      <c r="A78" s="14" t="s">
        <v>1285</v>
      </c>
      <c r="B78" s="14">
        <v>3.0</v>
      </c>
      <c r="C78" s="14" t="s">
        <v>168</v>
      </c>
      <c r="D78" s="14" t="str">
        <f t="array" ref="D78">IFERROR(INDEX(DOCUMENTOS!$E:$E,MATCH($B78,DOCUMENTOS!$A:$A,0)),"")</f>
        <v>Boletim de Medição</v>
      </c>
      <c r="E78" s="14" t="str">
        <f t="array" ref="E78">IFERROR(INDEX('BANCO DE PERGUNTAS'!$D:$D,MATCH($C78,'BANCO DE PERGUNTAS'!$A:$A,0)),"")</f>
        <v>Qual é a data indicada para de assinatura de todos os membros da comissão da contratação?</v>
      </c>
      <c r="F78" s="54" t="s">
        <v>1286</v>
      </c>
      <c r="G78" s="55" t="s">
        <v>1287</v>
      </c>
      <c r="H78" s="61"/>
      <c r="I78" s="55" t="s">
        <v>1288</v>
      </c>
      <c r="J78" s="55" t="s">
        <v>1289</v>
      </c>
      <c r="K78" s="55" t="s">
        <v>1290</v>
      </c>
      <c r="L78" s="55" t="s">
        <v>1291</v>
      </c>
      <c r="M78" s="61"/>
      <c r="N78" s="56" t="s">
        <v>1293</v>
      </c>
      <c r="O78" s="56" t="s">
        <v>378</v>
      </c>
      <c r="P78" s="56" t="s">
        <v>379</v>
      </c>
      <c r="Q78" s="57"/>
      <c r="R78" s="56" t="s">
        <v>380</v>
      </c>
    </row>
    <row r="79" ht="15.75" customHeight="1">
      <c r="A79" s="11" t="s">
        <v>1294</v>
      </c>
      <c r="B79" s="11">
        <v>3.0</v>
      </c>
      <c r="C79" s="11" t="s">
        <v>172</v>
      </c>
      <c r="D79" s="11" t="str">
        <f t="array" ref="D79">IFERROR(INDEX(DOCUMENTOS!$E:$E,MATCH($B79,DOCUMENTOS!$A:$A,0)),"")</f>
        <v>Boletim de Medição</v>
      </c>
      <c r="E79" s="11" t="str">
        <f t="array" ref="E79">IFERROR(INDEX('BANCO DE PERGUNTAS'!$D:$D,MATCH($C79,'BANCO DE PERGUNTAS'!$A:$A,0)),"")</f>
        <v>Extraia os principais dados do documento em formato estruturado.</v>
      </c>
      <c r="F79" s="54" t="s">
        <v>1298</v>
      </c>
      <c r="G79" s="55" t="s">
        <v>1299</v>
      </c>
      <c r="H79" s="61"/>
      <c r="I79" s="61"/>
      <c r="J79" s="55" t="s">
        <v>1300</v>
      </c>
      <c r="K79" s="55" t="s">
        <v>1261</v>
      </c>
      <c r="L79" s="55" t="s">
        <v>1301</v>
      </c>
      <c r="M79" s="61"/>
      <c r="N79" s="56" t="s">
        <v>498</v>
      </c>
      <c r="O79" s="56" t="s">
        <v>378</v>
      </c>
      <c r="P79" s="56" t="s">
        <v>379</v>
      </c>
      <c r="Q79" s="57"/>
      <c r="R79" s="56" t="s">
        <v>380</v>
      </c>
    </row>
    <row r="80" ht="15.75" customHeight="1">
      <c r="A80" s="14" t="s">
        <v>1302</v>
      </c>
      <c r="B80" s="14">
        <v>3.0</v>
      </c>
      <c r="C80" s="14" t="s">
        <v>179</v>
      </c>
      <c r="D80" s="14" t="str">
        <f t="array" ref="D80">IFERROR(INDEX(DOCUMENTOS!$E:$E,MATCH($B80,DOCUMENTOS!$A:$A,0)),"")</f>
        <v>Boletim de Medição</v>
      </c>
      <c r="E80" s="14" t="str">
        <f t="array" ref="E80">IFERROR(INDEX('BANCO DE PERGUNTAS'!$D:$D,MATCH($C80,'BANCO DE PERGUNTAS'!$A:$A,0)),"")</f>
        <v>Liste os valores financeiros presentes no documento.</v>
      </c>
      <c r="F80" s="54" t="s">
        <v>1304</v>
      </c>
      <c r="G80" s="55" t="s">
        <v>1305</v>
      </c>
      <c r="H80" s="55" t="s">
        <v>1306</v>
      </c>
      <c r="I80" s="61"/>
      <c r="J80" s="55" t="s">
        <v>1307</v>
      </c>
      <c r="K80" s="55" t="s">
        <v>1308</v>
      </c>
      <c r="L80" s="55" t="s">
        <v>1309</v>
      </c>
      <c r="M80" s="61"/>
      <c r="N80" s="56" t="s">
        <v>507</v>
      </c>
      <c r="O80" s="56" t="s">
        <v>378</v>
      </c>
      <c r="P80" s="56" t="s">
        <v>379</v>
      </c>
      <c r="Q80" s="57"/>
      <c r="R80" s="56" t="s">
        <v>380</v>
      </c>
    </row>
    <row r="81" ht="15.75" customHeight="1">
      <c r="A81" s="11" t="s">
        <v>1310</v>
      </c>
      <c r="B81" s="11">
        <v>3.0</v>
      </c>
      <c r="C81" s="11" t="s">
        <v>186</v>
      </c>
      <c r="D81" s="11" t="str">
        <f t="array" ref="D81">IFERROR(INDEX(DOCUMENTOS!$E:$E,MATCH($B81,DOCUMENTOS!$A:$A,0)),"")</f>
        <v>Boletim de Medição</v>
      </c>
      <c r="E81" s="11" t="str">
        <f t="array" ref="E81">IFERROR(INDEX('BANCO DE PERGUNTAS'!$D:$D,MATCH($C81,'BANCO DE PERGUNTAS'!$A:$A,0)),"")</f>
        <v>Liste as obrigações ou responsabilidades estabelecidas.</v>
      </c>
      <c r="F81" s="54" t="s">
        <v>1312</v>
      </c>
      <c r="G81" s="55" t="s">
        <v>1313</v>
      </c>
      <c r="H81" s="61"/>
      <c r="I81" s="61"/>
      <c r="J81" s="55" t="s">
        <v>1314</v>
      </c>
      <c r="K81" s="55" t="s">
        <v>1315</v>
      </c>
      <c r="L81" s="55" t="s">
        <v>1316</v>
      </c>
      <c r="M81" s="61"/>
      <c r="N81" s="56" t="s">
        <v>1317</v>
      </c>
      <c r="O81" s="56" t="s">
        <v>378</v>
      </c>
      <c r="P81" s="56" t="s">
        <v>379</v>
      </c>
      <c r="Q81" s="57"/>
      <c r="R81" s="56" t="s">
        <v>380</v>
      </c>
    </row>
    <row r="82" ht="15.75" customHeight="1">
      <c r="A82" s="14" t="s">
        <v>1319</v>
      </c>
      <c r="B82" s="14">
        <v>3.0</v>
      </c>
      <c r="C82" s="14" t="s">
        <v>190</v>
      </c>
      <c r="D82" s="14" t="str">
        <f t="array" ref="D82">IFERROR(INDEX(DOCUMENTOS!$E:$E,MATCH($B82,DOCUMENTOS!$A:$A,0)),"")</f>
        <v>Boletim de Medição</v>
      </c>
      <c r="E82" s="14" t="str">
        <f t="array" ref="E82">IFERROR(INDEX('BANCO DE PERGUNTAS'!$D:$D,MATCH($C82,'BANCO DE PERGUNTAS'!$A:$A,0)),"")</f>
        <v>Explique o significado da cláusula/seção 4.1.4..</v>
      </c>
      <c r="F82" s="54" t="s">
        <v>1324</v>
      </c>
      <c r="G82" s="55" t="s">
        <v>1325</v>
      </c>
      <c r="H82" s="55" t="s">
        <v>1326</v>
      </c>
      <c r="I82" s="55" t="s">
        <v>1327</v>
      </c>
      <c r="J82" s="55" t="s">
        <v>1328</v>
      </c>
      <c r="K82" s="55" t="s">
        <v>1329</v>
      </c>
      <c r="L82" s="55" t="s">
        <v>1330</v>
      </c>
      <c r="M82" s="61"/>
      <c r="N82" s="56" t="s">
        <v>1331</v>
      </c>
      <c r="O82" s="56" t="s">
        <v>378</v>
      </c>
      <c r="P82" s="56" t="s">
        <v>379</v>
      </c>
      <c r="Q82" s="57"/>
      <c r="R82" s="56" t="s">
        <v>380</v>
      </c>
    </row>
    <row r="83" ht="15.75" customHeight="1">
      <c r="A83" s="11" t="s">
        <v>1332</v>
      </c>
      <c r="B83" s="11">
        <v>3.0</v>
      </c>
      <c r="C83" s="11" t="s">
        <v>199</v>
      </c>
      <c r="D83" s="11" t="str">
        <f t="array" ref="D83">IFERROR(INDEX(DOCUMENTOS!$E:$E,MATCH($B83,DOCUMENTOS!$A:$A,0)),"")</f>
        <v>Boletim de Medição</v>
      </c>
      <c r="E83" s="11" t="str">
        <f t="array" ref="E83">IFERROR(INDEX('BANCO DE PERGUNTAS'!$D:$D,MATCH($C83,'BANCO DE PERGUNTAS'!$A:$A,0)),"")</f>
        <v>Qual é a finalidade administrativa deste documento?</v>
      </c>
      <c r="F83" s="54" t="s">
        <v>1333</v>
      </c>
      <c r="G83" s="55" t="s">
        <v>1334</v>
      </c>
      <c r="H83" s="61"/>
      <c r="I83" s="61"/>
      <c r="J83" s="55" t="s">
        <v>1335</v>
      </c>
      <c r="K83" s="55" t="s">
        <v>1261</v>
      </c>
      <c r="L83" s="55" t="s">
        <v>1336</v>
      </c>
      <c r="M83" s="61"/>
      <c r="N83" s="56" t="s">
        <v>1337</v>
      </c>
      <c r="O83" s="56" t="s">
        <v>378</v>
      </c>
      <c r="P83" s="56" t="s">
        <v>379</v>
      </c>
      <c r="Q83" s="57"/>
      <c r="R83" s="56" t="s">
        <v>380</v>
      </c>
    </row>
    <row r="84" ht="15.75" customHeight="1">
      <c r="A84" s="14" t="s">
        <v>1338</v>
      </c>
      <c r="B84" s="14">
        <v>3.0</v>
      </c>
      <c r="C84" s="14" t="s">
        <v>203</v>
      </c>
      <c r="D84" s="14" t="str">
        <f t="array" ref="D84">IFERROR(INDEX(DOCUMENTOS!$E:$E,MATCH($B84,DOCUMENTOS!$A:$A,0)),"")</f>
        <v>Boletim de Medição</v>
      </c>
      <c r="E84" s="14" t="str">
        <f t="array" ref="E84">IFERROR(INDEX('BANCO DE PERGUNTAS'!$D:$D,MATCH($C84,'BANCO DE PERGUNTAS'!$A:$A,0)),"")</f>
        <v>Qual consequência decorre da informação estabelecida em 4.11?</v>
      </c>
      <c r="F84" s="54" t="s">
        <v>1339</v>
      </c>
      <c r="G84" s="55" t="s">
        <v>1340</v>
      </c>
      <c r="H84" s="55" t="s">
        <v>1341</v>
      </c>
      <c r="I84" s="55" t="s">
        <v>1342</v>
      </c>
      <c r="J84" s="55" t="s">
        <v>1343</v>
      </c>
      <c r="K84" s="55" t="s">
        <v>529</v>
      </c>
      <c r="L84" s="55" t="s">
        <v>1345</v>
      </c>
      <c r="M84" s="55" t="s">
        <v>1346</v>
      </c>
      <c r="N84" s="56" t="s">
        <v>1347</v>
      </c>
      <c r="O84" s="56" t="s">
        <v>378</v>
      </c>
      <c r="P84" s="56" t="s">
        <v>379</v>
      </c>
      <c r="Q84" s="57"/>
      <c r="R84" s="56" t="s">
        <v>380</v>
      </c>
    </row>
    <row r="85" ht="15.75" customHeight="1">
      <c r="A85" s="11" t="s">
        <v>1348</v>
      </c>
      <c r="B85" s="11">
        <v>3.0</v>
      </c>
      <c r="C85" s="11" t="s">
        <v>208</v>
      </c>
      <c r="D85" s="11" t="str">
        <f t="array" ref="D85">IFERROR(INDEX(DOCUMENTOS!$E:$E,MATCH($B85,DOCUMENTOS!$A:$A,0)),"")</f>
        <v>Boletim de Medição</v>
      </c>
      <c r="E85" s="11" t="str">
        <f t="array" ref="E85">IFERROR(INDEX('BANCO DE PERGUNTAS'!$D:$D,MATCH($C85,'BANCO DE PERGUNTAS'!$A:$A,0)),"")</f>
        <v>Existem informações aparentemente inconsistentes dentro do documento?</v>
      </c>
      <c r="F85" s="54" t="s">
        <v>1352</v>
      </c>
      <c r="G85" s="55" t="s">
        <v>1353</v>
      </c>
      <c r="H85" s="55" t="s">
        <v>1354</v>
      </c>
      <c r="I85" s="55" t="s">
        <v>557</v>
      </c>
      <c r="J85" s="55" t="s">
        <v>1355</v>
      </c>
      <c r="K85" s="55" t="s">
        <v>1356</v>
      </c>
      <c r="L85" s="55" t="s">
        <v>1357</v>
      </c>
      <c r="M85" s="61"/>
      <c r="N85" s="56" t="s">
        <v>1034</v>
      </c>
      <c r="O85" s="56" t="s">
        <v>378</v>
      </c>
      <c r="P85" s="56" t="s">
        <v>379</v>
      </c>
      <c r="Q85" s="57"/>
      <c r="R85" s="56" t="s">
        <v>380</v>
      </c>
    </row>
    <row r="86" ht="15.75" customHeight="1">
      <c r="A86" s="14" t="s">
        <v>1358</v>
      </c>
      <c r="B86" s="14">
        <v>3.0</v>
      </c>
      <c r="C86" s="14" t="s">
        <v>215</v>
      </c>
      <c r="D86" s="14" t="str">
        <f t="array" ref="D86">IFERROR(INDEX(DOCUMENTOS!$E:$E,MATCH($B86,DOCUMENTOS!$A:$A,0)),"")</f>
        <v>Boletim de Medição</v>
      </c>
      <c r="E86" s="14" t="str">
        <f t="array" ref="E86">IFERROR(INDEX('BANCO DE PERGUNTAS'!$D:$D,MATCH($C86,'BANCO DE PERGUNTAS'!$A:$A,0)),"")</f>
        <v>Existem valores, datas, números ou informações aparentemente incompatíveis?</v>
      </c>
      <c r="F86" s="54" t="s">
        <v>1361</v>
      </c>
      <c r="G86" s="55" t="s">
        <v>1362</v>
      </c>
      <c r="H86" s="55" t="s">
        <v>568</v>
      </c>
      <c r="I86" s="61"/>
      <c r="J86" s="55" t="s">
        <v>1363</v>
      </c>
      <c r="K86" s="55" t="s">
        <v>1261</v>
      </c>
      <c r="L86" s="55" t="s">
        <v>1364</v>
      </c>
      <c r="M86" s="61"/>
      <c r="N86" s="56" t="s">
        <v>572</v>
      </c>
      <c r="O86" s="56" t="s">
        <v>378</v>
      </c>
      <c r="P86" s="56" t="s">
        <v>379</v>
      </c>
      <c r="Q86" s="57"/>
      <c r="R86" s="56" t="s">
        <v>380</v>
      </c>
    </row>
    <row r="87" ht="15.75" customHeight="1">
      <c r="A87" s="11" t="s">
        <v>1365</v>
      </c>
      <c r="B87" s="11">
        <v>3.0</v>
      </c>
      <c r="C87" s="11" t="s">
        <v>219</v>
      </c>
      <c r="D87" s="11" t="str">
        <f t="array" ref="D87">IFERROR(INDEX(DOCUMENTOS!$E:$E,MATCH($B87,DOCUMENTOS!$A:$A,0)),"")</f>
        <v>Boletim de Medição</v>
      </c>
      <c r="E87" s="11" t="str">
        <f t="array" ref="E87">IFERROR(INDEX('BANCO DE PERGUNTAS'!$D:$D,MATCH($C87,'BANCO DE PERGUNTAS'!$A:$A,0)),"")</f>
        <v>Existem informações relevantes ausentes?</v>
      </c>
      <c r="F87" s="54" t="s">
        <v>1366</v>
      </c>
      <c r="G87" s="55" t="s">
        <v>1367</v>
      </c>
      <c r="H87" s="55" t="s">
        <v>568</v>
      </c>
      <c r="I87" s="61"/>
      <c r="J87" s="55" t="s">
        <v>1368</v>
      </c>
      <c r="K87" s="55" t="s">
        <v>1369</v>
      </c>
      <c r="L87" s="55" t="s">
        <v>1370</v>
      </c>
      <c r="M87" s="61"/>
      <c r="N87" s="56" t="s">
        <v>582</v>
      </c>
      <c r="O87" s="56" t="s">
        <v>378</v>
      </c>
      <c r="P87" s="56" t="s">
        <v>379</v>
      </c>
      <c r="Q87" s="57"/>
      <c r="R87" s="56" t="s">
        <v>380</v>
      </c>
    </row>
    <row r="88" ht="15.75" customHeight="1">
      <c r="A88" s="14" t="s">
        <v>1371</v>
      </c>
      <c r="B88" s="14">
        <v>3.0</v>
      </c>
      <c r="C88" s="14" t="s">
        <v>226</v>
      </c>
      <c r="D88" s="14" t="str">
        <f t="array" ref="D88">IFERROR(INDEX(DOCUMENTOS!$E:$E,MATCH($B88,DOCUMENTOS!$A:$A,0)),"")</f>
        <v>Boletim de Medição</v>
      </c>
      <c r="E88" s="14" t="str">
        <f t="array" ref="E88">IFERROR(INDEX('BANCO DE PERGUNTAS'!$D:$D,MATCH($C88,'BANCO DE PERGUNTAS'!$A:$A,0)),"")</f>
        <v>Identifique possíveis erros materiais no documento.</v>
      </c>
      <c r="F88" s="54" t="s">
        <v>1375</v>
      </c>
      <c r="G88" s="55" t="s">
        <v>1376</v>
      </c>
      <c r="H88" s="55" t="s">
        <v>1377</v>
      </c>
      <c r="I88" s="61"/>
      <c r="J88" s="55" t="s">
        <v>1378</v>
      </c>
      <c r="K88" s="55" t="s">
        <v>1261</v>
      </c>
      <c r="L88" s="55" t="s">
        <v>590</v>
      </c>
      <c r="M88" s="61"/>
      <c r="N88" s="56" t="s">
        <v>591</v>
      </c>
      <c r="O88" s="56" t="s">
        <v>378</v>
      </c>
      <c r="P88" s="56" t="s">
        <v>379</v>
      </c>
      <c r="Q88" s="57"/>
      <c r="R88" s="56" t="s">
        <v>380</v>
      </c>
    </row>
    <row r="89" ht="15.75" customHeight="1">
      <c r="A89" s="11" t="s">
        <v>1379</v>
      </c>
      <c r="B89" s="11">
        <v>3.0</v>
      </c>
      <c r="C89" s="11" t="s">
        <v>232</v>
      </c>
      <c r="D89" s="11" t="str">
        <f t="array" ref="D89">IFERROR(INDEX(DOCUMENTOS!$E:$E,MATCH($B89,DOCUMENTOS!$A:$A,0)),"")</f>
        <v>Boletim de Medição</v>
      </c>
      <c r="E89" s="11" t="str">
        <f t="array" ref="E89">IFERROR(INDEX('BANCO DE PERGUNTAS'!$D:$D,MATCH($C89,'BANCO DE PERGUNTAS'!$A:$A,0)),"")</f>
        <v>Existem informações que deveriam ser verificadas por um servidor antes da utilização do documento?</v>
      </c>
      <c r="F89" s="54" t="s">
        <v>1383</v>
      </c>
      <c r="G89" s="61"/>
      <c r="H89" s="61"/>
      <c r="I89" s="61"/>
      <c r="J89" s="55" t="s">
        <v>1378</v>
      </c>
      <c r="K89" s="55" t="s">
        <v>1261</v>
      </c>
      <c r="L89" s="55" t="s">
        <v>590</v>
      </c>
      <c r="M89" s="61"/>
      <c r="N89" s="56" t="s">
        <v>1384</v>
      </c>
      <c r="O89" s="56" t="s">
        <v>378</v>
      </c>
      <c r="P89" s="56" t="s">
        <v>379</v>
      </c>
      <c r="Q89" s="57"/>
      <c r="R89" s="56" t="s">
        <v>380</v>
      </c>
    </row>
    <row r="90" ht="15.75" customHeight="1">
      <c r="A90" s="14" t="s">
        <v>1385</v>
      </c>
      <c r="B90" s="14">
        <v>3.0</v>
      </c>
      <c r="C90" s="14" t="s">
        <v>240</v>
      </c>
      <c r="D90" s="14" t="str">
        <f t="array" ref="D90">IFERROR(INDEX(DOCUMENTOS!$E:$E,MATCH($B90,DOCUMENTOS!$A:$A,0)),"")</f>
        <v>Boletim de Medição</v>
      </c>
      <c r="E90" s="14" t="str">
        <f t="array" ref="E90">IFERROR(INDEX('BANCO DE PERGUNTAS'!$D:$D,MATCH($C90,'BANCO DE PERGUNTAS'!$A:$A,0)),"")</f>
        <v>Existem elementos que indiquem possível desconformidade com os próprios requisitos apresentados no documento?</v>
      </c>
      <c r="F90" s="54" t="s">
        <v>1386</v>
      </c>
      <c r="G90" s="55" t="s">
        <v>1387</v>
      </c>
      <c r="H90" s="55" t="s">
        <v>1388</v>
      </c>
      <c r="I90" s="61"/>
      <c r="J90" s="55" t="s">
        <v>1389</v>
      </c>
      <c r="K90" s="55" t="s">
        <v>1390</v>
      </c>
      <c r="L90" s="55" t="s">
        <v>1391</v>
      </c>
      <c r="M90" s="61"/>
      <c r="N90" s="56" t="s">
        <v>1392</v>
      </c>
      <c r="O90" s="56" t="s">
        <v>378</v>
      </c>
      <c r="P90" s="56" t="s">
        <v>379</v>
      </c>
      <c r="Q90" s="57"/>
      <c r="R90" s="56" t="s">
        <v>380</v>
      </c>
    </row>
    <row r="91" ht="15.75" customHeight="1">
      <c r="A91" s="11" t="s">
        <v>1393</v>
      </c>
      <c r="B91" s="11">
        <v>3.0</v>
      </c>
      <c r="C91" s="11" t="s">
        <v>247</v>
      </c>
      <c r="D91" s="11" t="str">
        <f t="array" ref="D91">IFERROR(INDEX(DOCUMENTOS!$E:$E,MATCH($B91,DOCUMENTOS!$A:$A,0)),"")</f>
        <v>Boletim de Medição</v>
      </c>
      <c r="E91" s="11" t="str">
        <f t="array" ref="E91">IFERROR(INDEX('BANCO DE PERGUNTAS'!$D:$D,MATCH($C91,'BANCO DE PERGUNTAS'!$A:$A,0)),"")</f>
        <v>Quais requisitos estão explicitamente presentes?</v>
      </c>
      <c r="F91" s="54" t="s">
        <v>1394</v>
      </c>
      <c r="G91" s="61"/>
      <c r="H91" s="61"/>
      <c r="I91" s="61"/>
      <c r="J91" s="55" t="s">
        <v>1395</v>
      </c>
      <c r="K91" s="55" t="s">
        <v>1396</v>
      </c>
      <c r="L91" s="55" t="s">
        <v>1397</v>
      </c>
      <c r="M91" s="61"/>
      <c r="N91" s="56" t="s">
        <v>638</v>
      </c>
      <c r="O91" s="56" t="s">
        <v>378</v>
      </c>
      <c r="P91" s="56" t="s">
        <v>379</v>
      </c>
      <c r="Q91" s="57"/>
      <c r="R91" s="56" t="s">
        <v>380</v>
      </c>
    </row>
    <row r="92" ht="15.75" customHeight="1">
      <c r="A92" s="14" t="s">
        <v>1398</v>
      </c>
      <c r="B92" s="14">
        <v>3.0</v>
      </c>
      <c r="C92" s="14" t="s">
        <v>252</v>
      </c>
      <c r="D92" s="14" t="str">
        <f t="array" ref="D92">IFERROR(INDEX(DOCUMENTOS!$E:$E,MATCH($B92,DOCUMENTOS!$A:$A,0)),"")</f>
        <v>Boletim de Medição</v>
      </c>
      <c r="E92" s="14" t="str">
        <f t="array" ref="E92">IFERROR(INDEX('BANCO DE PERGUNTAS'!$D:$D,MATCH($C92,'BANCO DE PERGUNTAS'!$A:$A,0)),"")</f>
        <v>Quais informações necessárias parecem estar ausentes?</v>
      </c>
      <c r="F92" s="54" t="s">
        <v>1401</v>
      </c>
      <c r="G92" s="61"/>
      <c r="H92" s="61"/>
      <c r="I92" s="61"/>
      <c r="J92" s="55" t="s">
        <v>1402</v>
      </c>
      <c r="K92" s="55" t="s">
        <v>1189</v>
      </c>
      <c r="L92" s="55" t="s">
        <v>590</v>
      </c>
      <c r="M92" s="61"/>
      <c r="N92" s="56" t="s">
        <v>644</v>
      </c>
      <c r="O92" s="56" t="s">
        <v>378</v>
      </c>
      <c r="P92" s="56" t="s">
        <v>379</v>
      </c>
      <c r="Q92" s="57"/>
      <c r="R92" s="56" t="s">
        <v>380</v>
      </c>
    </row>
    <row r="93" ht="15.75" customHeight="1">
      <c r="A93" s="11" t="s">
        <v>1404</v>
      </c>
      <c r="B93" s="11">
        <v>3.0</v>
      </c>
      <c r="C93" s="11" t="s">
        <v>257</v>
      </c>
      <c r="D93" s="11" t="str">
        <f t="array" ref="D93">IFERROR(INDEX(DOCUMENTOS!$E:$E,MATCH($B93,DOCUMENTOS!$A:$A,0)),"")</f>
        <v>Boletim de Medição</v>
      </c>
      <c r="E93" s="11" t="str">
        <f t="array" ref="E93">IFERROR(INDEX('BANCO DE PERGUNTAS'!$D:$D,MATCH($C93,'BANCO DE PERGUNTAS'!$A:$A,0)),"")</f>
        <v>Existem informações conflitantes com outro documento relacionado?</v>
      </c>
      <c r="F93" s="54" t="s">
        <v>1408</v>
      </c>
      <c r="G93" s="55" t="s">
        <v>651</v>
      </c>
      <c r="H93" s="55" t="s">
        <v>652</v>
      </c>
      <c r="I93" s="55" t="s">
        <v>1409</v>
      </c>
      <c r="J93" s="55" t="s">
        <v>1410</v>
      </c>
      <c r="K93" s="55" t="s">
        <v>1411</v>
      </c>
      <c r="L93" s="55" t="s">
        <v>1412</v>
      </c>
      <c r="M93" s="61"/>
      <c r="N93" s="56" t="s">
        <v>1413</v>
      </c>
      <c r="O93" s="56" t="s">
        <v>378</v>
      </c>
      <c r="P93" s="56" t="s">
        <v>379</v>
      </c>
      <c r="Q93" s="57"/>
      <c r="R93" s="56" t="s">
        <v>1414</v>
      </c>
    </row>
    <row r="94" ht="15.75" customHeight="1">
      <c r="A94" s="14" t="s">
        <v>1415</v>
      </c>
      <c r="B94" s="14">
        <v>3.0</v>
      </c>
      <c r="C94" s="14" t="s">
        <v>264</v>
      </c>
      <c r="D94" s="14" t="str">
        <f t="array" ref="D94">IFERROR(INDEX(DOCUMENTOS!$E:$E,MATCH($B94,DOCUMENTOS!$A:$A,0)),"")</f>
        <v>Boletim de Medição</v>
      </c>
      <c r="E94" s="14" t="str">
        <f t="array" ref="E94">IFERROR(INDEX('BANCO DE PERGUNTAS'!$D:$D,MATCH($C94,'BANCO DE PERGUNTAS'!$A:$A,0)),"")</f>
        <v>Quais diferenças existem entre os documentos?</v>
      </c>
      <c r="F94" s="54" t="s">
        <v>1416</v>
      </c>
      <c r="G94" s="55" t="s">
        <v>1417</v>
      </c>
      <c r="H94" s="55" t="s">
        <v>1418</v>
      </c>
      <c r="I94" s="61"/>
      <c r="J94" s="55" t="s">
        <v>1419</v>
      </c>
      <c r="K94" s="55" t="s">
        <v>1261</v>
      </c>
      <c r="L94" s="55" t="s">
        <v>1420</v>
      </c>
      <c r="M94" s="61"/>
      <c r="N94" s="56" t="s">
        <v>667</v>
      </c>
      <c r="O94" s="56" t="s">
        <v>378</v>
      </c>
      <c r="P94" s="56" t="s">
        <v>379</v>
      </c>
      <c r="Q94" s="57"/>
      <c r="R94" s="56" t="s">
        <v>1414</v>
      </c>
    </row>
    <row r="95" ht="15.75" customHeight="1">
      <c r="A95" s="11" t="s">
        <v>1421</v>
      </c>
      <c r="B95" s="11">
        <v>3.0</v>
      </c>
      <c r="C95" s="11" t="s">
        <v>269</v>
      </c>
      <c r="D95" s="11" t="str">
        <f t="array" ref="D95">IFERROR(INDEX(DOCUMENTOS!$E:$E,MATCH($B95,DOCUMENTOS!$A:$A,0)),"")</f>
        <v>Boletim de Medição</v>
      </c>
      <c r="E95" s="11" t="str">
        <f t="array" ref="E95">IFERROR(INDEX('BANCO DE PERGUNTAS'!$D:$D,MATCH($C95,'BANCO DE PERGUNTAS'!$A:$A,0)),"")</f>
        <v>Quais informações foram alteradas?</v>
      </c>
      <c r="F95" s="54" t="s">
        <v>1423</v>
      </c>
      <c r="G95" s="55" t="s">
        <v>1424</v>
      </c>
      <c r="H95" s="61"/>
      <c r="I95" s="61"/>
      <c r="J95" s="55" t="s">
        <v>1425</v>
      </c>
      <c r="K95" s="55" t="s">
        <v>1426</v>
      </c>
      <c r="L95" s="55" t="s">
        <v>1427</v>
      </c>
      <c r="M95" s="61"/>
      <c r="N95" s="56" t="s">
        <v>667</v>
      </c>
      <c r="O95" s="56" t="s">
        <v>378</v>
      </c>
      <c r="P95" s="56" t="s">
        <v>379</v>
      </c>
      <c r="Q95" s="57"/>
      <c r="R95" s="56" t="s">
        <v>1414</v>
      </c>
    </row>
    <row r="96" ht="15.75" customHeight="1">
      <c r="A96" s="14" t="s">
        <v>1429</v>
      </c>
      <c r="B96" s="14">
        <v>3.0</v>
      </c>
      <c r="C96" s="14" t="s">
        <v>276</v>
      </c>
      <c r="D96" s="14" t="str">
        <f t="array" ref="D96">IFERROR(INDEX(DOCUMENTOS!$E:$E,MATCH($B96,DOCUMENTOS!$A:$A,0)),"")</f>
        <v>Boletim de Medição</v>
      </c>
      <c r="E96" s="14" t="str">
        <f t="array" ref="E96">IFERROR(INDEX('BANCO DE PERGUNTAS'!$D:$D,MATCH($C96,'BANCO DE PERGUNTAS'!$A:$A,0)),"")</f>
        <v>Identifique possíveis pontos de atenção administrativa.</v>
      </c>
      <c r="F96" s="54" t="s">
        <v>1432</v>
      </c>
      <c r="G96" s="61"/>
      <c r="H96" s="61"/>
      <c r="I96" s="61"/>
      <c r="J96" s="55" t="s">
        <v>1378</v>
      </c>
      <c r="K96" s="55" t="s">
        <v>1261</v>
      </c>
      <c r="L96" s="55" t="s">
        <v>590</v>
      </c>
      <c r="M96" s="61"/>
      <c r="N96" s="56" t="s">
        <v>687</v>
      </c>
      <c r="O96" s="56" t="s">
        <v>378</v>
      </c>
      <c r="P96" s="56" t="s">
        <v>379</v>
      </c>
      <c r="Q96" s="57"/>
      <c r="R96" s="56" t="s">
        <v>380</v>
      </c>
    </row>
    <row r="97" ht="15.75" customHeight="1">
      <c r="A97" s="11" t="s">
        <v>1433</v>
      </c>
      <c r="B97" s="11">
        <v>3.0</v>
      </c>
      <c r="C97" s="11" t="s">
        <v>284</v>
      </c>
      <c r="D97" s="11" t="str">
        <f t="array" ref="D97">IFERROR(INDEX(DOCUMENTOS!$E:$E,MATCH($B97,DOCUMENTOS!$A:$A,0)),"")</f>
        <v>Boletim de Medição</v>
      </c>
      <c r="E97" s="11" t="str">
        <f t="array" ref="E97">IFERROR(INDEX('BANCO DE PERGUNTAS'!$D:$D,MATCH($C97,'BANCO DE PERGUNTAS'!$A:$A,0)),"")</f>
        <v>Quais informações deveriam ser verificadas antes de uma decisão administrativa?</v>
      </c>
      <c r="F97" s="54" t="s">
        <v>1436</v>
      </c>
      <c r="G97" s="61"/>
      <c r="H97" s="61"/>
      <c r="I97" s="61"/>
      <c r="J97" s="55" t="s">
        <v>1378</v>
      </c>
      <c r="K97" s="55" t="s">
        <v>1261</v>
      </c>
      <c r="L97" s="55" t="s">
        <v>590</v>
      </c>
      <c r="M97" s="61"/>
      <c r="N97" s="56" t="s">
        <v>1437</v>
      </c>
      <c r="O97" s="56" t="s">
        <v>378</v>
      </c>
      <c r="P97" s="56" t="s">
        <v>379</v>
      </c>
      <c r="Q97" s="57"/>
      <c r="R97" s="56" t="s">
        <v>380</v>
      </c>
    </row>
    <row r="98" ht="15.75" customHeight="1">
      <c r="A98" s="14" t="s">
        <v>1438</v>
      </c>
      <c r="B98" s="14">
        <v>3.0</v>
      </c>
      <c r="C98" s="14" t="s">
        <v>288</v>
      </c>
      <c r="D98" s="14" t="str">
        <f t="array" ref="D98">IFERROR(INDEX(DOCUMENTOS!$E:$E,MATCH($B98,DOCUMENTOS!$A:$A,0)),"")</f>
        <v>Boletim de Medição</v>
      </c>
      <c r="E98" s="14" t="str">
        <f t="array" ref="E98">IFERROR(INDEX('BANCO DE PERGUNTAS'!$D:$D,MATCH($C98,'BANCO DE PERGUNTAS'!$A:$A,0)),"")</f>
        <v>Identifique situações que possam representar risco administrativo.</v>
      </c>
      <c r="F98" s="54" t="s">
        <v>1439</v>
      </c>
      <c r="G98" s="61"/>
      <c r="H98" s="61"/>
      <c r="I98" s="61"/>
      <c r="J98" s="55" t="s">
        <v>1378</v>
      </c>
      <c r="K98" s="55" t="s">
        <v>1261</v>
      </c>
      <c r="L98" s="55" t="s">
        <v>590</v>
      </c>
      <c r="M98" s="61"/>
      <c r="N98" s="56" t="s">
        <v>1191</v>
      </c>
      <c r="O98" s="56" t="s">
        <v>378</v>
      </c>
      <c r="P98" s="56" t="s">
        <v>379</v>
      </c>
      <c r="Q98" s="57"/>
      <c r="R98" s="56" t="s">
        <v>380</v>
      </c>
    </row>
    <row r="99" ht="15.75" customHeight="1">
      <c r="A99" s="11" t="s">
        <v>1440</v>
      </c>
      <c r="B99" s="11">
        <v>3.0</v>
      </c>
      <c r="C99" s="11" t="s">
        <v>294</v>
      </c>
      <c r="D99" s="11" t="str">
        <f t="array" ref="D99">IFERROR(INDEX(DOCUMENTOS!$E:$E,MATCH($B99,DOCUMENTOS!$A:$A,0)),"")</f>
        <v>Boletim de Medição</v>
      </c>
      <c r="E99" s="11" t="str">
        <f t="array" ref="E99">IFERROR(INDEX('BANCO DE PERGUNTAS'!$D:$D,MATCH($C99,'BANCO DE PERGUNTAS'!$A:$A,0)),"")</f>
        <v>Resuma o documento em até cinco pontos objetivos.</v>
      </c>
      <c r="F99" s="54" t="s">
        <v>1443</v>
      </c>
      <c r="G99" s="55" t="s">
        <v>1444</v>
      </c>
      <c r="H99" s="61"/>
      <c r="I99" s="61"/>
      <c r="J99" s="55" t="s">
        <v>1260</v>
      </c>
      <c r="K99" s="55" t="s">
        <v>1261</v>
      </c>
      <c r="L99" s="55" t="s">
        <v>539</v>
      </c>
      <c r="M99" s="61"/>
      <c r="N99" s="56" t="s">
        <v>709</v>
      </c>
      <c r="O99" s="56" t="s">
        <v>378</v>
      </c>
      <c r="P99" s="56" t="s">
        <v>379</v>
      </c>
      <c r="Q99" s="57"/>
      <c r="R99" s="56" t="s">
        <v>380</v>
      </c>
    </row>
    <row r="100" ht="15.75" customHeight="1">
      <c r="A100" s="14" t="s">
        <v>1445</v>
      </c>
      <c r="B100" s="14">
        <v>3.0</v>
      </c>
      <c r="C100" s="14" t="s">
        <v>302</v>
      </c>
      <c r="D100" s="14" t="str">
        <f t="array" ref="D100">IFERROR(INDEX(DOCUMENTOS!$E:$E,MATCH($B100,DOCUMENTOS!$A:$A,0)),"")</f>
        <v>Boletim de Medição</v>
      </c>
      <c r="E100" s="14" t="str">
        <f t="array" ref="E100">IFERROR(INDEX('BANCO DE PERGUNTAS'!$D:$D,MATCH($C100,'BANCO DE PERGUNTAS'!$A:$A,0)),"")</f>
        <v>Qual é a principal finalidade do documento?</v>
      </c>
      <c r="F100" s="54" t="s">
        <v>1450</v>
      </c>
      <c r="G100" s="61"/>
      <c r="H100" s="61"/>
      <c r="I100" s="61"/>
      <c r="J100" s="55" t="s">
        <v>1451</v>
      </c>
      <c r="K100" s="55" t="s">
        <v>374</v>
      </c>
      <c r="L100" s="55" t="s">
        <v>1452</v>
      </c>
      <c r="M100" s="61"/>
      <c r="N100" s="56" t="s">
        <v>714</v>
      </c>
      <c r="O100" s="56" t="s">
        <v>378</v>
      </c>
      <c r="P100" s="56" t="s">
        <v>379</v>
      </c>
      <c r="Q100" s="57"/>
      <c r="R100" s="56" t="s">
        <v>380</v>
      </c>
    </row>
    <row r="101" ht="15.75" customHeight="1">
      <c r="A101" s="11" t="s">
        <v>1453</v>
      </c>
      <c r="B101" s="11">
        <v>3.0</v>
      </c>
      <c r="C101" s="11" t="s">
        <v>307</v>
      </c>
      <c r="D101" s="11" t="str">
        <f t="array" ref="D101">IFERROR(INDEX(DOCUMENTOS!$E:$E,MATCH($B101,DOCUMENTOS!$A:$A,0)),"")</f>
        <v>Boletim de Medição</v>
      </c>
      <c r="E101" s="11" t="str">
        <f t="array" ref="E101">IFERROR(INDEX('BANCO DE PERGUNTAS'!$D:$D,MATCH($C101,'BANCO DE PERGUNTAS'!$A:$A,0)),"")</f>
        <v>Quais são as três informações mais importantes para um servidor responsável pela análise?</v>
      </c>
      <c r="F101" s="54" t="s">
        <v>1454</v>
      </c>
      <c r="G101" s="61"/>
      <c r="H101" s="61"/>
      <c r="I101" s="61"/>
      <c r="J101" s="55" t="s">
        <v>1455</v>
      </c>
      <c r="K101" s="55" t="s">
        <v>1456</v>
      </c>
      <c r="L101" s="55" t="s">
        <v>1457</v>
      </c>
      <c r="M101" s="61"/>
      <c r="N101" s="56" t="s">
        <v>723</v>
      </c>
      <c r="O101" s="56" t="s">
        <v>378</v>
      </c>
      <c r="P101" s="56" t="s">
        <v>379</v>
      </c>
      <c r="Q101" s="57"/>
      <c r="R101" s="56" t="s">
        <v>380</v>
      </c>
    </row>
    <row r="102" ht="15.75" customHeight="1">
      <c r="A102" s="14" t="s">
        <v>1458</v>
      </c>
      <c r="B102" s="14">
        <v>4.0</v>
      </c>
      <c r="C102" s="14" t="s">
        <v>33</v>
      </c>
      <c r="D102" s="14" t="str">
        <f t="array" ref="D102">IFERROR(INDEX(DOCUMENTOS!$E:$E,MATCH($B102,DOCUMENTOS!$A:$A,0)),"")</f>
        <v>Nota Fiscal nº 119.235 - Março/26</v>
      </c>
      <c r="E102" s="14" t="str">
        <f t="array" ref="E102">IFERROR(INDEX('BANCO DE PERGUNTAS'!$D:$D,MATCH($C102,'BANCO DE PERGUNTAS'!$A:$A,0)),"")</f>
        <v>Qual é o objeto principal deste documento?</v>
      </c>
      <c r="F102" s="54" t="s">
        <v>1459</v>
      </c>
      <c r="G102" s="55" t="s">
        <v>1460</v>
      </c>
      <c r="H102" s="55" t="s">
        <v>1461</v>
      </c>
      <c r="I102" s="55" t="s">
        <v>1462</v>
      </c>
      <c r="J102" s="55" t="s">
        <v>1463</v>
      </c>
      <c r="K102" s="55" t="s">
        <v>374</v>
      </c>
      <c r="L102" s="55" t="s">
        <v>1464</v>
      </c>
      <c r="M102" s="55" t="s">
        <v>1465</v>
      </c>
      <c r="N102" s="56" t="s">
        <v>1466</v>
      </c>
      <c r="O102" s="56" t="s">
        <v>378</v>
      </c>
      <c r="P102" s="56" t="s">
        <v>379</v>
      </c>
      <c r="Q102" s="57"/>
      <c r="R102" s="56" t="s">
        <v>380</v>
      </c>
    </row>
    <row r="103" ht="15.75" customHeight="1">
      <c r="A103" s="11" t="s">
        <v>1467</v>
      </c>
      <c r="B103" s="11">
        <v>4.0</v>
      </c>
      <c r="C103" s="11" t="s">
        <v>68</v>
      </c>
      <c r="D103" s="11" t="str">
        <f t="array" ref="D103">IFERROR(INDEX(DOCUMENTOS!$E:$E,MATCH($B103,DOCUMENTOS!$A:$A,0)),"")</f>
        <v>Nota Fiscal nº 119.235 - Março/26</v>
      </c>
      <c r="E103" s="11" t="str">
        <f t="array" ref="E103">IFERROR(INDEX('BANCO DE PERGUNTAS'!$D:$D,MATCH($C103,'BANCO DE PERGUNTAS'!$A:$A,0)),"")</f>
        <v>Qual é o número ou identificação do documento?</v>
      </c>
      <c r="F103" s="54" t="s">
        <v>1468</v>
      </c>
      <c r="G103" s="55" t="s">
        <v>1469</v>
      </c>
      <c r="H103" s="55" t="s">
        <v>1470</v>
      </c>
      <c r="I103" s="61"/>
      <c r="J103" s="55" t="s">
        <v>1471</v>
      </c>
      <c r="K103" s="55" t="s">
        <v>1472</v>
      </c>
      <c r="L103" s="55" t="s">
        <v>1473</v>
      </c>
      <c r="M103" s="55" t="s">
        <v>1474</v>
      </c>
      <c r="N103" s="56" t="s">
        <v>1475</v>
      </c>
      <c r="O103" s="56" t="s">
        <v>378</v>
      </c>
      <c r="P103" s="56" t="s">
        <v>379</v>
      </c>
      <c r="Q103" s="57"/>
      <c r="R103" s="56" t="s">
        <v>380</v>
      </c>
    </row>
    <row r="104" ht="15.75" customHeight="1">
      <c r="A104" s="14" t="s">
        <v>1477</v>
      </c>
      <c r="B104" s="14">
        <v>4.0</v>
      </c>
      <c r="C104" s="14" t="s">
        <v>90</v>
      </c>
      <c r="D104" s="14" t="str">
        <f t="array" ref="D104">IFERROR(INDEX(DOCUMENTOS!$E:$E,MATCH($B104,DOCUMENTOS!$A:$A,0)),"")</f>
        <v>Nota Fiscal nº 119.235 - Março/26</v>
      </c>
      <c r="E104" s="14" t="str">
        <f t="array" ref="E104">IFERROR(INDEX('BANCO DE PERGUNTAS'!$D:$D,MATCH($C104,'BANCO DE PERGUNTAS'!$A:$A,0)),"")</f>
        <v>Qual é o número do processo relacionado?</v>
      </c>
      <c r="F104" s="54" t="s">
        <v>750</v>
      </c>
      <c r="G104" s="55" t="s">
        <v>395</v>
      </c>
      <c r="H104" s="61"/>
      <c r="I104" s="61"/>
      <c r="J104" s="55" t="s">
        <v>1483</v>
      </c>
      <c r="K104" s="55" t="s">
        <v>1224</v>
      </c>
      <c r="L104" s="55" t="s">
        <v>1484</v>
      </c>
      <c r="M104" s="55" t="s">
        <v>1485</v>
      </c>
      <c r="N104" s="56" t="s">
        <v>1486</v>
      </c>
      <c r="O104" s="56" t="s">
        <v>378</v>
      </c>
      <c r="P104" s="56" t="s">
        <v>379</v>
      </c>
      <c r="Q104" s="57"/>
      <c r="R104" s="56" t="s">
        <v>380</v>
      </c>
    </row>
    <row r="105" ht="15.75" customHeight="1">
      <c r="A105" s="11" t="s">
        <v>1487</v>
      </c>
      <c r="B105" s="11">
        <v>4.0</v>
      </c>
      <c r="C105" s="11" t="s">
        <v>103</v>
      </c>
      <c r="D105" s="11" t="str">
        <f t="array" ref="D105">IFERROR(INDEX(DOCUMENTOS!$E:$E,MATCH($B105,DOCUMENTOS!$A:$A,0)),"")</f>
        <v>Nota Fiscal nº 119.235 - Março/26</v>
      </c>
      <c r="E105" s="11" t="str">
        <f t="array" ref="E105">IFERROR(INDEX('BANCO DE PERGUNTAS'!$D:$D,MATCH($C105,'BANCO DE PERGUNTAS'!$A:$A,0)),"")</f>
        <v>Qual é a data do documento?</v>
      </c>
      <c r="F105" s="54" t="s">
        <v>1488</v>
      </c>
      <c r="G105" s="55" t="s">
        <v>1489</v>
      </c>
      <c r="H105" s="61"/>
      <c r="I105" s="55" t="s">
        <v>1490</v>
      </c>
      <c r="J105" s="55" t="s">
        <v>1491</v>
      </c>
      <c r="K105" s="55" t="s">
        <v>1492</v>
      </c>
      <c r="L105" s="55" t="s">
        <v>1493</v>
      </c>
      <c r="M105" s="61"/>
      <c r="N105" s="56" t="s">
        <v>1494</v>
      </c>
      <c r="O105" s="56" t="s">
        <v>378</v>
      </c>
      <c r="P105" s="56" t="s">
        <v>379</v>
      </c>
      <c r="Q105" s="57"/>
      <c r="R105" s="56" t="s">
        <v>380</v>
      </c>
    </row>
    <row r="106" ht="15.75" customHeight="1">
      <c r="A106" s="14" t="s">
        <v>1495</v>
      </c>
      <c r="B106" s="14">
        <v>4.0</v>
      </c>
      <c r="C106" s="14" t="s">
        <v>117</v>
      </c>
      <c r="D106" s="14" t="str">
        <f t="array" ref="D106">IFERROR(INDEX(DOCUMENTOS!$E:$E,MATCH($B106,DOCUMENTOS!$A:$A,0)),"")</f>
        <v>Nota Fiscal nº 119.235 - Março/26</v>
      </c>
      <c r="E106" s="14" t="str">
        <f t="array" ref="E106">IFERROR(INDEX('BANCO DE PERGUNTAS'!$D:$D,MATCH($C106,'BANCO DE PERGUNTAS'!$A:$A,0)),"")</f>
        <v>Qual setor ou unidade está relacionado ao documento?</v>
      </c>
      <c r="F106" s="54" t="s">
        <v>1498</v>
      </c>
      <c r="G106" s="55" t="s">
        <v>1499</v>
      </c>
      <c r="H106" s="61"/>
      <c r="I106" s="61"/>
      <c r="J106" s="55" t="s">
        <v>1500</v>
      </c>
      <c r="K106" s="55" t="s">
        <v>374</v>
      </c>
      <c r="L106" s="55" t="s">
        <v>1501</v>
      </c>
      <c r="M106" s="61"/>
      <c r="N106" s="56" t="s">
        <v>1502</v>
      </c>
      <c r="O106" s="56" t="s">
        <v>378</v>
      </c>
      <c r="P106" s="56" t="s">
        <v>379</v>
      </c>
      <c r="Q106" s="57"/>
      <c r="R106" s="56" t="s">
        <v>380</v>
      </c>
    </row>
    <row r="107" ht="15.75" customHeight="1">
      <c r="A107" s="11" t="s">
        <v>1504</v>
      </c>
      <c r="B107" s="11">
        <v>4.0</v>
      </c>
      <c r="C107" s="11" t="s">
        <v>131</v>
      </c>
      <c r="D107" s="11" t="str">
        <f t="array" ref="D107">IFERROR(INDEX(DOCUMENTOS!$E:$E,MATCH($B107,DOCUMENTOS!$A:$A,0)),"")</f>
        <v>Nota Fiscal nº 119.235 - Março/26</v>
      </c>
      <c r="E107" s="11" t="str">
        <f t="array" ref="E107">IFERROR(INDEX('BANCO DE PERGUNTAS'!$D:$D,MATCH($C107,'BANCO DE PERGUNTAS'!$A:$A,0)),"")</f>
        <v>Quais são as partes ou instituições mencionadas?</v>
      </c>
      <c r="F107" s="54" t="s">
        <v>1508</v>
      </c>
      <c r="G107" s="55" t="s">
        <v>1509</v>
      </c>
      <c r="H107" s="55" t="s">
        <v>1510</v>
      </c>
      <c r="I107" s="61"/>
      <c r="J107" s="55" t="s">
        <v>1511</v>
      </c>
      <c r="K107" s="55" t="s">
        <v>1512</v>
      </c>
      <c r="L107" s="55" t="s">
        <v>1513</v>
      </c>
      <c r="M107" s="61"/>
      <c r="N107" s="56" t="s">
        <v>1514</v>
      </c>
      <c r="O107" s="56" t="s">
        <v>378</v>
      </c>
      <c r="P107" s="56" t="s">
        <v>379</v>
      </c>
      <c r="Q107" s="57"/>
      <c r="R107" s="56" t="s">
        <v>380</v>
      </c>
    </row>
    <row r="108" ht="15.75" customHeight="1">
      <c r="A108" s="14" t="s">
        <v>1515</v>
      </c>
      <c r="B108" s="14">
        <v>4.0</v>
      </c>
      <c r="C108" s="14" t="s">
        <v>144</v>
      </c>
      <c r="D108" s="14" t="str">
        <f t="array" ref="D108">IFERROR(INDEX(DOCUMENTOS!$E:$E,MATCH($B108,DOCUMENTOS!$A:$A,0)),"")</f>
        <v>Nota Fiscal nº 119.235 - Março/26</v>
      </c>
      <c r="E108" s="14" t="str">
        <f t="array" ref="E108">IFERROR(INDEX('BANCO DE PERGUNTAS'!$D:$D,MATCH($C108,'BANCO DE PERGUNTAS'!$A:$A,0)),"")</f>
        <v>Qual informação específica está apresentada na seção 08?</v>
      </c>
      <c r="F108" s="54" t="s">
        <v>1517</v>
      </c>
      <c r="G108" s="55" t="s">
        <v>1518</v>
      </c>
      <c r="H108" s="55" t="s">
        <v>1519</v>
      </c>
      <c r="I108" s="55" t="s">
        <v>1520</v>
      </c>
      <c r="J108" s="55" t="s">
        <v>1521</v>
      </c>
      <c r="K108" s="55" t="s">
        <v>1522</v>
      </c>
      <c r="L108" s="55" t="s">
        <v>1523</v>
      </c>
      <c r="M108" s="55" t="s">
        <v>1524</v>
      </c>
      <c r="N108" s="56" t="s">
        <v>1525</v>
      </c>
      <c r="O108" s="56" t="s">
        <v>378</v>
      </c>
      <c r="P108" s="56" t="s">
        <v>379</v>
      </c>
      <c r="Q108" s="57"/>
      <c r="R108" s="56" t="s">
        <v>380</v>
      </c>
    </row>
    <row r="109" ht="15.75" customHeight="1">
      <c r="A109" s="11" t="s">
        <v>1526</v>
      </c>
      <c r="B109" s="11">
        <v>4.0</v>
      </c>
      <c r="C109" s="11" t="s">
        <v>156</v>
      </c>
      <c r="D109" s="11" t="str">
        <f t="array" ref="D109">IFERROR(INDEX(DOCUMENTOS!$E:$E,MATCH($B109,DOCUMENTOS!$A:$A,0)),"")</f>
        <v>Nota Fiscal nº 119.235 - Março/26</v>
      </c>
      <c r="E109" s="11" t="str">
        <f t="array" ref="E109">IFERROR(INDEX('BANCO DE PERGUNTAS'!$D:$D,MATCH($C109,'BANCO DE PERGUNTAS'!$A:$A,0)),"")</f>
        <v>Em qual seção do documento está localizada a informação solicitada?</v>
      </c>
      <c r="F109" s="54" t="s">
        <v>1530</v>
      </c>
      <c r="G109" s="55" t="s">
        <v>450</v>
      </c>
      <c r="H109" s="55" t="s">
        <v>830</v>
      </c>
      <c r="I109" s="61"/>
      <c r="J109" s="55" t="s">
        <v>1531</v>
      </c>
      <c r="K109" s="55" t="s">
        <v>1532</v>
      </c>
      <c r="L109" s="55" t="s">
        <v>456</v>
      </c>
      <c r="M109" s="61"/>
      <c r="N109" s="56" t="s">
        <v>457</v>
      </c>
      <c r="O109" s="56" t="s">
        <v>378</v>
      </c>
      <c r="P109" s="56" t="s">
        <v>379</v>
      </c>
      <c r="Q109" s="57"/>
      <c r="R109" s="56" t="s">
        <v>380</v>
      </c>
    </row>
    <row r="110" ht="15.75" customHeight="1">
      <c r="A110" s="14" t="s">
        <v>1533</v>
      </c>
      <c r="B110" s="14">
        <v>4.0</v>
      </c>
      <c r="C110" s="14" t="s">
        <v>162</v>
      </c>
      <c r="D110" s="14" t="str">
        <f t="array" ref="D110">IFERROR(INDEX(DOCUMENTOS!$E:$E,MATCH($B110,DOCUMENTOS!$A:$A,0)),"")</f>
        <v>Nota Fiscal nº 119.235 - Março/26</v>
      </c>
      <c r="E110" s="14" t="str">
        <f t="array" ref="E110">IFERROR(INDEX('BANCO DE PERGUNTAS'!$D:$D,MATCH($C110,'BANCO DE PERGUNTAS'!$A:$A,0)),"")</f>
        <v>Qual é o valor indicado para o Valor Total Anual do Objeto licitado?</v>
      </c>
      <c r="F110" s="54" t="s">
        <v>1536</v>
      </c>
      <c r="G110" s="55" t="s">
        <v>1537</v>
      </c>
      <c r="H110" s="55" t="s">
        <v>1538</v>
      </c>
      <c r="I110" s="55" t="s">
        <v>1539</v>
      </c>
      <c r="J110" s="55" t="s">
        <v>1540</v>
      </c>
      <c r="K110" s="55" t="s">
        <v>1541</v>
      </c>
      <c r="L110" s="55" t="s">
        <v>1542</v>
      </c>
      <c r="M110" s="55" t="s">
        <v>1543</v>
      </c>
      <c r="N110" s="56" t="s">
        <v>1544</v>
      </c>
      <c r="O110" s="56" t="s">
        <v>378</v>
      </c>
      <c r="P110" s="56" t="s">
        <v>379</v>
      </c>
      <c r="Q110" s="57"/>
      <c r="R110" s="56" t="s">
        <v>380</v>
      </c>
    </row>
    <row r="111" ht="15.75" customHeight="1">
      <c r="A111" s="11" t="s">
        <v>1545</v>
      </c>
      <c r="B111" s="11">
        <v>4.0</v>
      </c>
      <c r="C111" s="11" t="s">
        <v>168</v>
      </c>
      <c r="D111" s="11" t="str">
        <f t="array" ref="D111">IFERROR(INDEX(DOCUMENTOS!$E:$E,MATCH($B111,DOCUMENTOS!$A:$A,0)),"")</f>
        <v>Nota Fiscal nº 119.235 - Março/26</v>
      </c>
      <c r="E111" s="11" t="str">
        <f t="array" ref="E111">IFERROR(INDEX('BANCO DE PERGUNTAS'!$D:$D,MATCH($C111,'BANCO DE PERGUNTAS'!$A:$A,0)),"")</f>
        <v>Qual é a data indicada para de assinatura de todos os membros da comissão da contratação?</v>
      </c>
      <c r="F111" s="54" t="s">
        <v>1546</v>
      </c>
      <c r="G111" s="55" t="s">
        <v>982</v>
      </c>
      <c r="H111" s="55" t="s">
        <v>983</v>
      </c>
      <c r="I111" s="55" t="s">
        <v>1547</v>
      </c>
      <c r="J111" s="55" t="s">
        <v>539</v>
      </c>
      <c r="K111" s="61"/>
      <c r="L111" s="55" t="s">
        <v>539</v>
      </c>
      <c r="M111" s="61"/>
      <c r="N111" s="56" t="s">
        <v>986</v>
      </c>
      <c r="O111" s="56" t="s">
        <v>378</v>
      </c>
      <c r="P111" s="56" t="s">
        <v>379</v>
      </c>
      <c r="Q111" s="57"/>
      <c r="R111" s="56" t="s">
        <v>380</v>
      </c>
    </row>
    <row r="112" ht="15.75" customHeight="1">
      <c r="A112" s="14" t="s">
        <v>1548</v>
      </c>
      <c r="B112" s="14">
        <v>4.0</v>
      </c>
      <c r="C112" s="14" t="s">
        <v>172</v>
      </c>
      <c r="D112" s="14" t="str">
        <f t="array" ref="D112">IFERROR(INDEX(DOCUMENTOS!$E:$E,MATCH($B112,DOCUMENTOS!$A:$A,0)),"")</f>
        <v>Nota Fiscal nº 119.235 - Março/26</v>
      </c>
      <c r="E112" s="14" t="str">
        <f t="array" ref="E112">IFERROR(INDEX('BANCO DE PERGUNTAS'!$D:$D,MATCH($C112,'BANCO DE PERGUNTAS'!$A:$A,0)),"")</f>
        <v>Extraia os principais dados do documento em formato estruturado.</v>
      </c>
      <c r="F112" s="54" t="s">
        <v>1552</v>
      </c>
      <c r="G112" s="55" t="s">
        <v>1553</v>
      </c>
      <c r="H112" s="61"/>
      <c r="I112" s="61"/>
      <c r="J112" s="55" t="s">
        <v>1554</v>
      </c>
      <c r="K112" s="55" t="s">
        <v>1532</v>
      </c>
      <c r="L112" s="55" t="s">
        <v>539</v>
      </c>
      <c r="M112" s="61"/>
      <c r="N112" s="56" t="s">
        <v>498</v>
      </c>
      <c r="O112" s="56" t="s">
        <v>378</v>
      </c>
      <c r="P112" s="56" t="s">
        <v>379</v>
      </c>
      <c r="Q112" s="57"/>
      <c r="R112" s="56" t="s">
        <v>380</v>
      </c>
    </row>
    <row r="113" ht="15.75" customHeight="1">
      <c r="A113" s="11" t="s">
        <v>1556</v>
      </c>
      <c r="B113" s="11">
        <v>4.0</v>
      </c>
      <c r="C113" s="11" t="s">
        <v>179</v>
      </c>
      <c r="D113" s="11" t="str">
        <f t="array" ref="D113">IFERROR(INDEX(DOCUMENTOS!$E:$E,MATCH($B113,DOCUMENTOS!$A:$A,0)),"")</f>
        <v>Nota Fiscal nº 119.235 - Março/26</v>
      </c>
      <c r="E113" s="11" t="str">
        <f t="array" ref="E113">IFERROR(INDEX('BANCO DE PERGUNTAS'!$D:$D,MATCH($C113,'BANCO DE PERGUNTAS'!$A:$A,0)),"")</f>
        <v>Liste os valores financeiros presentes no documento.</v>
      </c>
      <c r="F113" s="54" t="s">
        <v>1559</v>
      </c>
      <c r="G113" s="55" t="s">
        <v>1560</v>
      </c>
      <c r="H113" s="55" t="s">
        <v>1561</v>
      </c>
      <c r="I113" s="55" t="s">
        <v>1562</v>
      </c>
      <c r="J113" s="55" t="s">
        <v>1563</v>
      </c>
      <c r="K113" s="55" t="s">
        <v>1564</v>
      </c>
      <c r="L113" s="55" t="s">
        <v>1565</v>
      </c>
      <c r="M113" s="61"/>
      <c r="N113" s="56" t="s">
        <v>507</v>
      </c>
      <c r="O113" s="56" t="s">
        <v>378</v>
      </c>
      <c r="P113" s="56" t="s">
        <v>379</v>
      </c>
      <c r="Q113" s="57"/>
      <c r="R113" s="56" t="s">
        <v>380</v>
      </c>
    </row>
    <row r="114" ht="15.75" customHeight="1">
      <c r="A114" s="14" t="s">
        <v>1566</v>
      </c>
      <c r="B114" s="14">
        <v>4.0</v>
      </c>
      <c r="C114" s="14" t="s">
        <v>186</v>
      </c>
      <c r="D114" s="14" t="str">
        <f t="array" ref="D114">IFERROR(INDEX(DOCUMENTOS!$E:$E,MATCH($B114,DOCUMENTOS!$A:$A,0)),"")</f>
        <v>Nota Fiscal nº 119.235 - Março/26</v>
      </c>
      <c r="E114" s="14" t="str">
        <f t="array" ref="E114">IFERROR(INDEX('BANCO DE PERGUNTAS'!$D:$D,MATCH($C114,'BANCO DE PERGUNTAS'!$A:$A,0)),"")</f>
        <v>Liste as obrigações ou responsabilidades estabelecidas.</v>
      </c>
      <c r="F114" s="54" t="s">
        <v>1567</v>
      </c>
      <c r="G114" s="55" t="s">
        <v>1568</v>
      </c>
      <c r="H114" s="61"/>
      <c r="I114" s="61"/>
      <c r="J114" s="55" t="s">
        <v>1569</v>
      </c>
      <c r="K114" s="55" t="s">
        <v>1570</v>
      </c>
      <c r="L114" s="55" t="s">
        <v>1571</v>
      </c>
      <c r="M114" s="61"/>
      <c r="N114" s="56" t="s">
        <v>520</v>
      </c>
      <c r="O114" s="56" t="s">
        <v>378</v>
      </c>
      <c r="P114" s="56" t="s">
        <v>379</v>
      </c>
      <c r="Q114" s="57"/>
      <c r="R114" s="56" t="s">
        <v>380</v>
      </c>
    </row>
    <row r="115" ht="15.75" customHeight="1">
      <c r="A115" s="11" t="s">
        <v>1572</v>
      </c>
      <c r="B115" s="11">
        <v>4.0</v>
      </c>
      <c r="C115" s="11" t="s">
        <v>190</v>
      </c>
      <c r="D115" s="11" t="str">
        <f t="array" ref="D115">IFERROR(INDEX(DOCUMENTOS!$E:$E,MATCH($B115,DOCUMENTOS!$A:$A,0)),"")</f>
        <v>Nota Fiscal nº 119.235 - Março/26</v>
      </c>
      <c r="E115" s="11" t="str">
        <f t="array" ref="E115">IFERROR(INDEX('BANCO DE PERGUNTAS'!$D:$D,MATCH($C115,'BANCO DE PERGUNTAS'!$A:$A,0)),"")</f>
        <v>Explique o significado da cláusula/seção 4.1.4..</v>
      </c>
      <c r="F115" s="54" t="s">
        <v>1573</v>
      </c>
      <c r="G115" s="55" t="s">
        <v>982</v>
      </c>
      <c r="H115" s="55" t="s">
        <v>983</v>
      </c>
      <c r="I115" s="55" t="s">
        <v>984</v>
      </c>
      <c r="J115" s="55" t="s">
        <v>539</v>
      </c>
      <c r="K115" s="61"/>
      <c r="L115" s="55" t="s">
        <v>539</v>
      </c>
      <c r="M115" s="61"/>
      <c r="N115" s="56" t="s">
        <v>986</v>
      </c>
      <c r="O115" s="56" t="s">
        <v>378</v>
      </c>
      <c r="P115" s="56" t="s">
        <v>379</v>
      </c>
      <c r="Q115" s="57"/>
      <c r="R115" s="56" t="s">
        <v>380</v>
      </c>
    </row>
    <row r="116" ht="15.75" customHeight="1">
      <c r="A116" s="14" t="s">
        <v>1574</v>
      </c>
      <c r="B116" s="14">
        <v>4.0</v>
      </c>
      <c r="C116" s="14" t="s">
        <v>199</v>
      </c>
      <c r="D116" s="14" t="str">
        <f t="array" ref="D116">IFERROR(INDEX(DOCUMENTOS!$E:$E,MATCH($B116,DOCUMENTOS!$A:$A,0)),"")</f>
        <v>Nota Fiscal nº 119.235 - Março/26</v>
      </c>
      <c r="E116" s="14" t="str">
        <f t="array" ref="E116">IFERROR(INDEX('BANCO DE PERGUNTAS'!$D:$D,MATCH($C116,'BANCO DE PERGUNTAS'!$A:$A,0)),"")</f>
        <v>Qual é a finalidade administrativa deste documento?</v>
      </c>
      <c r="F116" s="54" t="s">
        <v>1579</v>
      </c>
      <c r="G116" s="55" t="s">
        <v>1580</v>
      </c>
      <c r="H116" s="61"/>
      <c r="I116" s="61"/>
      <c r="J116" s="55" t="s">
        <v>1554</v>
      </c>
      <c r="K116" s="55" t="s">
        <v>1532</v>
      </c>
      <c r="L116" s="55" t="s">
        <v>539</v>
      </c>
      <c r="M116" s="61"/>
      <c r="N116" s="56" t="s">
        <v>1581</v>
      </c>
      <c r="O116" s="56" t="s">
        <v>378</v>
      </c>
      <c r="P116" s="56" t="s">
        <v>379</v>
      </c>
      <c r="Q116" s="57"/>
      <c r="R116" s="56" t="s">
        <v>380</v>
      </c>
    </row>
    <row r="117" ht="15.75" customHeight="1">
      <c r="A117" s="11" t="s">
        <v>1582</v>
      </c>
      <c r="B117" s="11">
        <v>4.0</v>
      </c>
      <c r="C117" s="11" t="s">
        <v>203</v>
      </c>
      <c r="D117" s="11" t="str">
        <f t="array" ref="D117">IFERROR(INDEX(DOCUMENTOS!$E:$E,MATCH($B117,DOCUMENTOS!$A:$A,0)),"")</f>
        <v>Nota Fiscal nº 119.235 - Março/26</v>
      </c>
      <c r="E117" s="11" t="str">
        <f t="array" ref="E117">IFERROR(INDEX('BANCO DE PERGUNTAS'!$D:$D,MATCH($C117,'BANCO DE PERGUNTAS'!$A:$A,0)),"")</f>
        <v>Qual consequência decorre da informação estabelecida em 4.11?</v>
      </c>
      <c r="F117" s="54" t="s">
        <v>1585</v>
      </c>
      <c r="G117" s="55" t="s">
        <v>982</v>
      </c>
      <c r="H117" s="55" t="s">
        <v>983</v>
      </c>
      <c r="I117" s="55" t="s">
        <v>984</v>
      </c>
      <c r="J117" s="55" t="s">
        <v>539</v>
      </c>
      <c r="K117" s="61"/>
      <c r="L117" s="55" t="s">
        <v>539</v>
      </c>
      <c r="M117" s="61"/>
      <c r="N117" s="56" t="s">
        <v>986</v>
      </c>
      <c r="O117" s="56" t="s">
        <v>378</v>
      </c>
      <c r="P117" s="56" t="s">
        <v>379</v>
      </c>
      <c r="Q117" s="57"/>
      <c r="R117" s="56" t="s">
        <v>380</v>
      </c>
    </row>
    <row r="118" ht="15.75" customHeight="1">
      <c r="A118" s="14" t="s">
        <v>1586</v>
      </c>
      <c r="B118" s="14">
        <v>4.0</v>
      </c>
      <c r="C118" s="14" t="s">
        <v>208</v>
      </c>
      <c r="D118" s="14" t="str">
        <f t="array" ref="D118">IFERROR(INDEX(DOCUMENTOS!$E:$E,MATCH($B118,DOCUMENTOS!$A:$A,0)),"")</f>
        <v>Nota Fiscal nº 119.235 - Março/26</v>
      </c>
      <c r="E118" s="14" t="str">
        <f t="array" ref="E118">IFERROR(INDEX('BANCO DE PERGUNTAS'!$D:$D,MATCH($C118,'BANCO DE PERGUNTAS'!$A:$A,0)),"")</f>
        <v>Existem informações aparentemente inconsistentes dentro do documento?</v>
      </c>
      <c r="F118" s="54" t="s">
        <v>1587</v>
      </c>
      <c r="G118" s="55" t="s">
        <v>554</v>
      </c>
      <c r="H118" s="55" t="s">
        <v>1588</v>
      </c>
      <c r="I118" s="55" t="s">
        <v>557</v>
      </c>
      <c r="J118" s="55" t="s">
        <v>1589</v>
      </c>
      <c r="K118" s="55" t="s">
        <v>1590</v>
      </c>
      <c r="L118" s="55" t="s">
        <v>1591</v>
      </c>
      <c r="M118" s="55" t="s">
        <v>1592</v>
      </c>
      <c r="N118" s="56" t="s">
        <v>1034</v>
      </c>
      <c r="O118" s="56" t="s">
        <v>378</v>
      </c>
      <c r="P118" s="56" t="s">
        <v>379</v>
      </c>
      <c r="Q118" s="57"/>
      <c r="R118" s="56" t="s">
        <v>380</v>
      </c>
    </row>
    <row r="119" ht="15.75" customHeight="1">
      <c r="A119" s="11" t="s">
        <v>1593</v>
      </c>
      <c r="B119" s="11">
        <v>4.0</v>
      </c>
      <c r="C119" s="11" t="s">
        <v>215</v>
      </c>
      <c r="D119" s="11" t="str">
        <f t="array" ref="D119">IFERROR(INDEX(DOCUMENTOS!$E:$E,MATCH($B119,DOCUMENTOS!$A:$A,0)),"")</f>
        <v>Nota Fiscal nº 119.235 - Março/26</v>
      </c>
      <c r="E119" s="11" t="str">
        <f t="array" ref="E119">IFERROR(INDEX('BANCO DE PERGUNTAS'!$D:$D,MATCH($C119,'BANCO DE PERGUNTAS'!$A:$A,0)),"")</f>
        <v>Existem valores, datas, números ou informações aparentemente incompatíveis?</v>
      </c>
      <c r="F119" s="54" t="s">
        <v>1596</v>
      </c>
      <c r="G119" s="55" t="s">
        <v>1597</v>
      </c>
      <c r="H119" s="55" t="s">
        <v>1598</v>
      </c>
      <c r="I119" s="61"/>
      <c r="J119" s="55" t="s">
        <v>1599</v>
      </c>
      <c r="K119" s="55" t="s">
        <v>1600</v>
      </c>
      <c r="L119" s="55" t="s">
        <v>1601</v>
      </c>
      <c r="M119" s="61"/>
      <c r="N119" s="56" t="s">
        <v>1602</v>
      </c>
      <c r="O119" s="56" t="s">
        <v>378</v>
      </c>
      <c r="P119" s="56" t="s">
        <v>379</v>
      </c>
      <c r="Q119" s="57"/>
      <c r="R119" s="56" t="s">
        <v>380</v>
      </c>
    </row>
    <row r="120" ht="15.75" customHeight="1">
      <c r="A120" s="14" t="s">
        <v>1603</v>
      </c>
      <c r="B120" s="14">
        <v>4.0</v>
      </c>
      <c r="C120" s="14" t="s">
        <v>219</v>
      </c>
      <c r="D120" s="14" t="str">
        <f t="array" ref="D120">IFERROR(INDEX(DOCUMENTOS!$E:$E,MATCH($B120,DOCUMENTOS!$A:$A,0)),"")</f>
        <v>Nota Fiscal nº 119.235 - Março/26</v>
      </c>
      <c r="E120" s="14" t="str">
        <f t="array" ref="E120">IFERROR(INDEX('BANCO DE PERGUNTAS'!$D:$D,MATCH($C120,'BANCO DE PERGUNTAS'!$A:$A,0)),"")</f>
        <v>Existem informações relevantes ausentes?</v>
      </c>
      <c r="F120" s="54" t="s">
        <v>1608</v>
      </c>
      <c r="G120" s="55" t="s">
        <v>1609</v>
      </c>
      <c r="H120" s="55" t="s">
        <v>568</v>
      </c>
      <c r="I120" s="61"/>
      <c r="J120" s="55" t="s">
        <v>1610</v>
      </c>
      <c r="K120" s="55" t="s">
        <v>1611</v>
      </c>
      <c r="L120" s="55" t="s">
        <v>1612</v>
      </c>
      <c r="M120" s="61"/>
      <c r="N120" s="56" t="s">
        <v>1613</v>
      </c>
      <c r="O120" s="56" t="s">
        <v>378</v>
      </c>
      <c r="P120" s="56" t="s">
        <v>379</v>
      </c>
      <c r="Q120" s="57"/>
      <c r="R120" s="56" t="s">
        <v>380</v>
      </c>
    </row>
    <row r="121" ht="15.75" customHeight="1">
      <c r="A121" s="11" t="s">
        <v>1614</v>
      </c>
      <c r="B121" s="11">
        <v>4.0</v>
      </c>
      <c r="C121" s="11" t="s">
        <v>226</v>
      </c>
      <c r="D121" s="11" t="str">
        <f t="array" ref="D121">IFERROR(INDEX(DOCUMENTOS!$E:$E,MATCH($B121,DOCUMENTOS!$A:$A,0)),"")</f>
        <v>Nota Fiscal nº 119.235 - Março/26</v>
      </c>
      <c r="E121" s="11" t="str">
        <f t="array" ref="E121">IFERROR(INDEX('BANCO DE PERGUNTAS'!$D:$D,MATCH($C121,'BANCO DE PERGUNTAS'!$A:$A,0)),"")</f>
        <v>Identifique possíveis erros materiais no documento.</v>
      </c>
      <c r="F121" s="54" t="s">
        <v>1615</v>
      </c>
      <c r="G121" s="55" t="s">
        <v>1616</v>
      </c>
      <c r="H121" s="55" t="s">
        <v>1377</v>
      </c>
      <c r="I121" s="61"/>
      <c r="J121" s="55" t="s">
        <v>1617</v>
      </c>
      <c r="K121" s="55" t="s">
        <v>1618</v>
      </c>
      <c r="L121" s="55" t="s">
        <v>590</v>
      </c>
      <c r="M121" s="61"/>
      <c r="N121" s="56" t="s">
        <v>591</v>
      </c>
      <c r="O121" s="56" t="s">
        <v>378</v>
      </c>
      <c r="P121" s="56" t="s">
        <v>379</v>
      </c>
      <c r="Q121" s="57"/>
      <c r="R121" s="56" t="s">
        <v>380</v>
      </c>
    </row>
    <row r="122" ht="15.75" customHeight="1">
      <c r="A122" s="14" t="s">
        <v>1619</v>
      </c>
      <c r="B122" s="14">
        <v>4.0</v>
      </c>
      <c r="C122" s="14" t="s">
        <v>232</v>
      </c>
      <c r="D122" s="14" t="str">
        <f t="array" ref="D122">IFERROR(INDEX(DOCUMENTOS!$E:$E,MATCH($B122,DOCUMENTOS!$A:$A,0)),"")</f>
        <v>Nota Fiscal nº 119.235 - Março/26</v>
      </c>
      <c r="E122" s="14" t="str">
        <f t="array" ref="E122">IFERROR(INDEX('BANCO DE PERGUNTAS'!$D:$D,MATCH($C122,'BANCO DE PERGUNTAS'!$A:$A,0)),"")</f>
        <v>Existem informações que deveriam ser verificadas por um servidor antes da utilização do documento?</v>
      </c>
      <c r="F122" s="54" t="s">
        <v>1620</v>
      </c>
      <c r="G122" s="61"/>
      <c r="H122" s="61"/>
      <c r="I122" s="61"/>
      <c r="J122" s="55" t="s">
        <v>1621</v>
      </c>
      <c r="K122" s="55" t="s">
        <v>1532</v>
      </c>
      <c r="L122" s="55" t="s">
        <v>1622</v>
      </c>
      <c r="M122" s="61"/>
      <c r="N122" s="56" t="s">
        <v>1083</v>
      </c>
      <c r="O122" s="56" t="s">
        <v>378</v>
      </c>
      <c r="P122" s="56" t="s">
        <v>379</v>
      </c>
      <c r="Q122" s="57"/>
      <c r="R122" s="56" t="s">
        <v>380</v>
      </c>
    </row>
    <row r="123" ht="15.75" customHeight="1">
      <c r="A123" s="11" t="s">
        <v>1623</v>
      </c>
      <c r="B123" s="11">
        <v>4.0</v>
      </c>
      <c r="C123" s="11" t="s">
        <v>240</v>
      </c>
      <c r="D123" s="11" t="str">
        <f t="array" ref="D123">IFERROR(INDEX(DOCUMENTOS!$E:$E,MATCH($B123,DOCUMENTOS!$A:$A,0)),"")</f>
        <v>Nota Fiscal nº 119.235 - Março/26</v>
      </c>
      <c r="E123" s="11" t="str">
        <f t="array" ref="E123">IFERROR(INDEX('BANCO DE PERGUNTAS'!$D:$D,MATCH($C123,'BANCO DE PERGUNTAS'!$A:$A,0)),"")</f>
        <v>Existem elementos que indiquem possível desconformidade com os próprios requisitos apresentados no documento?</v>
      </c>
      <c r="F123" s="54" t="s">
        <v>1625</v>
      </c>
      <c r="G123" s="55" t="s">
        <v>1626</v>
      </c>
      <c r="H123" s="61"/>
      <c r="I123" s="61"/>
      <c r="J123" s="55" t="s">
        <v>1627</v>
      </c>
      <c r="K123" s="55" t="s">
        <v>1628</v>
      </c>
      <c r="L123" s="55" t="s">
        <v>1629</v>
      </c>
      <c r="M123" s="61"/>
      <c r="N123" s="56" t="s">
        <v>1630</v>
      </c>
      <c r="O123" s="56" t="s">
        <v>378</v>
      </c>
      <c r="P123" s="56" t="s">
        <v>379</v>
      </c>
      <c r="Q123" s="57"/>
      <c r="R123" s="56" t="s">
        <v>380</v>
      </c>
    </row>
    <row r="124" ht="15.75" customHeight="1">
      <c r="A124" s="14" t="s">
        <v>1631</v>
      </c>
      <c r="B124" s="14">
        <v>4.0</v>
      </c>
      <c r="C124" s="14" t="s">
        <v>247</v>
      </c>
      <c r="D124" s="14" t="str">
        <f t="array" ref="D124">IFERROR(INDEX(DOCUMENTOS!$E:$E,MATCH($B124,DOCUMENTOS!$A:$A,0)),"")</f>
        <v>Nota Fiscal nº 119.235 - Março/26</v>
      </c>
      <c r="E124" s="14" t="str">
        <f t="array" ref="E124">IFERROR(INDEX('BANCO DE PERGUNTAS'!$D:$D,MATCH($C124,'BANCO DE PERGUNTAS'!$A:$A,0)),"")</f>
        <v>Quais requisitos estão explicitamente presentes?</v>
      </c>
      <c r="F124" s="54" t="s">
        <v>1636</v>
      </c>
      <c r="G124" s="61"/>
      <c r="H124" s="61"/>
      <c r="I124" s="61"/>
      <c r="J124" s="55" t="s">
        <v>1638</v>
      </c>
      <c r="K124" s="55" t="s">
        <v>1639</v>
      </c>
      <c r="L124" s="55" t="s">
        <v>1640</v>
      </c>
      <c r="M124" s="61"/>
      <c r="N124" s="56" t="s">
        <v>638</v>
      </c>
      <c r="O124" s="56" t="s">
        <v>378</v>
      </c>
      <c r="P124" s="56" t="s">
        <v>379</v>
      </c>
      <c r="Q124" s="57"/>
      <c r="R124" s="56" t="s">
        <v>380</v>
      </c>
    </row>
    <row r="125" ht="15.75" customHeight="1">
      <c r="A125" s="11" t="s">
        <v>1641</v>
      </c>
      <c r="B125" s="11">
        <v>4.0</v>
      </c>
      <c r="C125" s="11" t="s">
        <v>252</v>
      </c>
      <c r="D125" s="11" t="str">
        <f t="array" ref="D125">IFERROR(INDEX(DOCUMENTOS!$E:$E,MATCH($B125,DOCUMENTOS!$A:$A,0)),"")</f>
        <v>Nota Fiscal nº 119.235 - Março/26</v>
      </c>
      <c r="E125" s="11" t="str">
        <f t="array" ref="E125">IFERROR(INDEX('BANCO DE PERGUNTAS'!$D:$D,MATCH($C125,'BANCO DE PERGUNTAS'!$A:$A,0)),"")</f>
        <v>Quais informações necessárias parecem estar ausentes?</v>
      </c>
      <c r="F125" s="54" t="s">
        <v>1642</v>
      </c>
      <c r="G125" s="61"/>
      <c r="H125" s="61"/>
      <c r="I125" s="61"/>
      <c r="J125" s="55" t="s">
        <v>1643</v>
      </c>
      <c r="K125" s="55" t="s">
        <v>1073</v>
      </c>
      <c r="L125" s="55" t="s">
        <v>1644</v>
      </c>
      <c r="M125" s="61"/>
      <c r="N125" s="56" t="s">
        <v>644</v>
      </c>
      <c r="O125" s="56" t="s">
        <v>378</v>
      </c>
      <c r="P125" s="56" t="s">
        <v>379</v>
      </c>
      <c r="Q125" s="57"/>
      <c r="R125" s="56" t="s">
        <v>380</v>
      </c>
    </row>
    <row r="126" ht="15.75" customHeight="1">
      <c r="A126" s="14" t="s">
        <v>1645</v>
      </c>
      <c r="B126" s="14">
        <v>4.0</v>
      </c>
      <c r="C126" s="14" t="s">
        <v>257</v>
      </c>
      <c r="D126" s="14" t="str">
        <f t="array" ref="D126">IFERROR(INDEX(DOCUMENTOS!$E:$E,MATCH($B126,DOCUMENTOS!$A:$A,0)),"")</f>
        <v>Nota Fiscal nº 119.235 - Março/26</v>
      </c>
      <c r="E126" s="14" t="str">
        <f t="array" ref="E126">IFERROR(INDEX('BANCO DE PERGUNTAS'!$D:$D,MATCH($C126,'BANCO DE PERGUNTAS'!$A:$A,0)),"")</f>
        <v>Existem informações conflitantes com outro documento relacionado?</v>
      </c>
      <c r="F126" s="54" t="s">
        <v>1646</v>
      </c>
      <c r="G126" s="55" t="s">
        <v>554</v>
      </c>
      <c r="H126" s="55" t="s">
        <v>1588</v>
      </c>
      <c r="I126" s="55" t="s">
        <v>1647</v>
      </c>
      <c r="J126" s="55" t="s">
        <v>1648</v>
      </c>
      <c r="K126" s="55" t="s">
        <v>1649</v>
      </c>
      <c r="L126" s="55" t="s">
        <v>1650</v>
      </c>
      <c r="M126" s="61"/>
      <c r="N126" s="56" t="s">
        <v>1651</v>
      </c>
      <c r="O126" s="56" t="s">
        <v>378</v>
      </c>
      <c r="P126" s="56" t="s">
        <v>379</v>
      </c>
      <c r="Q126" s="57"/>
      <c r="R126" s="56" t="s">
        <v>1652</v>
      </c>
    </row>
    <row r="127" ht="15.75" customHeight="1">
      <c r="A127" s="11" t="s">
        <v>1653</v>
      </c>
      <c r="B127" s="11">
        <v>4.0</v>
      </c>
      <c r="C127" s="11" t="s">
        <v>264</v>
      </c>
      <c r="D127" s="11" t="str">
        <f t="array" ref="D127">IFERROR(INDEX(DOCUMENTOS!$E:$E,MATCH($B127,DOCUMENTOS!$A:$A,0)),"")</f>
        <v>Nota Fiscal nº 119.235 - Março/26</v>
      </c>
      <c r="E127" s="11" t="str">
        <f t="array" ref="E127">IFERROR(INDEX('BANCO DE PERGUNTAS'!$D:$D,MATCH($C127,'BANCO DE PERGUNTAS'!$A:$A,0)),"")</f>
        <v>Quais diferenças existem entre os documentos?</v>
      </c>
      <c r="F127" s="54" t="s">
        <v>1657</v>
      </c>
      <c r="G127" s="55" t="s">
        <v>1658</v>
      </c>
      <c r="H127" s="55" t="s">
        <v>1659</v>
      </c>
      <c r="I127" s="61"/>
      <c r="J127" s="55" t="s">
        <v>1661</v>
      </c>
      <c r="K127" s="55" t="s">
        <v>1662</v>
      </c>
      <c r="L127" s="55" t="s">
        <v>1663</v>
      </c>
      <c r="M127" s="61"/>
      <c r="N127" s="56" t="s">
        <v>1664</v>
      </c>
      <c r="O127" s="56" t="s">
        <v>378</v>
      </c>
      <c r="P127" s="56" t="s">
        <v>379</v>
      </c>
      <c r="Q127" s="57"/>
      <c r="R127" s="56" t="s">
        <v>1652</v>
      </c>
    </row>
    <row r="128" ht="15.75" customHeight="1">
      <c r="A128" s="14" t="s">
        <v>1665</v>
      </c>
      <c r="B128" s="14">
        <v>4.0</v>
      </c>
      <c r="C128" s="14" t="s">
        <v>269</v>
      </c>
      <c r="D128" s="14" t="str">
        <f t="array" ref="D128">IFERROR(INDEX(DOCUMENTOS!$E:$E,MATCH($B128,DOCUMENTOS!$A:$A,0)),"")</f>
        <v>Nota Fiscal nº 119.235 - Março/26</v>
      </c>
      <c r="E128" s="14" t="str">
        <f t="array" ref="E128">IFERROR(INDEX('BANCO DE PERGUNTAS'!$D:$D,MATCH($C128,'BANCO DE PERGUNTAS'!$A:$A,0)),"")</f>
        <v>Quais informações foram alteradas?</v>
      </c>
      <c r="F128" s="54" t="s">
        <v>1668</v>
      </c>
      <c r="G128" s="55" t="s">
        <v>1669</v>
      </c>
      <c r="H128" s="55" t="s">
        <v>568</v>
      </c>
      <c r="I128" s="61"/>
      <c r="J128" s="55" t="s">
        <v>1670</v>
      </c>
      <c r="K128" s="55" t="s">
        <v>1671</v>
      </c>
      <c r="L128" s="55" t="s">
        <v>1672</v>
      </c>
      <c r="M128" s="61"/>
      <c r="N128" s="56" t="s">
        <v>1673</v>
      </c>
      <c r="O128" s="56" t="s">
        <v>378</v>
      </c>
      <c r="P128" s="56" t="s">
        <v>379</v>
      </c>
      <c r="Q128" s="57"/>
      <c r="R128" s="56" t="s">
        <v>1652</v>
      </c>
    </row>
    <row r="129" ht="15.75" customHeight="1">
      <c r="A129" s="11" t="s">
        <v>1674</v>
      </c>
      <c r="B129" s="11">
        <v>4.0</v>
      </c>
      <c r="C129" s="11" t="s">
        <v>276</v>
      </c>
      <c r="D129" s="11" t="str">
        <f t="array" ref="D129">IFERROR(INDEX(DOCUMENTOS!$E:$E,MATCH($B129,DOCUMENTOS!$A:$A,0)),"")</f>
        <v>Nota Fiscal nº 119.235 - Março/26</v>
      </c>
      <c r="E129" s="11" t="str">
        <f t="array" ref="E129">IFERROR(INDEX('BANCO DE PERGUNTAS'!$D:$D,MATCH($C129,'BANCO DE PERGUNTAS'!$A:$A,0)),"")</f>
        <v>Identifique possíveis pontos de atenção administrativa.</v>
      </c>
      <c r="F129" s="54" t="s">
        <v>1675</v>
      </c>
      <c r="G129" s="61"/>
      <c r="H129" s="61"/>
      <c r="I129" s="61"/>
      <c r="J129" s="55" t="s">
        <v>1676</v>
      </c>
      <c r="K129" s="55" t="s">
        <v>1532</v>
      </c>
      <c r="L129" s="55" t="s">
        <v>1678</v>
      </c>
      <c r="M129" s="61"/>
      <c r="N129" s="56" t="s">
        <v>687</v>
      </c>
      <c r="O129" s="56" t="s">
        <v>378</v>
      </c>
      <c r="P129" s="56" t="s">
        <v>379</v>
      </c>
      <c r="Q129" s="57"/>
      <c r="R129" s="56" t="s">
        <v>380</v>
      </c>
    </row>
    <row r="130" ht="15.75" customHeight="1">
      <c r="A130" s="14" t="s">
        <v>1679</v>
      </c>
      <c r="B130" s="14">
        <v>4.0</v>
      </c>
      <c r="C130" s="14" t="s">
        <v>284</v>
      </c>
      <c r="D130" s="14" t="str">
        <f t="array" ref="D130">IFERROR(INDEX(DOCUMENTOS!$E:$E,MATCH($B130,DOCUMENTOS!$A:$A,0)),"")</f>
        <v>Nota Fiscal nº 119.235 - Março/26</v>
      </c>
      <c r="E130" s="14" t="str">
        <f t="array" ref="E130">IFERROR(INDEX('BANCO DE PERGUNTAS'!$D:$D,MATCH($C130,'BANCO DE PERGUNTAS'!$A:$A,0)),"")</f>
        <v>Quais informações deveriam ser verificadas antes de uma decisão administrativa?</v>
      </c>
      <c r="F130" s="54" t="s">
        <v>1685</v>
      </c>
      <c r="G130" s="61"/>
      <c r="H130" s="61"/>
      <c r="I130" s="61"/>
      <c r="J130" s="55" t="s">
        <v>1686</v>
      </c>
      <c r="K130" s="55" t="s">
        <v>1532</v>
      </c>
      <c r="L130" s="55" t="s">
        <v>1687</v>
      </c>
      <c r="M130" s="61"/>
      <c r="N130" s="56" t="s">
        <v>1688</v>
      </c>
      <c r="O130" s="56" t="s">
        <v>378</v>
      </c>
      <c r="P130" s="56" t="s">
        <v>379</v>
      </c>
      <c r="Q130" s="57"/>
      <c r="R130" s="56" t="s">
        <v>380</v>
      </c>
    </row>
    <row r="131" ht="15.75" customHeight="1">
      <c r="A131" s="11" t="s">
        <v>1689</v>
      </c>
      <c r="B131" s="11">
        <v>4.0</v>
      </c>
      <c r="C131" s="11" t="s">
        <v>288</v>
      </c>
      <c r="D131" s="11" t="str">
        <f t="array" ref="D131">IFERROR(INDEX(DOCUMENTOS!$E:$E,MATCH($B131,DOCUMENTOS!$A:$A,0)),"")</f>
        <v>Nota Fiscal nº 119.235 - Março/26</v>
      </c>
      <c r="E131" s="11" t="str">
        <f t="array" ref="E131">IFERROR(INDEX('BANCO DE PERGUNTAS'!$D:$D,MATCH($C131,'BANCO DE PERGUNTAS'!$A:$A,0)),"")</f>
        <v>Identifique situações que possam representar risco administrativo.</v>
      </c>
      <c r="F131" s="54" t="s">
        <v>1690</v>
      </c>
      <c r="G131" s="61"/>
      <c r="H131" s="61"/>
      <c r="I131" s="61"/>
      <c r="J131" s="55" t="s">
        <v>1691</v>
      </c>
      <c r="K131" s="55" t="s">
        <v>1532</v>
      </c>
      <c r="L131" s="55" t="s">
        <v>590</v>
      </c>
      <c r="M131" s="61"/>
      <c r="N131" s="56" t="s">
        <v>1191</v>
      </c>
      <c r="O131" s="56" t="s">
        <v>378</v>
      </c>
      <c r="P131" s="56" t="s">
        <v>379</v>
      </c>
      <c r="Q131" s="57"/>
      <c r="R131" s="56" t="s">
        <v>380</v>
      </c>
    </row>
    <row r="132" ht="15.75" customHeight="1">
      <c r="A132" s="14" t="s">
        <v>1692</v>
      </c>
      <c r="B132" s="14">
        <v>4.0</v>
      </c>
      <c r="C132" s="14" t="s">
        <v>294</v>
      </c>
      <c r="D132" s="14" t="str">
        <f t="array" ref="D132">IFERROR(INDEX(DOCUMENTOS!$E:$E,MATCH($B132,DOCUMENTOS!$A:$A,0)),"")</f>
        <v>Nota Fiscal nº 119.235 - Março/26</v>
      </c>
      <c r="E132" s="14" t="str">
        <f t="array" ref="E132">IFERROR(INDEX('BANCO DE PERGUNTAS'!$D:$D,MATCH($C132,'BANCO DE PERGUNTAS'!$A:$A,0)),"")</f>
        <v>Resuma o documento em até cinco pontos objetivos.</v>
      </c>
      <c r="F132" s="54" t="s">
        <v>1698</v>
      </c>
      <c r="G132" s="55" t="s">
        <v>1699</v>
      </c>
      <c r="H132" s="61"/>
      <c r="I132" s="61"/>
      <c r="J132" s="55" t="s">
        <v>1554</v>
      </c>
      <c r="K132" s="55" t="s">
        <v>1532</v>
      </c>
      <c r="L132" s="55" t="s">
        <v>539</v>
      </c>
      <c r="M132" s="61"/>
      <c r="N132" s="56" t="s">
        <v>709</v>
      </c>
      <c r="O132" s="56" t="s">
        <v>378</v>
      </c>
      <c r="P132" s="56" t="s">
        <v>379</v>
      </c>
      <c r="Q132" s="57"/>
      <c r="R132" s="56" t="s">
        <v>380</v>
      </c>
    </row>
    <row r="133" ht="15.75" customHeight="1">
      <c r="A133" s="11" t="s">
        <v>1701</v>
      </c>
      <c r="B133" s="11">
        <v>4.0</v>
      </c>
      <c r="C133" s="11" t="s">
        <v>302</v>
      </c>
      <c r="D133" s="11" t="str">
        <f t="array" ref="D133">IFERROR(INDEX(DOCUMENTOS!$E:$E,MATCH($B133,DOCUMENTOS!$A:$A,0)),"")</f>
        <v>Nota Fiscal nº 119.235 - Março/26</v>
      </c>
      <c r="E133" s="11" t="str">
        <f t="array" ref="E133">IFERROR(INDEX('BANCO DE PERGUNTAS'!$D:$D,MATCH($C133,'BANCO DE PERGUNTAS'!$A:$A,0)),"")</f>
        <v>Qual é a principal finalidade do documento?</v>
      </c>
      <c r="F133" s="54" t="s">
        <v>1702</v>
      </c>
      <c r="G133" s="61"/>
      <c r="H133" s="61"/>
      <c r="I133" s="61"/>
      <c r="J133" s="55" t="s">
        <v>1451</v>
      </c>
      <c r="K133" s="55" t="s">
        <v>374</v>
      </c>
      <c r="L133" s="55" t="s">
        <v>1452</v>
      </c>
      <c r="M133" s="61"/>
      <c r="N133" s="56" t="s">
        <v>714</v>
      </c>
      <c r="O133" s="56" t="s">
        <v>378</v>
      </c>
      <c r="P133" s="56" t="s">
        <v>379</v>
      </c>
      <c r="Q133" s="57"/>
      <c r="R133" s="56" t="s">
        <v>380</v>
      </c>
    </row>
    <row r="134" ht="15.75" customHeight="1">
      <c r="A134" s="14" t="s">
        <v>1703</v>
      </c>
      <c r="B134" s="14">
        <v>4.0</v>
      </c>
      <c r="C134" s="14" t="s">
        <v>307</v>
      </c>
      <c r="D134" s="14" t="str">
        <f t="array" ref="D134">IFERROR(INDEX(DOCUMENTOS!$E:$E,MATCH($B134,DOCUMENTOS!$A:$A,0)),"")</f>
        <v>Nota Fiscal nº 119.235 - Março/26</v>
      </c>
      <c r="E134" s="14" t="str">
        <f t="array" ref="E134">IFERROR(INDEX('BANCO DE PERGUNTAS'!$D:$D,MATCH($C134,'BANCO DE PERGUNTAS'!$A:$A,0)),"")</f>
        <v>Quais são as três informações mais importantes para um servidor responsável pela análise?</v>
      </c>
      <c r="F134" s="54" t="s">
        <v>1704</v>
      </c>
      <c r="G134" s="61"/>
      <c r="H134" s="61"/>
      <c r="I134" s="61"/>
      <c r="J134" s="55" t="s">
        <v>1705</v>
      </c>
      <c r="K134" s="55" t="s">
        <v>1706</v>
      </c>
      <c r="L134" s="55" t="s">
        <v>1707</v>
      </c>
      <c r="M134" s="61"/>
      <c r="N134" s="56" t="s">
        <v>723</v>
      </c>
      <c r="O134" s="56" t="s">
        <v>378</v>
      </c>
      <c r="P134" s="56" t="s">
        <v>379</v>
      </c>
      <c r="Q134" s="57"/>
      <c r="R134" s="56" t="s">
        <v>380</v>
      </c>
    </row>
    <row r="135" ht="15.75" customHeight="1">
      <c r="A135" s="11" t="s">
        <v>1708</v>
      </c>
      <c r="B135" s="11">
        <v>5.0</v>
      </c>
      <c r="C135" s="11" t="s">
        <v>33</v>
      </c>
      <c r="D135" s="11" t="str">
        <f t="array" ref="D135">IFERROR(INDEX(DOCUMENTOS!$E:$E,MATCH($B135,DOCUMENTOS!$A:$A,0)),"")</f>
        <v>Empenho 2026NE000070 - Reforço</v>
      </c>
      <c r="E135" s="11" t="str">
        <f t="array" ref="E135">IFERROR(INDEX('BANCO DE PERGUNTAS'!$D:$D,MATCH($C135,'BANCO DE PERGUNTAS'!$A:$A,0)),"")</f>
        <v>Qual é o objeto principal deste documento?</v>
      </c>
      <c r="F135" s="54" t="s">
        <v>1712</v>
      </c>
      <c r="G135" s="55" t="s">
        <v>1714</v>
      </c>
      <c r="H135" s="55" t="s">
        <v>1715</v>
      </c>
      <c r="I135" s="55" t="s">
        <v>1716</v>
      </c>
      <c r="J135" s="55" t="s">
        <v>1717</v>
      </c>
      <c r="K135" s="55" t="s">
        <v>374</v>
      </c>
      <c r="L135" s="55" t="s">
        <v>1718</v>
      </c>
      <c r="M135" s="55" t="s">
        <v>1719</v>
      </c>
      <c r="N135" s="56" t="s">
        <v>1720</v>
      </c>
      <c r="O135" s="56" t="s">
        <v>378</v>
      </c>
      <c r="P135" s="56" t="s">
        <v>379</v>
      </c>
      <c r="Q135" s="57"/>
      <c r="R135" s="56" t="s">
        <v>380</v>
      </c>
    </row>
    <row r="136" ht="15.75" customHeight="1">
      <c r="A136" s="14" t="s">
        <v>1721</v>
      </c>
      <c r="B136" s="14">
        <v>5.0</v>
      </c>
      <c r="C136" s="14" t="s">
        <v>68</v>
      </c>
      <c r="D136" s="14" t="str">
        <f t="array" ref="D136">IFERROR(INDEX(DOCUMENTOS!$E:$E,MATCH($B136,DOCUMENTOS!$A:$A,0)),"")</f>
        <v>Empenho 2026NE000070 - Reforço</v>
      </c>
      <c r="E136" s="14" t="str">
        <f t="array" ref="E136">IFERROR(INDEX('BANCO DE PERGUNTAS'!$D:$D,MATCH($C136,'BANCO DE PERGUNTAS'!$A:$A,0)),"")</f>
        <v>Qual é o número ou identificação do documento?</v>
      </c>
      <c r="F136" s="54" t="s">
        <v>1724</v>
      </c>
      <c r="G136" s="55" t="s">
        <v>1725</v>
      </c>
      <c r="H136" s="55" t="s">
        <v>1726</v>
      </c>
      <c r="I136" s="55" t="s">
        <v>1727</v>
      </c>
      <c r="J136" s="55" t="s">
        <v>1728</v>
      </c>
      <c r="K136" s="55" t="s">
        <v>1729</v>
      </c>
      <c r="L136" s="55" t="s">
        <v>1473</v>
      </c>
      <c r="M136" s="55" t="s">
        <v>1730</v>
      </c>
      <c r="N136" s="56" t="s">
        <v>1475</v>
      </c>
      <c r="O136" s="56" t="s">
        <v>378</v>
      </c>
      <c r="P136" s="56" t="s">
        <v>379</v>
      </c>
      <c r="Q136" s="57"/>
      <c r="R136" s="56" t="s">
        <v>380</v>
      </c>
    </row>
    <row r="137" ht="15.75" customHeight="1">
      <c r="A137" s="11" t="s">
        <v>1731</v>
      </c>
      <c r="B137" s="11">
        <v>5.0</v>
      </c>
      <c r="C137" s="11" t="s">
        <v>90</v>
      </c>
      <c r="D137" s="11" t="str">
        <f t="array" ref="D137">IFERROR(INDEX(DOCUMENTOS!$E:$E,MATCH($B137,DOCUMENTOS!$A:$A,0)),"")</f>
        <v>Empenho 2026NE000070 - Reforço</v>
      </c>
      <c r="E137" s="11" t="str">
        <f t="array" ref="E137">IFERROR(INDEX('BANCO DE PERGUNTAS'!$D:$D,MATCH($C137,'BANCO DE PERGUNTAS'!$A:$A,0)),"")</f>
        <v>Qual é o número do processo relacionado?</v>
      </c>
      <c r="F137" s="54" t="s">
        <v>1732</v>
      </c>
      <c r="G137" s="55" t="s">
        <v>1733</v>
      </c>
      <c r="H137" s="61"/>
      <c r="I137" s="61"/>
      <c r="J137" s="55" t="s">
        <v>1734</v>
      </c>
      <c r="K137" s="55" t="s">
        <v>1729</v>
      </c>
      <c r="L137" s="55" t="s">
        <v>1225</v>
      </c>
      <c r="M137" s="55" t="s">
        <v>1735</v>
      </c>
      <c r="N137" s="56" t="s">
        <v>745</v>
      </c>
      <c r="O137" s="56" t="s">
        <v>378</v>
      </c>
      <c r="P137" s="56" t="s">
        <v>379</v>
      </c>
      <c r="Q137" s="57"/>
      <c r="R137" s="56" t="s">
        <v>380</v>
      </c>
    </row>
    <row r="138" ht="15.75" customHeight="1">
      <c r="A138" s="14" t="s">
        <v>1736</v>
      </c>
      <c r="B138" s="14">
        <v>5.0</v>
      </c>
      <c r="C138" s="14" t="s">
        <v>103</v>
      </c>
      <c r="D138" s="14" t="str">
        <f t="array" ref="D138">IFERROR(INDEX(DOCUMENTOS!$E:$E,MATCH($B138,DOCUMENTOS!$A:$A,0)),"")</f>
        <v>Empenho 2026NE000070 - Reforço</v>
      </c>
      <c r="E138" s="14" t="str">
        <f t="array" ref="E138">IFERROR(INDEX('BANCO DE PERGUNTAS'!$D:$D,MATCH($C138,'BANCO DE PERGUNTAS'!$A:$A,0)),"")</f>
        <v>Qual é a data do documento?</v>
      </c>
      <c r="F138" s="54" t="s">
        <v>1737</v>
      </c>
      <c r="G138" s="55" t="s">
        <v>1738</v>
      </c>
      <c r="H138" s="61"/>
      <c r="I138" s="55" t="s">
        <v>1739</v>
      </c>
      <c r="J138" s="55" t="s">
        <v>1740</v>
      </c>
      <c r="K138" s="55" t="s">
        <v>854</v>
      </c>
      <c r="L138" s="55" t="s">
        <v>1741</v>
      </c>
      <c r="M138" s="61"/>
      <c r="N138" s="56" t="s">
        <v>1494</v>
      </c>
      <c r="O138" s="56" t="s">
        <v>378</v>
      </c>
      <c r="P138" s="56" t="s">
        <v>379</v>
      </c>
      <c r="Q138" s="57"/>
      <c r="R138" s="56" t="s">
        <v>380</v>
      </c>
    </row>
    <row r="139" ht="15.75" customHeight="1">
      <c r="A139" s="11" t="s">
        <v>1743</v>
      </c>
      <c r="B139" s="11">
        <v>5.0</v>
      </c>
      <c r="C139" s="11" t="s">
        <v>117</v>
      </c>
      <c r="D139" s="11" t="str">
        <f t="array" ref="D139">IFERROR(INDEX(DOCUMENTOS!$E:$E,MATCH($B139,DOCUMENTOS!$A:$A,0)),"")</f>
        <v>Empenho 2026NE000070 - Reforço</v>
      </c>
      <c r="E139" s="11" t="str">
        <f t="array" ref="E139">IFERROR(INDEX('BANCO DE PERGUNTAS'!$D:$D,MATCH($C139,'BANCO DE PERGUNTAS'!$A:$A,0)),"")</f>
        <v>Qual setor ou unidade está relacionado ao documento?</v>
      </c>
      <c r="F139" s="54" t="s">
        <v>1747</v>
      </c>
      <c r="G139" s="55" t="s">
        <v>1748</v>
      </c>
      <c r="H139" s="61"/>
      <c r="I139" s="61"/>
      <c r="J139" s="55" t="s">
        <v>1500</v>
      </c>
      <c r="K139" s="55" t="s">
        <v>374</v>
      </c>
      <c r="L139" s="55" t="s">
        <v>1501</v>
      </c>
      <c r="M139" s="61"/>
      <c r="N139" s="56" t="s">
        <v>745</v>
      </c>
      <c r="O139" s="56" t="s">
        <v>378</v>
      </c>
      <c r="P139" s="56" t="s">
        <v>379</v>
      </c>
      <c r="Q139" s="57"/>
      <c r="R139" s="56" t="s">
        <v>380</v>
      </c>
    </row>
    <row r="140" ht="15.75" customHeight="1">
      <c r="A140" s="14" t="s">
        <v>1750</v>
      </c>
      <c r="B140" s="14">
        <v>5.0</v>
      </c>
      <c r="C140" s="14" t="s">
        <v>131</v>
      </c>
      <c r="D140" s="14" t="str">
        <f t="array" ref="D140">IFERROR(INDEX(DOCUMENTOS!$E:$E,MATCH($B140,DOCUMENTOS!$A:$A,0)),"")</f>
        <v>Empenho 2026NE000070 - Reforço</v>
      </c>
      <c r="E140" s="14" t="str">
        <f t="array" ref="E140">IFERROR(INDEX('BANCO DE PERGUNTAS'!$D:$D,MATCH($C140,'BANCO DE PERGUNTAS'!$A:$A,0)),"")</f>
        <v>Quais são as partes ou instituições mencionadas?</v>
      </c>
      <c r="F140" s="54" t="s">
        <v>1752</v>
      </c>
      <c r="G140" s="55" t="s">
        <v>1753</v>
      </c>
      <c r="H140" s="61"/>
      <c r="I140" s="61"/>
      <c r="J140" s="55" t="s">
        <v>1451</v>
      </c>
      <c r="K140" s="55" t="s">
        <v>374</v>
      </c>
      <c r="L140" s="55" t="s">
        <v>1452</v>
      </c>
      <c r="M140" s="61"/>
      <c r="N140" s="56" t="s">
        <v>1754</v>
      </c>
      <c r="O140" s="56" t="s">
        <v>378</v>
      </c>
      <c r="P140" s="56" t="s">
        <v>379</v>
      </c>
      <c r="Q140" s="57"/>
      <c r="R140" s="56" t="s">
        <v>380</v>
      </c>
    </row>
    <row r="141" ht="15.75" customHeight="1">
      <c r="A141" s="11" t="s">
        <v>1755</v>
      </c>
      <c r="B141" s="11">
        <v>5.0</v>
      </c>
      <c r="C141" s="11" t="s">
        <v>144</v>
      </c>
      <c r="D141" s="11" t="str">
        <f t="array" ref="D141">IFERROR(INDEX(DOCUMENTOS!$E:$E,MATCH($B141,DOCUMENTOS!$A:$A,0)),"")</f>
        <v>Empenho 2026NE000070 - Reforço</v>
      </c>
      <c r="E141" s="11" t="str">
        <f t="array" ref="E141">IFERROR(INDEX('BANCO DE PERGUNTAS'!$D:$D,MATCH($C141,'BANCO DE PERGUNTAS'!$A:$A,0)),"")</f>
        <v>Qual informação específica está apresentada na seção 08?</v>
      </c>
      <c r="F141" s="54" t="s">
        <v>1756</v>
      </c>
      <c r="G141" s="55" t="s">
        <v>1757</v>
      </c>
      <c r="H141" s="55" t="s">
        <v>983</v>
      </c>
      <c r="I141" s="55" t="s">
        <v>1758</v>
      </c>
      <c r="J141" s="55" t="s">
        <v>1759</v>
      </c>
      <c r="K141" s="55" t="s">
        <v>854</v>
      </c>
      <c r="L141" s="55" t="s">
        <v>1523</v>
      </c>
      <c r="M141" s="61"/>
      <c r="N141" s="56" t="s">
        <v>1760</v>
      </c>
      <c r="O141" s="56" t="s">
        <v>378</v>
      </c>
      <c r="P141" s="56" t="s">
        <v>379</v>
      </c>
      <c r="Q141" s="57"/>
      <c r="R141" s="56" t="s">
        <v>380</v>
      </c>
    </row>
    <row r="142" ht="15.75" customHeight="1">
      <c r="A142" s="14" t="s">
        <v>1761</v>
      </c>
      <c r="B142" s="14">
        <v>5.0</v>
      </c>
      <c r="C142" s="14" t="s">
        <v>156</v>
      </c>
      <c r="D142" s="14" t="str">
        <f t="array" ref="D142">IFERROR(INDEX(DOCUMENTOS!$E:$E,MATCH($B142,DOCUMENTOS!$A:$A,0)),"")</f>
        <v>Empenho 2026NE000070 - Reforço</v>
      </c>
      <c r="E142" s="14" t="str">
        <f t="array" ref="E142">IFERROR(INDEX('BANCO DE PERGUNTAS'!$D:$D,MATCH($C142,'BANCO DE PERGUNTAS'!$A:$A,0)),"")</f>
        <v>Em qual seção do documento está localizada a informação solicitada?</v>
      </c>
      <c r="F142" s="54" t="s">
        <v>1765</v>
      </c>
      <c r="G142" s="55" t="s">
        <v>1766</v>
      </c>
      <c r="H142" s="55" t="s">
        <v>451</v>
      </c>
      <c r="I142" s="55" t="s">
        <v>1768</v>
      </c>
      <c r="J142" s="55" t="s">
        <v>1769</v>
      </c>
      <c r="K142" s="55" t="s">
        <v>1770</v>
      </c>
      <c r="L142" s="55" t="s">
        <v>456</v>
      </c>
      <c r="M142" s="61"/>
      <c r="N142" s="56" t="s">
        <v>457</v>
      </c>
      <c r="O142" s="56" t="s">
        <v>378</v>
      </c>
      <c r="P142" s="56" t="s">
        <v>379</v>
      </c>
      <c r="Q142" s="57"/>
      <c r="R142" s="56" t="s">
        <v>380</v>
      </c>
    </row>
    <row r="143" ht="15.75" customHeight="1">
      <c r="A143" s="11" t="s">
        <v>1771</v>
      </c>
      <c r="B143" s="11">
        <v>5.0</v>
      </c>
      <c r="C143" s="11" t="s">
        <v>162</v>
      </c>
      <c r="D143" s="11" t="str">
        <f t="array" ref="D143">IFERROR(INDEX(DOCUMENTOS!$E:$E,MATCH($B143,DOCUMENTOS!$A:$A,0)),"")</f>
        <v>Empenho 2026NE000070 - Reforço</v>
      </c>
      <c r="E143" s="11" t="str">
        <f t="array" ref="E143">IFERROR(INDEX('BANCO DE PERGUNTAS'!$D:$D,MATCH($C143,'BANCO DE PERGUNTAS'!$A:$A,0)),"")</f>
        <v>Qual é o valor indicado para o Valor Total Anual do Objeto licitado?</v>
      </c>
      <c r="F143" s="54" t="s">
        <v>1774</v>
      </c>
      <c r="G143" s="55" t="s">
        <v>1775</v>
      </c>
      <c r="H143" s="55" t="s">
        <v>1776</v>
      </c>
      <c r="I143" s="55" t="s">
        <v>1777</v>
      </c>
      <c r="J143" s="55" t="s">
        <v>1778</v>
      </c>
      <c r="K143" s="55" t="s">
        <v>906</v>
      </c>
      <c r="L143" s="55" t="s">
        <v>1779</v>
      </c>
      <c r="M143" s="55" t="s">
        <v>1780</v>
      </c>
      <c r="N143" s="56" t="s">
        <v>1781</v>
      </c>
      <c r="O143" s="56" t="s">
        <v>378</v>
      </c>
      <c r="P143" s="56" t="s">
        <v>379</v>
      </c>
      <c r="Q143" s="57"/>
      <c r="R143" s="56" t="s">
        <v>380</v>
      </c>
    </row>
    <row r="144" ht="15.75" customHeight="1">
      <c r="A144" s="14" t="s">
        <v>1782</v>
      </c>
      <c r="B144" s="14">
        <v>5.0</v>
      </c>
      <c r="C144" s="14" t="s">
        <v>168</v>
      </c>
      <c r="D144" s="14" t="str">
        <f t="array" ref="D144">IFERROR(INDEX(DOCUMENTOS!$E:$E,MATCH($B144,DOCUMENTOS!$A:$A,0)),"")</f>
        <v>Empenho 2026NE000070 - Reforço</v>
      </c>
      <c r="E144" s="14" t="str">
        <f t="array" ref="E144">IFERROR(INDEX('BANCO DE PERGUNTAS'!$D:$D,MATCH($C144,'BANCO DE PERGUNTAS'!$A:$A,0)),"")</f>
        <v>Qual é a data indicada para de assinatura de todos os membros da comissão da contratação?</v>
      </c>
      <c r="F144" s="54" t="s">
        <v>1783</v>
      </c>
      <c r="G144" s="55" t="s">
        <v>982</v>
      </c>
      <c r="H144" s="55" t="s">
        <v>983</v>
      </c>
      <c r="I144" s="55" t="s">
        <v>984</v>
      </c>
      <c r="J144" s="55" t="s">
        <v>539</v>
      </c>
      <c r="K144" s="61"/>
      <c r="L144" s="55" t="s">
        <v>539</v>
      </c>
      <c r="M144" s="61"/>
      <c r="N144" s="56" t="s">
        <v>986</v>
      </c>
      <c r="O144" s="56" t="s">
        <v>378</v>
      </c>
      <c r="P144" s="56" t="s">
        <v>379</v>
      </c>
      <c r="Q144" s="57"/>
      <c r="R144" s="56" t="s">
        <v>380</v>
      </c>
    </row>
    <row r="145" ht="15.75" customHeight="1">
      <c r="A145" s="11" t="s">
        <v>1785</v>
      </c>
      <c r="B145" s="11">
        <v>5.0</v>
      </c>
      <c r="C145" s="11" t="s">
        <v>172</v>
      </c>
      <c r="D145" s="11" t="str">
        <f t="array" ref="D145">IFERROR(INDEX(DOCUMENTOS!$E:$E,MATCH($B145,DOCUMENTOS!$A:$A,0)),"")</f>
        <v>Empenho 2026NE000070 - Reforço</v>
      </c>
      <c r="E145" s="11" t="str">
        <f t="array" ref="E145">IFERROR(INDEX('BANCO DE PERGUNTAS'!$D:$D,MATCH($C145,'BANCO DE PERGUNTAS'!$A:$A,0)),"")</f>
        <v>Extraia os principais dados do documento em formato estruturado.</v>
      </c>
      <c r="F145" s="54" t="s">
        <v>1791</v>
      </c>
      <c r="G145" s="55" t="s">
        <v>1792</v>
      </c>
      <c r="H145" s="61"/>
      <c r="I145" s="61"/>
      <c r="J145" s="55" t="s">
        <v>1793</v>
      </c>
      <c r="K145" s="55" t="s">
        <v>1770</v>
      </c>
      <c r="L145" s="55" t="s">
        <v>539</v>
      </c>
      <c r="M145" s="61"/>
      <c r="N145" s="56" t="s">
        <v>498</v>
      </c>
      <c r="O145" s="56" t="s">
        <v>378</v>
      </c>
      <c r="P145" s="56" t="s">
        <v>379</v>
      </c>
      <c r="Q145" s="57"/>
      <c r="R145" s="56" t="s">
        <v>380</v>
      </c>
    </row>
    <row r="146" ht="15.75" customHeight="1">
      <c r="A146" s="14" t="s">
        <v>1794</v>
      </c>
      <c r="B146" s="14">
        <v>5.0</v>
      </c>
      <c r="C146" s="14" t="s">
        <v>179</v>
      </c>
      <c r="D146" s="14" t="str">
        <f t="array" ref="D146">IFERROR(INDEX(DOCUMENTOS!$E:$E,MATCH($B146,DOCUMENTOS!$A:$A,0)),"")</f>
        <v>Empenho 2026NE000070 - Reforço</v>
      </c>
      <c r="E146" s="14" t="str">
        <f t="array" ref="E146">IFERROR(INDEX('BANCO DE PERGUNTAS'!$D:$D,MATCH($C146,'BANCO DE PERGUNTAS'!$A:$A,0)),"")</f>
        <v>Liste os valores financeiros presentes no documento.</v>
      </c>
      <c r="F146" s="54" t="s">
        <v>1795</v>
      </c>
      <c r="G146" s="55" t="s">
        <v>1796</v>
      </c>
      <c r="H146" s="55" t="s">
        <v>1797</v>
      </c>
      <c r="I146" s="61"/>
      <c r="J146" s="55" t="s">
        <v>1798</v>
      </c>
      <c r="K146" s="55" t="s">
        <v>734</v>
      </c>
      <c r="L146" s="55" t="s">
        <v>1799</v>
      </c>
      <c r="M146" s="61"/>
      <c r="N146" s="56" t="s">
        <v>507</v>
      </c>
      <c r="O146" s="56" t="s">
        <v>378</v>
      </c>
      <c r="P146" s="56" t="s">
        <v>379</v>
      </c>
      <c r="Q146" s="57"/>
      <c r="R146" s="56" t="s">
        <v>380</v>
      </c>
    </row>
    <row r="147" ht="15.75" customHeight="1">
      <c r="A147" s="11" t="s">
        <v>1800</v>
      </c>
      <c r="B147" s="11">
        <v>5.0</v>
      </c>
      <c r="C147" s="11" t="s">
        <v>186</v>
      </c>
      <c r="D147" s="11" t="str">
        <f t="array" ref="D147">IFERROR(INDEX(DOCUMENTOS!$E:$E,MATCH($B147,DOCUMENTOS!$A:$A,0)),"")</f>
        <v>Empenho 2026NE000070 - Reforço</v>
      </c>
      <c r="E147" s="11" t="str">
        <f t="array" ref="E147">IFERROR(INDEX('BANCO DE PERGUNTAS'!$D:$D,MATCH($C147,'BANCO DE PERGUNTAS'!$A:$A,0)),"")</f>
        <v>Liste as obrigações ou responsabilidades estabelecidas.</v>
      </c>
      <c r="F147" s="54" t="s">
        <v>1803</v>
      </c>
      <c r="G147" s="55" t="s">
        <v>1804</v>
      </c>
      <c r="H147" s="61"/>
      <c r="I147" s="61"/>
      <c r="J147" s="55" t="s">
        <v>1805</v>
      </c>
      <c r="K147" s="55" t="s">
        <v>1806</v>
      </c>
      <c r="L147" s="55" t="s">
        <v>1807</v>
      </c>
      <c r="M147" s="61"/>
      <c r="N147" s="56" t="s">
        <v>520</v>
      </c>
      <c r="O147" s="56" t="s">
        <v>378</v>
      </c>
      <c r="P147" s="56" t="s">
        <v>379</v>
      </c>
      <c r="Q147" s="57"/>
      <c r="R147" s="56" t="s">
        <v>380</v>
      </c>
    </row>
    <row r="148" ht="15.75" customHeight="1">
      <c r="A148" s="14" t="s">
        <v>1808</v>
      </c>
      <c r="B148" s="14">
        <v>5.0</v>
      </c>
      <c r="C148" s="14" t="s">
        <v>190</v>
      </c>
      <c r="D148" s="14" t="str">
        <f t="array" ref="D148">IFERROR(INDEX(DOCUMENTOS!$E:$E,MATCH($B148,DOCUMENTOS!$A:$A,0)),"")</f>
        <v>Empenho 2026NE000070 - Reforço</v>
      </c>
      <c r="E148" s="14" t="str">
        <f t="array" ref="E148">IFERROR(INDEX('BANCO DE PERGUNTAS'!$D:$D,MATCH($C148,'BANCO DE PERGUNTAS'!$A:$A,0)),"")</f>
        <v>Explique o significado da cláusula/seção 4.1.4..</v>
      </c>
      <c r="F148" s="54" t="s">
        <v>1813</v>
      </c>
      <c r="G148" s="55" t="s">
        <v>982</v>
      </c>
      <c r="H148" s="55" t="s">
        <v>983</v>
      </c>
      <c r="I148" s="55" t="s">
        <v>984</v>
      </c>
      <c r="J148" s="55" t="s">
        <v>539</v>
      </c>
      <c r="K148" s="61"/>
      <c r="L148" s="55" t="s">
        <v>539</v>
      </c>
      <c r="M148" s="61"/>
      <c r="N148" s="56" t="s">
        <v>986</v>
      </c>
      <c r="O148" s="56" t="s">
        <v>378</v>
      </c>
      <c r="P148" s="56" t="s">
        <v>379</v>
      </c>
      <c r="Q148" s="57"/>
      <c r="R148" s="56" t="s">
        <v>380</v>
      </c>
    </row>
    <row r="149" ht="15.75" customHeight="1">
      <c r="A149" s="11" t="s">
        <v>1814</v>
      </c>
      <c r="B149" s="11">
        <v>5.0</v>
      </c>
      <c r="C149" s="11" t="s">
        <v>199</v>
      </c>
      <c r="D149" s="11" t="str">
        <f t="array" ref="D149">IFERROR(INDEX(DOCUMENTOS!$E:$E,MATCH($B149,DOCUMENTOS!$A:$A,0)),"")</f>
        <v>Empenho 2026NE000070 - Reforço</v>
      </c>
      <c r="E149" s="11" t="str">
        <f t="array" ref="E149">IFERROR(INDEX('BANCO DE PERGUNTAS'!$D:$D,MATCH($C149,'BANCO DE PERGUNTAS'!$A:$A,0)),"")</f>
        <v>Qual é a finalidade administrativa deste documento?</v>
      </c>
      <c r="F149" s="54" t="s">
        <v>1815</v>
      </c>
      <c r="G149" s="55" t="s">
        <v>1816</v>
      </c>
      <c r="H149" s="61"/>
      <c r="I149" s="61"/>
      <c r="J149" s="55" t="s">
        <v>1817</v>
      </c>
      <c r="K149" s="55" t="s">
        <v>734</v>
      </c>
      <c r="L149" s="55" t="s">
        <v>1818</v>
      </c>
      <c r="M149" s="61"/>
      <c r="N149" s="56" t="s">
        <v>1819</v>
      </c>
      <c r="O149" s="56" t="s">
        <v>378</v>
      </c>
      <c r="P149" s="56" t="s">
        <v>379</v>
      </c>
      <c r="Q149" s="57"/>
      <c r="R149" s="56" t="s">
        <v>380</v>
      </c>
    </row>
    <row r="150" ht="15.75" customHeight="1">
      <c r="A150" s="14" t="s">
        <v>1820</v>
      </c>
      <c r="B150" s="14">
        <v>5.0</v>
      </c>
      <c r="C150" s="14" t="s">
        <v>203</v>
      </c>
      <c r="D150" s="14" t="str">
        <f t="array" ref="D150">IFERROR(INDEX(DOCUMENTOS!$E:$E,MATCH($B150,DOCUMENTOS!$A:$A,0)),"")</f>
        <v>Empenho 2026NE000070 - Reforço</v>
      </c>
      <c r="E150" s="14" t="str">
        <f t="array" ref="E150">IFERROR(INDEX('BANCO DE PERGUNTAS'!$D:$D,MATCH($C150,'BANCO DE PERGUNTAS'!$A:$A,0)),"")</f>
        <v>Qual consequência decorre da informação estabelecida em 4.11?</v>
      </c>
      <c r="F150" s="54" t="s">
        <v>1821</v>
      </c>
      <c r="G150" s="55" t="s">
        <v>982</v>
      </c>
      <c r="H150" s="55" t="s">
        <v>983</v>
      </c>
      <c r="I150" s="55" t="s">
        <v>984</v>
      </c>
      <c r="J150" s="55" t="s">
        <v>539</v>
      </c>
      <c r="K150" s="61"/>
      <c r="L150" s="55" t="s">
        <v>539</v>
      </c>
      <c r="M150" s="61"/>
      <c r="N150" s="56" t="s">
        <v>986</v>
      </c>
      <c r="O150" s="56" t="s">
        <v>378</v>
      </c>
      <c r="P150" s="56" t="s">
        <v>379</v>
      </c>
      <c r="Q150" s="57"/>
      <c r="R150" s="56" t="s">
        <v>380</v>
      </c>
    </row>
    <row r="151" ht="15.75" customHeight="1">
      <c r="A151" s="11" t="s">
        <v>1822</v>
      </c>
      <c r="B151" s="11">
        <v>5.0</v>
      </c>
      <c r="C151" s="11" t="s">
        <v>208</v>
      </c>
      <c r="D151" s="11" t="str">
        <f t="array" ref="D151">IFERROR(INDEX(DOCUMENTOS!$E:$E,MATCH($B151,DOCUMENTOS!$A:$A,0)),"")</f>
        <v>Empenho 2026NE000070 - Reforço</v>
      </c>
      <c r="E151" s="11" t="str">
        <f t="array" ref="E151">IFERROR(INDEX('BANCO DE PERGUNTAS'!$D:$D,MATCH($C151,'BANCO DE PERGUNTAS'!$A:$A,0)),"")</f>
        <v>Existem informações aparentemente inconsistentes dentro do documento?</v>
      </c>
      <c r="F151" s="54" t="s">
        <v>1823</v>
      </c>
      <c r="G151" s="55" t="s">
        <v>554</v>
      </c>
      <c r="H151" s="55" t="s">
        <v>1824</v>
      </c>
      <c r="I151" s="55" t="s">
        <v>1825</v>
      </c>
      <c r="J151" s="55" t="s">
        <v>1826</v>
      </c>
      <c r="K151" s="55" t="s">
        <v>1770</v>
      </c>
      <c r="L151" s="55" t="s">
        <v>1827</v>
      </c>
      <c r="M151" s="55" t="s">
        <v>1828</v>
      </c>
      <c r="N151" s="56" t="s">
        <v>1829</v>
      </c>
      <c r="O151" s="56" t="s">
        <v>378</v>
      </c>
      <c r="P151" s="56" t="s">
        <v>379</v>
      </c>
      <c r="Q151" s="57"/>
      <c r="R151" s="56" t="s">
        <v>380</v>
      </c>
    </row>
    <row r="152" ht="15.75" customHeight="1">
      <c r="A152" s="14" t="s">
        <v>1830</v>
      </c>
      <c r="B152" s="14">
        <v>5.0</v>
      </c>
      <c r="C152" s="14" t="s">
        <v>215</v>
      </c>
      <c r="D152" s="14" t="str">
        <f t="array" ref="D152">IFERROR(INDEX(DOCUMENTOS!$E:$E,MATCH($B152,DOCUMENTOS!$A:$A,0)),"")</f>
        <v>Empenho 2026NE000070 - Reforço</v>
      </c>
      <c r="E152" s="14" t="str">
        <f t="array" ref="E152">IFERROR(INDEX('BANCO DE PERGUNTAS'!$D:$D,MATCH($C152,'BANCO DE PERGUNTAS'!$A:$A,0)),"")</f>
        <v>Existem valores, datas, números ou informações aparentemente incompatíveis?</v>
      </c>
      <c r="F152" s="54" t="s">
        <v>1833</v>
      </c>
      <c r="G152" s="55" t="s">
        <v>1834</v>
      </c>
      <c r="H152" s="61"/>
      <c r="I152" s="61"/>
      <c r="J152" s="55" t="s">
        <v>1835</v>
      </c>
      <c r="K152" s="55" t="s">
        <v>1770</v>
      </c>
      <c r="L152" s="55" t="s">
        <v>1836</v>
      </c>
      <c r="M152" s="61"/>
      <c r="N152" s="56" t="s">
        <v>572</v>
      </c>
      <c r="O152" s="56" t="s">
        <v>378</v>
      </c>
      <c r="P152" s="56" t="s">
        <v>379</v>
      </c>
      <c r="Q152" s="57"/>
      <c r="R152" s="56" t="s">
        <v>380</v>
      </c>
    </row>
    <row r="153" ht="15.75" customHeight="1">
      <c r="A153" s="11" t="s">
        <v>1837</v>
      </c>
      <c r="B153" s="11">
        <v>5.0</v>
      </c>
      <c r="C153" s="11" t="s">
        <v>219</v>
      </c>
      <c r="D153" s="11" t="str">
        <f t="array" ref="D153">IFERROR(INDEX(DOCUMENTOS!$E:$E,MATCH($B153,DOCUMENTOS!$A:$A,0)),"")</f>
        <v>Empenho 2026NE000070 - Reforço</v>
      </c>
      <c r="E153" s="11" t="str">
        <f t="array" ref="E153">IFERROR(INDEX('BANCO DE PERGUNTAS'!$D:$D,MATCH($C153,'BANCO DE PERGUNTAS'!$A:$A,0)),"")</f>
        <v>Existem informações relevantes ausentes?</v>
      </c>
      <c r="F153" s="54" t="s">
        <v>1842</v>
      </c>
      <c r="G153" s="55" t="s">
        <v>1843</v>
      </c>
      <c r="H153" s="61"/>
      <c r="I153" s="61"/>
      <c r="J153" s="55" t="s">
        <v>1844</v>
      </c>
      <c r="K153" s="55" t="s">
        <v>906</v>
      </c>
      <c r="L153" s="55" t="s">
        <v>1845</v>
      </c>
      <c r="M153" s="61"/>
      <c r="N153" s="56" t="s">
        <v>582</v>
      </c>
      <c r="O153" s="56" t="s">
        <v>378</v>
      </c>
      <c r="P153" s="56" t="s">
        <v>379</v>
      </c>
      <c r="Q153" s="57"/>
      <c r="R153" s="56" t="s">
        <v>380</v>
      </c>
    </row>
    <row r="154" ht="15.75" customHeight="1">
      <c r="A154" s="14" t="s">
        <v>1846</v>
      </c>
      <c r="B154" s="14">
        <v>5.0</v>
      </c>
      <c r="C154" s="14" t="s">
        <v>226</v>
      </c>
      <c r="D154" s="14" t="str">
        <f t="array" ref="D154">IFERROR(INDEX(DOCUMENTOS!$E:$E,MATCH($B154,DOCUMENTOS!$A:$A,0)),"")</f>
        <v>Empenho 2026NE000070 - Reforço</v>
      </c>
      <c r="E154" s="14" t="str">
        <f t="array" ref="E154">IFERROR(INDEX('BANCO DE PERGUNTAS'!$D:$D,MATCH($C154,'BANCO DE PERGUNTAS'!$A:$A,0)),"")</f>
        <v>Identifique possíveis erros materiais no documento.</v>
      </c>
      <c r="F154" s="54" t="s">
        <v>1847</v>
      </c>
      <c r="G154" s="55" t="s">
        <v>1848</v>
      </c>
      <c r="H154" s="55" t="s">
        <v>1849</v>
      </c>
      <c r="I154" s="61"/>
      <c r="J154" s="55" t="s">
        <v>1850</v>
      </c>
      <c r="K154" s="55" t="s">
        <v>734</v>
      </c>
      <c r="L154" s="55" t="s">
        <v>1851</v>
      </c>
      <c r="M154" s="61"/>
      <c r="N154" s="56" t="s">
        <v>591</v>
      </c>
      <c r="O154" s="56" t="s">
        <v>378</v>
      </c>
      <c r="P154" s="56" t="s">
        <v>379</v>
      </c>
      <c r="Q154" s="57"/>
      <c r="R154" s="56" t="s">
        <v>380</v>
      </c>
    </row>
    <row r="155" ht="15.75" customHeight="1">
      <c r="A155" s="11" t="s">
        <v>1852</v>
      </c>
      <c r="B155" s="11">
        <v>5.0</v>
      </c>
      <c r="C155" s="11" t="s">
        <v>232</v>
      </c>
      <c r="D155" s="11" t="str">
        <f t="array" ref="D155">IFERROR(INDEX(DOCUMENTOS!$E:$E,MATCH($B155,DOCUMENTOS!$A:$A,0)),"")</f>
        <v>Empenho 2026NE000070 - Reforço</v>
      </c>
      <c r="E155" s="11" t="str">
        <f t="array" ref="E155">IFERROR(INDEX('BANCO DE PERGUNTAS'!$D:$D,MATCH($C155,'BANCO DE PERGUNTAS'!$A:$A,0)),"")</f>
        <v>Existem informações que deveriam ser verificadas por um servidor antes da utilização do documento?</v>
      </c>
      <c r="F155" s="54" t="s">
        <v>1853</v>
      </c>
      <c r="G155" s="61"/>
      <c r="H155" s="61"/>
      <c r="I155" s="61"/>
      <c r="J155" s="55" t="s">
        <v>1854</v>
      </c>
      <c r="K155" s="55" t="s">
        <v>1770</v>
      </c>
      <c r="L155" s="55" t="s">
        <v>1855</v>
      </c>
      <c r="M155" s="61"/>
      <c r="N155" s="56" t="s">
        <v>1083</v>
      </c>
      <c r="O155" s="56" t="s">
        <v>378</v>
      </c>
      <c r="P155" s="56" t="s">
        <v>379</v>
      </c>
      <c r="Q155" s="57"/>
      <c r="R155" s="56" t="s">
        <v>380</v>
      </c>
    </row>
    <row r="156" ht="15.75" customHeight="1">
      <c r="A156" s="14" t="s">
        <v>1856</v>
      </c>
      <c r="B156" s="14">
        <v>5.0</v>
      </c>
      <c r="C156" s="14" t="s">
        <v>240</v>
      </c>
      <c r="D156" s="14" t="str">
        <f t="array" ref="D156">IFERROR(INDEX(DOCUMENTOS!$E:$E,MATCH($B156,DOCUMENTOS!$A:$A,0)),"")</f>
        <v>Empenho 2026NE000070 - Reforço</v>
      </c>
      <c r="E156" s="14" t="str">
        <f t="array" ref="E156">IFERROR(INDEX('BANCO DE PERGUNTAS'!$D:$D,MATCH($C156,'BANCO DE PERGUNTAS'!$A:$A,0)),"")</f>
        <v>Existem elementos que indiquem possível desconformidade com os próprios requisitos apresentados no documento?</v>
      </c>
      <c r="F156" s="54" t="s">
        <v>1860</v>
      </c>
      <c r="G156" s="55" t="s">
        <v>1861</v>
      </c>
      <c r="H156" s="61"/>
      <c r="I156" s="61"/>
      <c r="J156" s="55" t="s">
        <v>1862</v>
      </c>
      <c r="K156" s="55" t="s">
        <v>906</v>
      </c>
      <c r="L156" s="55" t="s">
        <v>1864</v>
      </c>
      <c r="M156" s="61"/>
      <c r="N156" s="56" t="s">
        <v>1865</v>
      </c>
      <c r="O156" s="56" t="s">
        <v>378</v>
      </c>
      <c r="P156" s="56" t="s">
        <v>379</v>
      </c>
      <c r="Q156" s="57"/>
      <c r="R156" s="56" t="s">
        <v>380</v>
      </c>
    </row>
    <row r="157" ht="15.75" customHeight="1">
      <c r="A157" s="11" t="s">
        <v>1866</v>
      </c>
      <c r="B157" s="11">
        <v>5.0</v>
      </c>
      <c r="C157" s="11" t="s">
        <v>247</v>
      </c>
      <c r="D157" s="11" t="str">
        <f t="array" ref="D157">IFERROR(INDEX(DOCUMENTOS!$E:$E,MATCH($B157,DOCUMENTOS!$A:$A,0)),"")</f>
        <v>Empenho 2026NE000070 - Reforço</v>
      </c>
      <c r="E157" s="11" t="str">
        <f t="array" ref="E157">IFERROR(INDEX('BANCO DE PERGUNTAS'!$D:$D,MATCH($C157,'BANCO DE PERGUNTAS'!$A:$A,0)),"")</f>
        <v>Quais requisitos estão explicitamente presentes?</v>
      </c>
      <c r="F157" s="54" t="s">
        <v>1869</v>
      </c>
      <c r="G157" s="61"/>
      <c r="H157" s="61"/>
      <c r="I157" s="61"/>
      <c r="J157" s="55" t="s">
        <v>1870</v>
      </c>
      <c r="K157" s="55" t="s">
        <v>1770</v>
      </c>
      <c r="L157" s="55" t="s">
        <v>1871</v>
      </c>
      <c r="M157" s="61"/>
      <c r="N157" s="56" t="s">
        <v>638</v>
      </c>
      <c r="O157" s="56" t="s">
        <v>378</v>
      </c>
      <c r="P157" s="56" t="s">
        <v>379</v>
      </c>
      <c r="Q157" s="57"/>
      <c r="R157" s="56" t="s">
        <v>380</v>
      </c>
    </row>
    <row r="158" ht="15.75" customHeight="1">
      <c r="A158" s="14" t="s">
        <v>1872</v>
      </c>
      <c r="B158" s="14">
        <v>5.0</v>
      </c>
      <c r="C158" s="14" t="s">
        <v>252</v>
      </c>
      <c r="D158" s="14" t="str">
        <f t="array" ref="D158">IFERROR(INDEX(DOCUMENTOS!$E:$E,MATCH($B158,DOCUMENTOS!$A:$A,0)),"")</f>
        <v>Empenho 2026NE000070 - Reforço</v>
      </c>
      <c r="E158" s="14" t="str">
        <f t="array" ref="E158">IFERROR(INDEX('BANCO DE PERGUNTAS'!$D:$D,MATCH($C158,'BANCO DE PERGUNTAS'!$A:$A,0)),"")</f>
        <v>Quais informações necessárias parecem estar ausentes?</v>
      </c>
      <c r="F158" s="54" t="s">
        <v>1873</v>
      </c>
      <c r="G158" s="61"/>
      <c r="H158" s="61"/>
      <c r="I158" s="61"/>
      <c r="J158" s="55" t="s">
        <v>1844</v>
      </c>
      <c r="K158" s="55" t="s">
        <v>906</v>
      </c>
      <c r="L158" s="55" t="s">
        <v>1845</v>
      </c>
      <c r="M158" s="61"/>
      <c r="N158" s="56" t="s">
        <v>644</v>
      </c>
      <c r="O158" s="56" t="s">
        <v>378</v>
      </c>
      <c r="P158" s="56" t="s">
        <v>379</v>
      </c>
      <c r="Q158" s="57"/>
      <c r="R158" s="56" t="s">
        <v>380</v>
      </c>
    </row>
    <row r="159" ht="15.75" customHeight="1">
      <c r="A159" s="11" t="s">
        <v>1874</v>
      </c>
      <c r="B159" s="11">
        <v>5.0</v>
      </c>
      <c r="C159" s="11" t="s">
        <v>257</v>
      </c>
      <c r="D159" s="11" t="str">
        <f t="array" ref="D159">IFERROR(INDEX(DOCUMENTOS!$E:$E,MATCH($B159,DOCUMENTOS!$A:$A,0)),"")</f>
        <v>Empenho 2026NE000070 - Reforço</v>
      </c>
      <c r="E159" s="11" t="str">
        <f t="array" ref="E159">IFERROR(INDEX('BANCO DE PERGUNTAS'!$D:$D,MATCH($C159,'BANCO DE PERGUNTAS'!$A:$A,0)),"")</f>
        <v>Existem informações conflitantes com outro documento relacionado?</v>
      </c>
      <c r="F159" s="54" t="s">
        <v>1876</v>
      </c>
      <c r="G159" s="55" t="s">
        <v>1877</v>
      </c>
      <c r="H159" s="55" t="s">
        <v>1878</v>
      </c>
      <c r="I159" s="55" t="s">
        <v>1879</v>
      </c>
      <c r="J159" s="55" t="s">
        <v>539</v>
      </c>
      <c r="K159" s="61"/>
      <c r="L159" s="55" t="s">
        <v>539</v>
      </c>
      <c r="M159" s="61"/>
      <c r="N159" s="56" t="s">
        <v>1880</v>
      </c>
      <c r="O159" s="56" t="s">
        <v>378</v>
      </c>
      <c r="P159" s="56" t="s">
        <v>379</v>
      </c>
      <c r="Q159" s="57"/>
      <c r="R159" s="56" t="s">
        <v>1882</v>
      </c>
    </row>
    <row r="160" ht="15.75" customHeight="1">
      <c r="A160" s="14" t="s">
        <v>1883</v>
      </c>
      <c r="B160" s="14">
        <v>5.0</v>
      </c>
      <c r="C160" s="14" t="s">
        <v>264</v>
      </c>
      <c r="D160" s="14" t="str">
        <f t="array" ref="D160">IFERROR(INDEX(DOCUMENTOS!$E:$E,MATCH($B160,DOCUMENTOS!$A:$A,0)),"")</f>
        <v>Empenho 2026NE000070 - Reforço</v>
      </c>
      <c r="E160" s="14" t="str">
        <f t="array" ref="E160">IFERROR(INDEX('BANCO DE PERGUNTAS'!$D:$D,MATCH($C160,'BANCO DE PERGUNTAS'!$A:$A,0)),"")</f>
        <v>Quais diferenças existem entre os documentos?</v>
      </c>
      <c r="F160" s="54" t="s">
        <v>1886</v>
      </c>
      <c r="G160" s="55" t="s">
        <v>1877</v>
      </c>
      <c r="H160" s="55" t="s">
        <v>1878</v>
      </c>
      <c r="I160" s="55" t="s">
        <v>1879</v>
      </c>
      <c r="J160" s="55" t="s">
        <v>539</v>
      </c>
      <c r="K160" s="61"/>
      <c r="L160" s="55" t="s">
        <v>539</v>
      </c>
      <c r="M160" s="61"/>
      <c r="N160" s="56" t="s">
        <v>1880</v>
      </c>
      <c r="O160" s="56" t="s">
        <v>378</v>
      </c>
      <c r="P160" s="56" t="s">
        <v>379</v>
      </c>
      <c r="Q160" s="57"/>
      <c r="R160" s="56" t="s">
        <v>1882</v>
      </c>
    </row>
    <row r="161" ht="15.75" customHeight="1">
      <c r="A161" s="11" t="s">
        <v>1887</v>
      </c>
      <c r="B161" s="11">
        <v>5.0</v>
      </c>
      <c r="C161" s="11" t="s">
        <v>269</v>
      </c>
      <c r="D161" s="11" t="str">
        <f t="array" ref="D161">IFERROR(INDEX(DOCUMENTOS!$E:$E,MATCH($B161,DOCUMENTOS!$A:$A,0)),"")</f>
        <v>Empenho 2026NE000070 - Reforço</v>
      </c>
      <c r="E161" s="11" t="str">
        <f t="array" ref="E161">IFERROR(INDEX('BANCO DE PERGUNTAS'!$D:$D,MATCH($C161,'BANCO DE PERGUNTAS'!$A:$A,0)),"")</f>
        <v>Quais informações foram alteradas?</v>
      </c>
      <c r="F161" s="54" t="s">
        <v>1889</v>
      </c>
      <c r="G161" s="55" t="s">
        <v>1890</v>
      </c>
      <c r="H161" s="61"/>
      <c r="I161" s="61"/>
      <c r="J161" s="55" t="s">
        <v>1891</v>
      </c>
      <c r="K161" s="55" t="s">
        <v>734</v>
      </c>
      <c r="L161" s="55" t="s">
        <v>1892</v>
      </c>
      <c r="M161" s="61"/>
      <c r="N161" s="56" t="s">
        <v>1894</v>
      </c>
      <c r="O161" s="56" t="s">
        <v>378</v>
      </c>
      <c r="P161" s="56" t="s">
        <v>379</v>
      </c>
      <c r="Q161" s="57"/>
      <c r="R161" s="56" t="s">
        <v>380</v>
      </c>
    </row>
    <row r="162" ht="15.75" customHeight="1">
      <c r="A162" s="14" t="s">
        <v>1895</v>
      </c>
      <c r="B162" s="14">
        <v>5.0</v>
      </c>
      <c r="C162" s="14" t="s">
        <v>276</v>
      </c>
      <c r="D162" s="14" t="str">
        <f t="array" ref="D162">IFERROR(INDEX(DOCUMENTOS!$E:$E,MATCH($B162,DOCUMENTOS!$A:$A,0)),"")</f>
        <v>Empenho 2026NE000070 - Reforço</v>
      </c>
      <c r="E162" s="14" t="str">
        <f t="array" ref="E162">IFERROR(INDEX('BANCO DE PERGUNTAS'!$D:$D,MATCH($C162,'BANCO DE PERGUNTAS'!$A:$A,0)),"")</f>
        <v>Identifique possíveis pontos de atenção administrativa.</v>
      </c>
      <c r="F162" s="54" t="s">
        <v>1896</v>
      </c>
      <c r="G162" s="61"/>
      <c r="H162" s="61"/>
      <c r="I162" s="61"/>
      <c r="J162" s="55" t="s">
        <v>1897</v>
      </c>
      <c r="K162" s="55" t="s">
        <v>1770</v>
      </c>
      <c r="L162" s="55" t="s">
        <v>1898</v>
      </c>
      <c r="M162" s="61"/>
      <c r="N162" s="56" t="s">
        <v>687</v>
      </c>
      <c r="O162" s="56" t="s">
        <v>378</v>
      </c>
      <c r="P162" s="56" t="s">
        <v>379</v>
      </c>
      <c r="Q162" s="57"/>
      <c r="R162" s="56" t="s">
        <v>380</v>
      </c>
    </row>
    <row r="163" ht="15.75" customHeight="1">
      <c r="A163" s="11" t="s">
        <v>1899</v>
      </c>
      <c r="B163" s="11">
        <v>5.0</v>
      </c>
      <c r="C163" s="11" t="s">
        <v>284</v>
      </c>
      <c r="D163" s="11" t="str">
        <f t="array" ref="D163">IFERROR(INDEX(DOCUMENTOS!$E:$E,MATCH($B163,DOCUMENTOS!$A:$A,0)),"")</f>
        <v>Empenho 2026NE000070 - Reforço</v>
      </c>
      <c r="E163" s="11" t="str">
        <f t="array" ref="E163">IFERROR(INDEX('BANCO DE PERGUNTAS'!$D:$D,MATCH($C163,'BANCO DE PERGUNTAS'!$A:$A,0)),"")</f>
        <v>Quais informações deveriam ser verificadas antes de uma decisão administrativa?</v>
      </c>
      <c r="F163" s="54" t="s">
        <v>1900</v>
      </c>
      <c r="G163" s="61"/>
      <c r="H163" s="61"/>
      <c r="I163" s="61"/>
      <c r="J163" s="55" t="s">
        <v>1901</v>
      </c>
      <c r="K163" s="55" t="s">
        <v>1541</v>
      </c>
      <c r="L163" s="55" t="s">
        <v>1902</v>
      </c>
      <c r="M163" s="61"/>
      <c r="N163" s="56" t="s">
        <v>1903</v>
      </c>
      <c r="O163" s="56" t="s">
        <v>378</v>
      </c>
      <c r="P163" s="56" t="s">
        <v>379</v>
      </c>
      <c r="Q163" s="57"/>
      <c r="R163" s="56" t="s">
        <v>380</v>
      </c>
    </row>
    <row r="164" ht="15.75" customHeight="1">
      <c r="A164" s="14" t="s">
        <v>1904</v>
      </c>
      <c r="B164" s="14">
        <v>5.0</v>
      </c>
      <c r="C164" s="14" t="s">
        <v>288</v>
      </c>
      <c r="D164" s="14" t="str">
        <f t="array" ref="D164">IFERROR(INDEX(DOCUMENTOS!$E:$E,MATCH($B164,DOCUMENTOS!$A:$A,0)),"")</f>
        <v>Empenho 2026NE000070 - Reforço</v>
      </c>
      <c r="E164" s="14" t="str">
        <f t="array" ref="E164">IFERROR(INDEX('BANCO DE PERGUNTAS'!$D:$D,MATCH($C164,'BANCO DE PERGUNTAS'!$A:$A,0)),"")</f>
        <v>Identifique situações que possam representar risco administrativo.</v>
      </c>
      <c r="F164" s="54" t="s">
        <v>1905</v>
      </c>
      <c r="G164" s="61"/>
      <c r="H164" s="61"/>
      <c r="I164" s="61"/>
      <c r="J164" s="55" t="s">
        <v>1906</v>
      </c>
      <c r="K164" s="55" t="s">
        <v>1770</v>
      </c>
      <c r="L164" s="55" t="s">
        <v>590</v>
      </c>
      <c r="M164" s="61"/>
      <c r="N164" s="56" t="s">
        <v>1191</v>
      </c>
      <c r="O164" s="56" t="s">
        <v>378</v>
      </c>
      <c r="P164" s="56" t="s">
        <v>379</v>
      </c>
      <c r="Q164" s="57"/>
      <c r="R164" s="56" t="s">
        <v>380</v>
      </c>
    </row>
    <row r="165" ht="15.75" customHeight="1">
      <c r="A165" s="11" t="s">
        <v>1907</v>
      </c>
      <c r="B165" s="11">
        <v>5.0</v>
      </c>
      <c r="C165" s="11" t="s">
        <v>294</v>
      </c>
      <c r="D165" s="11" t="str">
        <f t="array" ref="D165">IFERROR(INDEX(DOCUMENTOS!$E:$E,MATCH($B165,DOCUMENTOS!$A:$A,0)),"")</f>
        <v>Empenho 2026NE000070 - Reforço</v>
      </c>
      <c r="E165" s="11" t="str">
        <f t="array" ref="E165">IFERROR(INDEX('BANCO DE PERGUNTAS'!$D:$D,MATCH($C165,'BANCO DE PERGUNTAS'!$A:$A,0)),"")</f>
        <v>Resuma o documento em até cinco pontos objetivos.</v>
      </c>
      <c r="F165" s="54" t="s">
        <v>1908</v>
      </c>
      <c r="G165" s="55" t="s">
        <v>1909</v>
      </c>
      <c r="H165" s="61"/>
      <c r="I165" s="61"/>
      <c r="J165" s="55" t="s">
        <v>1793</v>
      </c>
      <c r="K165" s="55" t="s">
        <v>1770</v>
      </c>
      <c r="L165" s="55" t="s">
        <v>539</v>
      </c>
      <c r="M165" s="61"/>
      <c r="N165" s="56" t="s">
        <v>709</v>
      </c>
      <c r="O165" s="56" t="s">
        <v>378</v>
      </c>
      <c r="P165" s="56" t="s">
        <v>379</v>
      </c>
      <c r="Q165" s="57"/>
      <c r="R165" s="56" t="s">
        <v>380</v>
      </c>
    </row>
    <row r="166" ht="15.75" customHeight="1">
      <c r="A166" s="14" t="s">
        <v>1911</v>
      </c>
      <c r="B166" s="14">
        <v>5.0</v>
      </c>
      <c r="C166" s="14" t="s">
        <v>302</v>
      </c>
      <c r="D166" s="14" t="str">
        <f t="array" ref="D166">IFERROR(INDEX(DOCUMENTOS!$E:$E,MATCH($B166,DOCUMENTOS!$A:$A,0)),"")</f>
        <v>Empenho 2026NE000070 - Reforço</v>
      </c>
      <c r="E166" s="14" t="str">
        <f t="array" ref="E166">IFERROR(INDEX('BANCO DE PERGUNTAS'!$D:$D,MATCH($C166,'BANCO DE PERGUNTAS'!$A:$A,0)),"")</f>
        <v>Qual é a principal finalidade do documento?</v>
      </c>
      <c r="F166" s="54" t="s">
        <v>1915</v>
      </c>
      <c r="G166" s="61"/>
      <c r="H166" s="61"/>
      <c r="I166" s="61"/>
      <c r="J166" s="55" t="s">
        <v>1463</v>
      </c>
      <c r="K166" s="55" t="s">
        <v>374</v>
      </c>
      <c r="L166" s="55" t="s">
        <v>1464</v>
      </c>
      <c r="M166" s="61"/>
      <c r="N166" s="56" t="s">
        <v>714</v>
      </c>
      <c r="O166" s="56" t="s">
        <v>378</v>
      </c>
      <c r="P166" s="56" t="s">
        <v>379</v>
      </c>
      <c r="Q166" s="57"/>
      <c r="R166" s="56" t="s">
        <v>380</v>
      </c>
    </row>
    <row r="167" ht="15.75" customHeight="1">
      <c r="A167" s="11" t="s">
        <v>1916</v>
      </c>
      <c r="B167" s="11">
        <v>5.0</v>
      </c>
      <c r="C167" s="11" t="s">
        <v>307</v>
      </c>
      <c r="D167" s="11" t="str">
        <f t="array" ref="D167">IFERROR(INDEX(DOCUMENTOS!$E:$E,MATCH($B167,DOCUMENTOS!$A:$A,0)),"")</f>
        <v>Empenho 2026NE000070 - Reforço</v>
      </c>
      <c r="E167" s="11" t="str">
        <f t="array" ref="E167">IFERROR(INDEX('BANCO DE PERGUNTAS'!$D:$D,MATCH($C167,'BANCO DE PERGUNTAS'!$A:$A,0)),"")</f>
        <v>Quais são as três informações mais importantes para um servidor responsável pela análise?</v>
      </c>
      <c r="F167" s="54" t="s">
        <v>1919</v>
      </c>
      <c r="G167" s="61"/>
      <c r="H167" s="61"/>
      <c r="I167" s="61"/>
      <c r="J167" s="55" t="s">
        <v>1920</v>
      </c>
      <c r="K167" s="55" t="s">
        <v>1806</v>
      </c>
      <c r="L167" s="55" t="s">
        <v>1921</v>
      </c>
      <c r="M167" s="61"/>
      <c r="N167" s="56" t="s">
        <v>723</v>
      </c>
      <c r="O167" s="56" t="s">
        <v>378</v>
      </c>
      <c r="P167" s="56" t="s">
        <v>379</v>
      </c>
      <c r="Q167" s="57"/>
      <c r="R167" s="56" t="s">
        <v>380</v>
      </c>
    </row>
    <row r="168" ht="15.75" customHeight="1">
      <c r="A168" s="14" t="s">
        <v>1922</v>
      </c>
      <c r="B168" s="14">
        <v>6.0</v>
      </c>
      <c r="C168" s="14" t="s">
        <v>33</v>
      </c>
      <c r="D168" s="14" t="str">
        <f t="array" ref="D168">IFERROR(INDEX(DOCUMENTOS!$E:$E,MATCH($B168,DOCUMENTOS!$A:$A,0)),"")</f>
        <v>Ordem Bancária 2026OB000456</v>
      </c>
      <c r="E168" s="14" t="str">
        <f t="array" ref="E168">IFERROR(INDEX('BANCO DE PERGUNTAS'!$D:$D,MATCH($C168,'BANCO DE PERGUNTAS'!$A:$A,0)),"")</f>
        <v>Qual é o objeto principal deste documento?</v>
      </c>
      <c r="F168" s="54" t="s">
        <v>1923</v>
      </c>
      <c r="G168" s="55" t="s">
        <v>1924</v>
      </c>
      <c r="H168" s="55" t="s">
        <v>1925</v>
      </c>
      <c r="I168" s="55" t="s">
        <v>1926</v>
      </c>
      <c r="J168" s="55" t="s">
        <v>1463</v>
      </c>
      <c r="K168" s="55" t="s">
        <v>374</v>
      </c>
      <c r="L168" s="55" t="s">
        <v>1464</v>
      </c>
      <c r="M168" s="55" t="s">
        <v>1927</v>
      </c>
      <c r="N168" s="56" t="s">
        <v>1466</v>
      </c>
      <c r="O168" s="56" t="s">
        <v>378</v>
      </c>
      <c r="P168" s="56" t="s">
        <v>379</v>
      </c>
      <c r="Q168" s="57"/>
      <c r="R168" s="56" t="s">
        <v>380</v>
      </c>
    </row>
    <row r="169" ht="15.75" customHeight="1">
      <c r="A169" s="11" t="s">
        <v>1928</v>
      </c>
      <c r="B169" s="11">
        <v>6.0</v>
      </c>
      <c r="C169" s="11" t="s">
        <v>68</v>
      </c>
      <c r="D169" s="11" t="str">
        <f t="array" ref="D169">IFERROR(INDEX(DOCUMENTOS!$E:$E,MATCH($B169,DOCUMENTOS!$A:$A,0)),"")</f>
        <v>Ordem Bancária 2026OB000456</v>
      </c>
      <c r="E169" s="11" t="str">
        <f t="array" ref="E169">IFERROR(INDEX('BANCO DE PERGUNTAS'!$D:$D,MATCH($C169,'BANCO DE PERGUNTAS'!$A:$A,0)),"")</f>
        <v>Qual é o número ou identificação do documento?</v>
      </c>
      <c r="F169" s="54" t="s">
        <v>1929</v>
      </c>
      <c r="G169" s="55" t="s">
        <v>1930</v>
      </c>
      <c r="H169" s="55" t="s">
        <v>1931</v>
      </c>
      <c r="I169" s="55" t="s">
        <v>1932</v>
      </c>
      <c r="J169" s="55" t="s">
        <v>1933</v>
      </c>
      <c r="K169" s="55" t="s">
        <v>374</v>
      </c>
      <c r="L169" s="55" t="s">
        <v>1934</v>
      </c>
      <c r="M169" s="55" t="s">
        <v>1935</v>
      </c>
      <c r="N169" s="56" t="s">
        <v>1475</v>
      </c>
      <c r="O169" s="56" t="s">
        <v>378</v>
      </c>
      <c r="P169" s="56" t="s">
        <v>379</v>
      </c>
      <c r="Q169" s="57"/>
      <c r="R169" s="56" t="s">
        <v>380</v>
      </c>
    </row>
    <row r="170" ht="15.75" customHeight="1">
      <c r="A170" s="14" t="s">
        <v>1936</v>
      </c>
      <c r="B170" s="14">
        <v>6.0</v>
      </c>
      <c r="C170" s="14" t="s">
        <v>90</v>
      </c>
      <c r="D170" s="14" t="str">
        <f t="array" ref="D170">IFERROR(INDEX(DOCUMENTOS!$E:$E,MATCH($B170,DOCUMENTOS!$A:$A,0)),"")</f>
        <v>Ordem Bancária 2026OB000456</v>
      </c>
      <c r="E170" s="14" t="str">
        <f t="array" ref="E170">IFERROR(INDEX('BANCO DE PERGUNTAS'!$D:$D,MATCH($C170,'BANCO DE PERGUNTAS'!$A:$A,0)),"")</f>
        <v>Qual é o número do processo relacionado?</v>
      </c>
      <c r="F170" s="54" t="s">
        <v>1939</v>
      </c>
      <c r="G170" s="55" t="s">
        <v>1733</v>
      </c>
      <c r="H170" s="61"/>
      <c r="I170" s="61"/>
      <c r="J170" s="55" t="s">
        <v>1940</v>
      </c>
      <c r="K170" s="55" t="s">
        <v>1941</v>
      </c>
      <c r="L170" s="55" t="s">
        <v>1232</v>
      </c>
      <c r="M170" s="61"/>
      <c r="N170" s="56" t="s">
        <v>1942</v>
      </c>
      <c r="O170" s="56" t="s">
        <v>378</v>
      </c>
      <c r="P170" s="56" t="s">
        <v>379</v>
      </c>
      <c r="Q170" s="57"/>
      <c r="R170" s="56" t="s">
        <v>380</v>
      </c>
    </row>
    <row r="171" ht="15.75" customHeight="1">
      <c r="A171" s="11" t="s">
        <v>1944</v>
      </c>
      <c r="B171" s="11">
        <v>6.0</v>
      </c>
      <c r="C171" s="11" t="s">
        <v>103</v>
      </c>
      <c r="D171" s="11" t="str">
        <f t="array" ref="D171">IFERROR(INDEX(DOCUMENTOS!$E:$E,MATCH($B171,DOCUMENTOS!$A:$A,0)),"")</f>
        <v>Ordem Bancária 2026OB000456</v>
      </c>
      <c r="E171" s="11" t="str">
        <f t="array" ref="E171">IFERROR(INDEX('BANCO DE PERGUNTAS'!$D:$D,MATCH($C171,'BANCO DE PERGUNTAS'!$A:$A,0)),"")</f>
        <v>Qual é a data do documento?</v>
      </c>
      <c r="F171" s="54" t="s">
        <v>1947</v>
      </c>
      <c r="G171" s="55" t="s">
        <v>1948</v>
      </c>
      <c r="H171" s="61"/>
      <c r="I171" s="55" t="s">
        <v>1949</v>
      </c>
      <c r="J171" s="55" t="s">
        <v>1950</v>
      </c>
      <c r="K171" s="55" t="s">
        <v>1951</v>
      </c>
      <c r="L171" s="55" t="s">
        <v>1741</v>
      </c>
      <c r="M171" s="61"/>
      <c r="N171" s="56" t="s">
        <v>1952</v>
      </c>
      <c r="O171" s="56" t="s">
        <v>378</v>
      </c>
      <c r="P171" s="56" t="s">
        <v>379</v>
      </c>
      <c r="Q171" s="57"/>
      <c r="R171" s="56" t="s">
        <v>380</v>
      </c>
    </row>
    <row r="172" ht="15.75" customHeight="1">
      <c r="A172" s="14" t="s">
        <v>1953</v>
      </c>
      <c r="B172" s="14">
        <v>6.0</v>
      </c>
      <c r="C172" s="14" t="s">
        <v>117</v>
      </c>
      <c r="D172" s="14" t="str">
        <f t="array" ref="D172">IFERROR(INDEX(DOCUMENTOS!$E:$E,MATCH($B172,DOCUMENTOS!$A:$A,0)),"")</f>
        <v>Ordem Bancária 2026OB000456</v>
      </c>
      <c r="E172" s="14" t="str">
        <f t="array" ref="E172">IFERROR(INDEX('BANCO DE PERGUNTAS'!$D:$D,MATCH($C172,'BANCO DE PERGUNTAS'!$A:$A,0)),"")</f>
        <v>Qual setor ou unidade está relacionado ao documento?</v>
      </c>
      <c r="F172" s="54" t="s">
        <v>1955</v>
      </c>
      <c r="G172" s="55" t="s">
        <v>1748</v>
      </c>
      <c r="H172" s="61"/>
      <c r="I172" s="61"/>
      <c r="J172" s="55" t="s">
        <v>742</v>
      </c>
      <c r="K172" s="55" t="s">
        <v>374</v>
      </c>
      <c r="L172" s="55" t="s">
        <v>743</v>
      </c>
      <c r="M172" s="61"/>
      <c r="N172" s="56" t="s">
        <v>745</v>
      </c>
      <c r="O172" s="56" t="s">
        <v>378</v>
      </c>
      <c r="P172" s="56" t="s">
        <v>379</v>
      </c>
      <c r="Q172" s="57"/>
      <c r="R172" s="56" t="s">
        <v>380</v>
      </c>
    </row>
    <row r="173" ht="15.75" customHeight="1">
      <c r="A173" s="11" t="s">
        <v>1956</v>
      </c>
      <c r="B173" s="11">
        <v>6.0</v>
      </c>
      <c r="C173" s="11" t="s">
        <v>131</v>
      </c>
      <c r="D173" s="11" t="str">
        <f t="array" ref="D173">IFERROR(INDEX(DOCUMENTOS!$E:$E,MATCH($B173,DOCUMENTOS!$A:$A,0)),"")</f>
        <v>Ordem Bancária 2026OB000456</v>
      </c>
      <c r="E173" s="11" t="str">
        <f t="array" ref="E173">IFERROR(INDEX('BANCO DE PERGUNTAS'!$D:$D,MATCH($C173,'BANCO DE PERGUNTAS'!$A:$A,0)),"")</f>
        <v>Quais são as partes ou instituições mencionadas?</v>
      </c>
      <c r="F173" s="54" t="s">
        <v>1957</v>
      </c>
      <c r="G173" s="55" t="s">
        <v>1958</v>
      </c>
      <c r="H173" s="61"/>
      <c r="I173" s="61"/>
      <c r="J173" s="55" t="s">
        <v>1451</v>
      </c>
      <c r="K173" s="55" t="s">
        <v>374</v>
      </c>
      <c r="L173" s="55" t="s">
        <v>1452</v>
      </c>
      <c r="M173" s="61"/>
      <c r="N173" s="56" t="s">
        <v>1754</v>
      </c>
      <c r="O173" s="56" t="s">
        <v>378</v>
      </c>
      <c r="P173" s="56" t="s">
        <v>379</v>
      </c>
      <c r="Q173" s="57"/>
      <c r="R173" s="56" t="s">
        <v>380</v>
      </c>
    </row>
    <row r="174" ht="15.75" customHeight="1">
      <c r="A174" s="14" t="s">
        <v>1959</v>
      </c>
      <c r="B174" s="14">
        <v>6.0</v>
      </c>
      <c r="C174" s="14" t="s">
        <v>144</v>
      </c>
      <c r="D174" s="14" t="str">
        <f t="array" ref="D174">IFERROR(INDEX(DOCUMENTOS!$E:$E,MATCH($B174,DOCUMENTOS!$A:$A,0)),"")</f>
        <v>Ordem Bancária 2026OB000456</v>
      </c>
      <c r="E174" s="14" t="str">
        <f t="array" ref="E174">IFERROR(INDEX('BANCO DE PERGUNTAS'!$D:$D,MATCH($C174,'BANCO DE PERGUNTAS'!$A:$A,0)),"")</f>
        <v>Qual informação específica está apresentada na seção 08?</v>
      </c>
      <c r="F174" s="54" t="s">
        <v>1962</v>
      </c>
      <c r="G174" s="55" t="s">
        <v>982</v>
      </c>
      <c r="H174" s="55" t="s">
        <v>983</v>
      </c>
      <c r="I174" s="55" t="s">
        <v>984</v>
      </c>
      <c r="J174" s="55" t="s">
        <v>539</v>
      </c>
      <c r="K174" s="61"/>
      <c r="L174" s="55" t="s">
        <v>539</v>
      </c>
      <c r="M174" s="61"/>
      <c r="N174" s="56" t="s">
        <v>986</v>
      </c>
      <c r="O174" s="56" t="s">
        <v>378</v>
      </c>
      <c r="P174" s="56" t="s">
        <v>379</v>
      </c>
      <c r="Q174" s="57"/>
      <c r="R174" s="56" t="s">
        <v>380</v>
      </c>
    </row>
    <row r="175" ht="15.75" customHeight="1">
      <c r="A175" s="11" t="s">
        <v>1964</v>
      </c>
      <c r="B175" s="11">
        <v>6.0</v>
      </c>
      <c r="C175" s="11" t="s">
        <v>156</v>
      </c>
      <c r="D175" s="11" t="str">
        <f t="array" ref="D175">IFERROR(INDEX(DOCUMENTOS!$E:$E,MATCH($B175,DOCUMENTOS!$A:$A,0)),"")</f>
        <v>Ordem Bancária 2026OB000456</v>
      </c>
      <c r="E175" s="11" t="str">
        <f t="array" ref="E175">IFERROR(INDEX('BANCO DE PERGUNTAS'!$D:$D,MATCH($C175,'BANCO DE PERGUNTAS'!$A:$A,0)),"")</f>
        <v>Em qual seção do documento está localizada a informação solicitada?</v>
      </c>
      <c r="F175" s="54" t="s">
        <v>1968</v>
      </c>
      <c r="G175" s="55" t="s">
        <v>1766</v>
      </c>
      <c r="H175" s="55" t="s">
        <v>451</v>
      </c>
      <c r="I175" s="55" t="s">
        <v>1768</v>
      </c>
      <c r="J175" s="55" t="s">
        <v>1969</v>
      </c>
      <c r="K175" s="55" t="s">
        <v>1564</v>
      </c>
      <c r="L175" s="55" t="s">
        <v>456</v>
      </c>
      <c r="M175" s="61"/>
      <c r="N175" s="56" t="s">
        <v>457</v>
      </c>
      <c r="O175" s="56" t="s">
        <v>378</v>
      </c>
      <c r="P175" s="56" t="s">
        <v>379</v>
      </c>
      <c r="Q175" s="57"/>
      <c r="R175" s="56" t="s">
        <v>380</v>
      </c>
    </row>
    <row r="176" ht="15.75" customHeight="1">
      <c r="A176" s="14" t="s">
        <v>1970</v>
      </c>
      <c r="B176" s="14">
        <v>6.0</v>
      </c>
      <c r="C176" s="14" t="s">
        <v>162</v>
      </c>
      <c r="D176" s="14" t="str">
        <f t="array" ref="D176">IFERROR(INDEX(DOCUMENTOS!$E:$E,MATCH($B176,DOCUMENTOS!$A:$A,0)),"")</f>
        <v>Ordem Bancária 2026OB000456</v>
      </c>
      <c r="E176" s="14" t="str">
        <f t="array" ref="E176">IFERROR(INDEX('BANCO DE PERGUNTAS'!$D:$D,MATCH($C176,'BANCO DE PERGUNTAS'!$A:$A,0)),"")</f>
        <v>Qual é o valor indicado para o Valor Total Anual do Objeto licitado?</v>
      </c>
      <c r="F176" s="54" t="s">
        <v>1971</v>
      </c>
      <c r="G176" s="55" t="s">
        <v>1972</v>
      </c>
      <c r="H176" s="61"/>
      <c r="I176" s="55" t="s">
        <v>1973</v>
      </c>
      <c r="J176" s="55" t="s">
        <v>1974</v>
      </c>
      <c r="K176" s="55" t="s">
        <v>734</v>
      </c>
      <c r="L176" s="55" t="s">
        <v>1975</v>
      </c>
      <c r="M176" s="61"/>
      <c r="N176" s="56" t="s">
        <v>1976</v>
      </c>
      <c r="O176" s="56" t="s">
        <v>378</v>
      </c>
      <c r="P176" s="56" t="s">
        <v>379</v>
      </c>
      <c r="Q176" s="57"/>
      <c r="R176" s="56" t="s">
        <v>380</v>
      </c>
    </row>
    <row r="177" ht="15.75" customHeight="1">
      <c r="A177" s="11" t="s">
        <v>1977</v>
      </c>
      <c r="B177" s="11">
        <v>6.0</v>
      </c>
      <c r="C177" s="11" t="s">
        <v>168</v>
      </c>
      <c r="D177" s="11" t="str">
        <f t="array" ref="D177">IFERROR(INDEX(DOCUMENTOS!$E:$E,MATCH($B177,DOCUMENTOS!$A:$A,0)),"")</f>
        <v>Ordem Bancária 2026OB000456</v>
      </c>
      <c r="E177" s="11" t="str">
        <f t="array" ref="E177">IFERROR(INDEX('BANCO DE PERGUNTAS'!$D:$D,MATCH($C177,'BANCO DE PERGUNTAS'!$A:$A,0)),"")</f>
        <v>Qual é a data indicada para de assinatura de todos os membros da comissão da contratação?</v>
      </c>
      <c r="F177" s="54" t="s">
        <v>1980</v>
      </c>
      <c r="G177" s="55" t="s">
        <v>982</v>
      </c>
      <c r="H177" s="55" t="s">
        <v>983</v>
      </c>
      <c r="I177" s="55" t="s">
        <v>984</v>
      </c>
      <c r="J177" s="55" t="s">
        <v>539</v>
      </c>
      <c r="K177" s="61"/>
      <c r="L177" s="55" t="s">
        <v>539</v>
      </c>
      <c r="M177" s="61"/>
      <c r="N177" s="56" t="s">
        <v>986</v>
      </c>
      <c r="O177" s="56" t="s">
        <v>378</v>
      </c>
      <c r="P177" s="56" t="s">
        <v>379</v>
      </c>
      <c r="Q177" s="57"/>
      <c r="R177" s="56" t="s">
        <v>380</v>
      </c>
    </row>
    <row r="178" ht="15.75" customHeight="1">
      <c r="A178" s="14" t="s">
        <v>1981</v>
      </c>
      <c r="B178" s="14">
        <v>6.0</v>
      </c>
      <c r="C178" s="14" t="s">
        <v>172</v>
      </c>
      <c r="D178" s="14" t="str">
        <f t="array" ref="D178">IFERROR(INDEX(DOCUMENTOS!$E:$E,MATCH($B178,DOCUMENTOS!$A:$A,0)),"")</f>
        <v>Ordem Bancária 2026OB000456</v>
      </c>
      <c r="E178" s="14" t="str">
        <f t="array" ref="E178">IFERROR(INDEX('BANCO DE PERGUNTAS'!$D:$D,MATCH($C178,'BANCO DE PERGUNTAS'!$A:$A,0)),"")</f>
        <v>Extraia os principais dados do documento em formato estruturado.</v>
      </c>
      <c r="F178" s="54" t="s">
        <v>1985</v>
      </c>
      <c r="G178" s="55" t="s">
        <v>1986</v>
      </c>
      <c r="H178" s="61"/>
      <c r="I178" s="61"/>
      <c r="J178" s="55" t="s">
        <v>1987</v>
      </c>
      <c r="K178" s="55" t="s">
        <v>1564</v>
      </c>
      <c r="L178" s="55" t="s">
        <v>539</v>
      </c>
      <c r="M178" s="61"/>
      <c r="N178" s="56" t="s">
        <v>498</v>
      </c>
      <c r="O178" s="56" t="s">
        <v>378</v>
      </c>
      <c r="P178" s="56" t="s">
        <v>379</v>
      </c>
      <c r="Q178" s="57"/>
      <c r="R178" s="56" t="s">
        <v>380</v>
      </c>
    </row>
    <row r="179" ht="15.75" customHeight="1">
      <c r="A179" s="11" t="s">
        <v>1988</v>
      </c>
      <c r="B179" s="11">
        <v>6.0</v>
      </c>
      <c r="C179" s="11" t="s">
        <v>179</v>
      </c>
      <c r="D179" s="11" t="str">
        <f t="array" ref="D179">IFERROR(INDEX(DOCUMENTOS!$E:$E,MATCH($B179,DOCUMENTOS!$A:$A,0)),"")</f>
        <v>Ordem Bancária 2026OB000456</v>
      </c>
      <c r="E179" s="11" t="str">
        <f t="array" ref="E179">IFERROR(INDEX('BANCO DE PERGUNTAS'!$D:$D,MATCH($C179,'BANCO DE PERGUNTAS'!$A:$A,0)),"")</f>
        <v>Liste os valores financeiros presentes no documento.</v>
      </c>
      <c r="F179" s="54" t="s">
        <v>1990</v>
      </c>
      <c r="G179" s="55" t="s">
        <v>1991</v>
      </c>
      <c r="H179" s="55" t="s">
        <v>1797</v>
      </c>
      <c r="I179" s="61"/>
      <c r="J179" s="55" t="s">
        <v>1992</v>
      </c>
      <c r="K179" s="55" t="s">
        <v>734</v>
      </c>
      <c r="L179" s="55" t="s">
        <v>1993</v>
      </c>
      <c r="M179" s="61"/>
      <c r="N179" s="56" t="s">
        <v>507</v>
      </c>
      <c r="O179" s="56" t="s">
        <v>378</v>
      </c>
      <c r="P179" s="56" t="s">
        <v>379</v>
      </c>
      <c r="Q179" s="57"/>
      <c r="R179" s="56" t="s">
        <v>380</v>
      </c>
    </row>
    <row r="180" ht="15.75" customHeight="1">
      <c r="A180" s="14" t="s">
        <v>1994</v>
      </c>
      <c r="B180" s="14">
        <v>6.0</v>
      </c>
      <c r="C180" s="14" t="s">
        <v>186</v>
      </c>
      <c r="D180" s="14" t="str">
        <f t="array" ref="D180">IFERROR(INDEX(DOCUMENTOS!$E:$E,MATCH($B180,DOCUMENTOS!$A:$A,0)),"")</f>
        <v>Ordem Bancária 2026OB000456</v>
      </c>
      <c r="E180" s="14" t="str">
        <f t="array" ref="E180">IFERROR(INDEX('BANCO DE PERGUNTAS'!$D:$D,MATCH($C180,'BANCO DE PERGUNTAS'!$A:$A,0)),"")</f>
        <v>Liste as obrigações ou responsabilidades estabelecidas.</v>
      </c>
      <c r="F180" s="54" t="s">
        <v>1995</v>
      </c>
      <c r="G180" s="55" t="s">
        <v>1996</v>
      </c>
      <c r="H180" s="61"/>
      <c r="I180" s="61"/>
      <c r="J180" s="55" t="s">
        <v>1997</v>
      </c>
      <c r="K180" s="55" t="s">
        <v>1541</v>
      </c>
      <c r="L180" s="55" t="s">
        <v>1998</v>
      </c>
      <c r="M180" s="61"/>
      <c r="N180" s="56" t="s">
        <v>520</v>
      </c>
      <c r="O180" s="56" t="s">
        <v>378</v>
      </c>
      <c r="P180" s="56" t="s">
        <v>379</v>
      </c>
      <c r="Q180" s="57"/>
      <c r="R180" s="56" t="s">
        <v>380</v>
      </c>
    </row>
    <row r="181" ht="15.75" customHeight="1">
      <c r="A181" s="11" t="s">
        <v>1999</v>
      </c>
      <c r="B181" s="11">
        <v>6.0</v>
      </c>
      <c r="C181" s="11" t="s">
        <v>190</v>
      </c>
      <c r="D181" s="11" t="str">
        <f t="array" ref="D181">IFERROR(INDEX(DOCUMENTOS!$E:$E,MATCH($B181,DOCUMENTOS!$A:$A,0)),"")</f>
        <v>Ordem Bancária 2026OB000456</v>
      </c>
      <c r="E181" s="11" t="str">
        <f t="array" ref="E181">IFERROR(INDEX('BANCO DE PERGUNTAS'!$D:$D,MATCH($C181,'BANCO DE PERGUNTAS'!$A:$A,0)),"")</f>
        <v>Explique o significado da cláusula/seção 4.1.4..</v>
      </c>
      <c r="F181" s="54" t="s">
        <v>2000</v>
      </c>
      <c r="G181" s="55" t="s">
        <v>982</v>
      </c>
      <c r="H181" s="55" t="s">
        <v>983</v>
      </c>
      <c r="I181" s="55" t="s">
        <v>984</v>
      </c>
      <c r="J181" s="55" t="s">
        <v>539</v>
      </c>
      <c r="K181" s="61"/>
      <c r="L181" s="55" t="s">
        <v>539</v>
      </c>
      <c r="M181" s="61"/>
      <c r="N181" s="56" t="s">
        <v>986</v>
      </c>
      <c r="O181" s="56" t="s">
        <v>378</v>
      </c>
      <c r="P181" s="56" t="s">
        <v>379</v>
      </c>
      <c r="Q181" s="57"/>
      <c r="R181" s="56" t="s">
        <v>380</v>
      </c>
    </row>
    <row r="182" ht="15.75" customHeight="1">
      <c r="A182" s="14" t="s">
        <v>2001</v>
      </c>
      <c r="B182" s="14">
        <v>6.0</v>
      </c>
      <c r="C182" s="14" t="s">
        <v>199</v>
      </c>
      <c r="D182" s="14" t="str">
        <f t="array" ref="D182">IFERROR(INDEX(DOCUMENTOS!$E:$E,MATCH($B182,DOCUMENTOS!$A:$A,0)),"")</f>
        <v>Ordem Bancária 2026OB000456</v>
      </c>
      <c r="E182" s="14" t="str">
        <f t="array" ref="E182">IFERROR(INDEX('BANCO DE PERGUNTAS'!$D:$D,MATCH($C182,'BANCO DE PERGUNTAS'!$A:$A,0)),"")</f>
        <v>Qual é a finalidade administrativa deste documento?</v>
      </c>
      <c r="F182" s="54" t="s">
        <v>2002</v>
      </c>
      <c r="G182" s="55" t="s">
        <v>2003</v>
      </c>
      <c r="H182" s="61"/>
      <c r="I182" s="61"/>
      <c r="J182" s="55" t="s">
        <v>2004</v>
      </c>
      <c r="K182" s="55" t="s">
        <v>374</v>
      </c>
      <c r="L182" s="55" t="s">
        <v>2005</v>
      </c>
      <c r="M182" s="61"/>
      <c r="N182" s="56" t="s">
        <v>1819</v>
      </c>
      <c r="O182" s="56" t="s">
        <v>378</v>
      </c>
      <c r="P182" s="56" t="s">
        <v>379</v>
      </c>
      <c r="Q182" s="57"/>
      <c r="R182" s="56" t="s">
        <v>380</v>
      </c>
    </row>
    <row r="183" ht="15.75" customHeight="1">
      <c r="A183" s="11" t="s">
        <v>2006</v>
      </c>
      <c r="B183" s="11">
        <v>6.0</v>
      </c>
      <c r="C183" s="11" t="s">
        <v>203</v>
      </c>
      <c r="D183" s="11" t="str">
        <f t="array" ref="D183">IFERROR(INDEX(DOCUMENTOS!$E:$E,MATCH($B183,DOCUMENTOS!$A:$A,0)),"")</f>
        <v>Ordem Bancária 2026OB000456</v>
      </c>
      <c r="E183" s="11" t="str">
        <f t="array" ref="E183">IFERROR(INDEX('BANCO DE PERGUNTAS'!$D:$D,MATCH($C183,'BANCO DE PERGUNTAS'!$A:$A,0)),"")</f>
        <v>Qual consequência decorre da informação estabelecida em 4.11?</v>
      </c>
      <c r="F183" s="54" t="s">
        <v>2010</v>
      </c>
      <c r="G183" s="55" t="s">
        <v>982</v>
      </c>
      <c r="H183" s="55" t="s">
        <v>983</v>
      </c>
      <c r="I183" s="55" t="s">
        <v>984</v>
      </c>
      <c r="J183" s="55" t="s">
        <v>539</v>
      </c>
      <c r="K183" s="61"/>
      <c r="L183" s="55" t="s">
        <v>539</v>
      </c>
      <c r="M183" s="61"/>
      <c r="N183" s="56" t="s">
        <v>986</v>
      </c>
      <c r="O183" s="56" t="s">
        <v>378</v>
      </c>
      <c r="P183" s="56" t="s">
        <v>379</v>
      </c>
      <c r="Q183" s="57"/>
      <c r="R183" s="56" t="s">
        <v>380</v>
      </c>
    </row>
    <row r="184" ht="15.75" customHeight="1">
      <c r="A184" s="14" t="s">
        <v>2011</v>
      </c>
      <c r="B184" s="14">
        <v>6.0</v>
      </c>
      <c r="C184" s="14" t="s">
        <v>208</v>
      </c>
      <c r="D184" s="14" t="str">
        <f t="array" ref="D184">IFERROR(INDEX(DOCUMENTOS!$E:$E,MATCH($B184,DOCUMENTOS!$A:$A,0)),"")</f>
        <v>Ordem Bancária 2026OB000456</v>
      </c>
      <c r="E184" s="14" t="str">
        <f t="array" ref="E184">IFERROR(INDEX('BANCO DE PERGUNTAS'!$D:$D,MATCH($C184,'BANCO DE PERGUNTAS'!$A:$A,0)),"")</f>
        <v>Existem informações aparentemente inconsistentes dentro do documento?</v>
      </c>
      <c r="F184" s="54" t="s">
        <v>2015</v>
      </c>
      <c r="G184" s="55" t="s">
        <v>554</v>
      </c>
      <c r="H184" s="55" t="s">
        <v>1824</v>
      </c>
      <c r="I184" s="61"/>
      <c r="J184" s="55" t="s">
        <v>2016</v>
      </c>
      <c r="K184" s="55" t="s">
        <v>1564</v>
      </c>
      <c r="L184" s="55" t="s">
        <v>2017</v>
      </c>
      <c r="M184" s="61"/>
      <c r="N184" s="56" t="s">
        <v>1034</v>
      </c>
      <c r="O184" s="56" t="s">
        <v>378</v>
      </c>
      <c r="P184" s="56" t="s">
        <v>379</v>
      </c>
      <c r="Q184" s="57"/>
      <c r="R184" s="56" t="s">
        <v>380</v>
      </c>
    </row>
    <row r="185" ht="15.75" customHeight="1">
      <c r="A185" s="11" t="s">
        <v>2018</v>
      </c>
      <c r="B185" s="11">
        <v>6.0</v>
      </c>
      <c r="C185" s="11" t="s">
        <v>215</v>
      </c>
      <c r="D185" s="11" t="str">
        <f t="array" ref="D185">IFERROR(INDEX(DOCUMENTOS!$E:$E,MATCH($B185,DOCUMENTOS!$A:$A,0)),"")</f>
        <v>Ordem Bancária 2026OB000456</v>
      </c>
      <c r="E185" s="11" t="str">
        <f t="array" ref="E185">IFERROR(INDEX('BANCO DE PERGUNTAS'!$D:$D,MATCH($C185,'BANCO DE PERGUNTAS'!$A:$A,0)),"")</f>
        <v>Existem valores, datas, números ou informações aparentemente incompatíveis?</v>
      </c>
      <c r="F185" s="54" t="s">
        <v>2019</v>
      </c>
      <c r="G185" s="55" t="s">
        <v>2020</v>
      </c>
      <c r="H185" s="55" t="s">
        <v>2021</v>
      </c>
      <c r="I185" s="61"/>
      <c r="J185" s="55" t="s">
        <v>2022</v>
      </c>
      <c r="K185" s="55" t="s">
        <v>906</v>
      </c>
      <c r="L185" s="55" t="s">
        <v>2023</v>
      </c>
      <c r="M185" s="61"/>
      <c r="N185" s="56" t="s">
        <v>2024</v>
      </c>
      <c r="O185" s="56" t="s">
        <v>378</v>
      </c>
      <c r="P185" s="56" t="s">
        <v>379</v>
      </c>
      <c r="Q185" s="57"/>
      <c r="R185" s="56" t="s">
        <v>380</v>
      </c>
    </row>
    <row r="186" ht="15.75" customHeight="1">
      <c r="A186" s="14" t="s">
        <v>2025</v>
      </c>
      <c r="B186" s="14">
        <v>6.0</v>
      </c>
      <c r="C186" s="14" t="s">
        <v>219</v>
      </c>
      <c r="D186" s="14" t="str">
        <f t="array" ref="D186">IFERROR(INDEX(DOCUMENTOS!$E:$E,MATCH($B186,DOCUMENTOS!$A:$A,0)),"")</f>
        <v>Ordem Bancária 2026OB000456</v>
      </c>
      <c r="E186" s="14" t="str">
        <f t="array" ref="E186">IFERROR(INDEX('BANCO DE PERGUNTAS'!$D:$D,MATCH($C186,'BANCO DE PERGUNTAS'!$A:$A,0)),"")</f>
        <v>Existem informações relevantes ausentes?</v>
      </c>
      <c r="F186" s="54" t="s">
        <v>2027</v>
      </c>
      <c r="G186" s="55" t="s">
        <v>2028</v>
      </c>
      <c r="H186" s="61"/>
      <c r="I186" s="61"/>
      <c r="J186" s="55" t="s">
        <v>1987</v>
      </c>
      <c r="K186" s="55" t="s">
        <v>1564</v>
      </c>
      <c r="L186" s="55" t="s">
        <v>539</v>
      </c>
      <c r="M186" s="61"/>
      <c r="N186" s="56" t="s">
        <v>582</v>
      </c>
      <c r="O186" s="56" t="s">
        <v>378</v>
      </c>
      <c r="P186" s="56" t="s">
        <v>379</v>
      </c>
      <c r="Q186" s="57"/>
      <c r="R186" s="56" t="s">
        <v>380</v>
      </c>
    </row>
    <row r="187" ht="15.75" customHeight="1">
      <c r="A187" s="11" t="s">
        <v>2029</v>
      </c>
      <c r="B187" s="11">
        <v>6.0</v>
      </c>
      <c r="C187" s="11" t="s">
        <v>226</v>
      </c>
      <c r="D187" s="11" t="str">
        <f t="array" ref="D187">IFERROR(INDEX(DOCUMENTOS!$E:$E,MATCH($B187,DOCUMENTOS!$A:$A,0)),"")</f>
        <v>Ordem Bancária 2026OB000456</v>
      </c>
      <c r="E187" s="11" t="str">
        <f t="array" ref="E187">IFERROR(INDEX('BANCO DE PERGUNTAS'!$D:$D,MATCH($C187,'BANCO DE PERGUNTAS'!$A:$A,0)),"")</f>
        <v>Identifique possíveis erros materiais no documento.</v>
      </c>
      <c r="F187" s="54" t="s">
        <v>2033</v>
      </c>
      <c r="G187" s="55" t="s">
        <v>2034</v>
      </c>
      <c r="H187" s="61"/>
      <c r="I187" s="61"/>
      <c r="J187" s="55" t="s">
        <v>2035</v>
      </c>
      <c r="K187" s="55" t="s">
        <v>1541</v>
      </c>
      <c r="L187" s="55" t="s">
        <v>2036</v>
      </c>
      <c r="M187" s="61"/>
      <c r="N187" s="56" t="s">
        <v>591</v>
      </c>
      <c r="O187" s="56" t="s">
        <v>378</v>
      </c>
      <c r="P187" s="56" t="s">
        <v>379</v>
      </c>
      <c r="Q187" s="57"/>
      <c r="R187" s="56" t="s">
        <v>380</v>
      </c>
    </row>
    <row r="188" ht="15.75" customHeight="1">
      <c r="A188" s="14" t="s">
        <v>2037</v>
      </c>
      <c r="B188" s="14">
        <v>6.0</v>
      </c>
      <c r="C188" s="14" t="s">
        <v>232</v>
      </c>
      <c r="D188" s="14" t="str">
        <f t="array" ref="D188">IFERROR(INDEX(DOCUMENTOS!$E:$E,MATCH($B188,DOCUMENTOS!$A:$A,0)),"")</f>
        <v>Ordem Bancária 2026OB000456</v>
      </c>
      <c r="E188" s="14" t="str">
        <f t="array" ref="E188">IFERROR(INDEX('BANCO DE PERGUNTAS'!$D:$D,MATCH($C188,'BANCO DE PERGUNTAS'!$A:$A,0)),"")</f>
        <v>Existem informações que deveriam ser verificadas por um servidor antes da utilização do documento?</v>
      </c>
      <c r="F188" s="54" t="s">
        <v>2040</v>
      </c>
      <c r="G188" s="61"/>
      <c r="H188" s="61"/>
      <c r="I188" s="61"/>
      <c r="J188" s="55" t="s">
        <v>2041</v>
      </c>
      <c r="K188" s="55" t="s">
        <v>734</v>
      </c>
      <c r="L188" s="55" t="s">
        <v>2042</v>
      </c>
      <c r="M188" s="61"/>
      <c r="N188" s="56" t="s">
        <v>1083</v>
      </c>
      <c r="O188" s="56" t="s">
        <v>378</v>
      </c>
      <c r="P188" s="56" t="s">
        <v>379</v>
      </c>
      <c r="Q188" s="57"/>
      <c r="R188" s="56" t="s">
        <v>380</v>
      </c>
    </row>
    <row r="189" ht="15.75" customHeight="1">
      <c r="A189" s="11" t="s">
        <v>2043</v>
      </c>
      <c r="B189" s="11">
        <v>6.0</v>
      </c>
      <c r="C189" s="11" t="s">
        <v>240</v>
      </c>
      <c r="D189" s="11" t="str">
        <f t="array" ref="D189">IFERROR(INDEX(DOCUMENTOS!$E:$E,MATCH($B189,DOCUMENTOS!$A:$A,0)),"")</f>
        <v>Ordem Bancária 2026OB000456</v>
      </c>
      <c r="E189" s="11" t="str">
        <f t="array" ref="E189">IFERROR(INDEX('BANCO DE PERGUNTAS'!$D:$D,MATCH($C189,'BANCO DE PERGUNTAS'!$A:$A,0)),"")</f>
        <v>Existem elementos que indiquem possível desconformidade com os próprios requisitos apresentados no documento?</v>
      </c>
      <c r="F189" s="54" t="s">
        <v>2044</v>
      </c>
      <c r="G189" s="61"/>
      <c r="H189" s="61"/>
      <c r="I189" s="61"/>
      <c r="J189" s="55" t="s">
        <v>2045</v>
      </c>
      <c r="K189" s="55" t="s">
        <v>906</v>
      </c>
      <c r="L189" s="55" t="s">
        <v>2046</v>
      </c>
      <c r="M189" s="61"/>
      <c r="N189" s="56" t="s">
        <v>2047</v>
      </c>
      <c r="O189" s="56" t="s">
        <v>378</v>
      </c>
      <c r="P189" s="56" t="s">
        <v>379</v>
      </c>
      <c r="Q189" s="57"/>
      <c r="R189" s="56" t="s">
        <v>380</v>
      </c>
    </row>
    <row r="190" ht="15.75" customHeight="1">
      <c r="A190" s="14" t="s">
        <v>2048</v>
      </c>
      <c r="B190" s="14">
        <v>6.0</v>
      </c>
      <c r="C190" s="14" t="s">
        <v>247</v>
      </c>
      <c r="D190" s="14" t="str">
        <f t="array" ref="D190">IFERROR(INDEX(DOCUMENTOS!$E:$E,MATCH($B190,DOCUMENTOS!$A:$A,0)),"")</f>
        <v>Ordem Bancária 2026OB000456</v>
      </c>
      <c r="E190" s="14" t="str">
        <f t="array" ref="E190">IFERROR(INDEX('BANCO DE PERGUNTAS'!$D:$D,MATCH($C190,'BANCO DE PERGUNTAS'!$A:$A,0)),"")</f>
        <v>Quais requisitos estão explicitamente presentes?</v>
      </c>
      <c r="F190" s="54" t="s">
        <v>2049</v>
      </c>
      <c r="G190" s="61"/>
      <c r="H190" s="61"/>
      <c r="I190" s="61"/>
      <c r="J190" s="55" t="s">
        <v>2050</v>
      </c>
      <c r="K190" s="55" t="s">
        <v>1564</v>
      </c>
      <c r="L190" s="55" t="s">
        <v>2051</v>
      </c>
      <c r="M190" s="61"/>
      <c r="N190" s="56" t="s">
        <v>638</v>
      </c>
      <c r="O190" s="56" t="s">
        <v>378</v>
      </c>
      <c r="P190" s="56" t="s">
        <v>379</v>
      </c>
      <c r="Q190" s="57"/>
      <c r="R190" s="56" t="s">
        <v>380</v>
      </c>
    </row>
    <row r="191" ht="15.75" customHeight="1">
      <c r="A191" s="11" t="s">
        <v>2052</v>
      </c>
      <c r="B191" s="11">
        <v>6.0</v>
      </c>
      <c r="C191" s="11" t="s">
        <v>252</v>
      </c>
      <c r="D191" s="11" t="str">
        <f t="array" ref="D191">IFERROR(INDEX(DOCUMENTOS!$E:$E,MATCH($B191,DOCUMENTOS!$A:$A,0)),"")</f>
        <v>Ordem Bancária 2026OB000456</v>
      </c>
      <c r="E191" s="11" t="str">
        <f t="array" ref="E191">IFERROR(INDEX('BANCO DE PERGUNTAS'!$D:$D,MATCH($C191,'BANCO DE PERGUNTAS'!$A:$A,0)),"")</f>
        <v>Quais informações necessárias parecem estar ausentes?</v>
      </c>
      <c r="F191" s="54" t="s">
        <v>2053</v>
      </c>
      <c r="G191" s="61"/>
      <c r="H191" s="61"/>
      <c r="I191" s="61"/>
      <c r="J191" s="55" t="s">
        <v>1987</v>
      </c>
      <c r="K191" s="55" t="s">
        <v>1564</v>
      </c>
      <c r="L191" s="55" t="s">
        <v>539</v>
      </c>
      <c r="M191" s="61"/>
      <c r="N191" s="56" t="s">
        <v>644</v>
      </c>
      <c r="O191" s="56" t="s">
        <v>378</v>
      </c>
      <c r="P191" s="56" t="s">
        <v>379</v>
      </c>
      <c r="Q191" s="57"/>
      <c r="R191" s="56" t="s">
        <v>380</v>
      </c>
    </row>
    <row r="192" ht="15.75" customHeight="1">
      <c r="A192" s="14" t="s">
        <v>2054</v>
      </c>
      <c r="B192" s="14">
        <v>6.0</v>
      </c>
      <c r="C192" s="14" t="s">
        <v>257</v>
      </c>
      <c r="D192" s="14" t="str">
        <f t="array" ref="D192">IFERROR(INDEX(DOCUMENTOS!$E:$E,MATCH($B192,DOCUMENTOS!$A:$A,0)),"")</f>
        <v>Ordem Bancária 2026OB000456</v>
      </c>
      <c r="E192" s="14" t="str">
        <f t="array" ref="E192">IFERROR(INDEX('BANCO DE PERGUNTAS'!$D:$D,MATCH($C192,'BANCO DE PERGUNTAS'!$A:$A,0)),"")</f>
        <v>Existem informações conflitantes com outro documento relacionado?</v>
      </c>
      <c r="F192" s="54" t="s">
        <v>2057</v>
      </c>
      <c r="G192" s="55" t="s">
        <v>1877</v>
      </c>
      <c r="H192" s="55" t="s">
        <v>1878</v>
      </c>
      <c r="I192" s="55" t="s">
        <v>1879</v>
      </c>
      <c r="J192" s="55" t="s">
        <v>539</v>
      </c>
      <c r="K192" s="61"/>
      <c r="L192" s="55" t="s">
        <v>539</v>
      </c>
      <c r="M192" s="61"/>
      <c r="N192" s="56" t="s">
        <v>1880</v>
      </c>
      <c r="O192" s="56" t="s">
        <v>378</v>
      </c>
      <c r="P192" s="56" t="s">
        <v>379</v>
      </c>
      <c r="Q192" s="57"/>
      <c r="R192" s="56" t="s">
        <v>1882</v>
      </c>
    </row>
    <row r="193" ht="15.75" customHeight="1">
      <c r="A193" s="11" t="s">
        <v>2058</v>
      </c>
      <c r="B193" s="11">
        <v>6.0</v>
      </c>
      <c r="C193" s="11" t="s">
        <v>264</v>
      </c>
      <c r="D193" s="11" t="str">
        <f t="array" ref="D193">IFERROR(INDEX(DOCUMENTOS!$E:$E,MATCH($B193,DOCUMENTOS!$A:$A,0)),"")</f>
        <v>Ordem Bancária 2026OB000456</v>
      </c>
      <c r="E193" s="11" t="str">
        <f t="array" ref="E193">IFERROR(INDEX('BANCO DE PERGUNTAS'!$D:$D,MATCH($C193,'BANCO DE PERGUNTAS'!$A:$A,0)),"")</f>
        <v>Quais diferenças existem entre os documentos?</v>
      </c>
      <c r="F193" s="54" t="s">
        <v>2061</v>
      </c>
      <c r="G193" s="55" t="s">
        <v>2062</v>
      </c>
      <c r="H193" s="61"/>
      <c r="I193" s="61"/>
      <c r="J193" s="55" t="s">
        <v>1974</v>
      </c>
      <c r="K193" s="55" t="s">
        <v>734</v>
      </c>
      <c r="L193" s="55" t="s">
        <v>1975</v>
      </c>
      <c r="M193" s="61"/>
      <c r="N193" s="56" t="s">
        <v>2063</v>
      </c>
      <c r="O193" s="56" t="s">
        <v>378</v>
      </c>
      <c r="P193" s="56" t="s">
        <v>379</v>
      </c>
      <c r="Q193" s="57"/>
      <c r="R193" s="56" t="s">
        <v>2065</v>
      </c>
    </row>
    <row r="194" ht="15.75" customHeight="1">
      <c r="A194" s="14" t="s">
        <v>2066</v>
      </c>
      <c r="B194" s="14">
        <v>6.0</v>
      </c>
      <c r="C194" s="14" t="s">
        <v>269</v>
      </c>
      <c r="D194" s="14" t="str">
        <f t="array" ref="D194">IFERROR(INDEX(DOCUMENTOS!$E:$E,MATCH($B194,DOCUMENTOS!$A:$A,0)),"")</f>
        <v>Ordem Bancária 2026OB000456</v>
      </c>
      <c r="E194" s="14" t="str">
        <f t="array" ref="E194">IFERROR(INDEX('BANCO DE PERGUNTAS'!$D:$D,MATCH($C194,'BANCO DE PERGUNTAS'!$A:$A,0)),"")</f>
        <v>Quais informações foram alteradas?</v>
      </c>
      <c r="F194" s="54" t="s">
        <v>2068</v>
      </c>
      <c r="G194" s="55" t="s">
        <v>2069</v>
      </c>
      <c r="H194" s="61"/>
      <c r="I194" s="61"/>
      <c r="J194" s="55" t="s">
        <v>2070</v>
      </c>
      <c r="K194" s="55" t="s">
        <v>734</v>
      </c>
      <c r="L194" s="55" t="s">
        <v>2071</v>
      </c>
      <c r="M194" s="61"/>
      <c r="N194" s="56" t="s">
        <v>2072</v>
      </c>
      <c r="O194" s="56" t="s">
        <v>378</v>
      </c>
      <c r="P194" s="56" t="s">
        <v>379</v>
      </c>
      <c r="Q194" s="57"/>
      <c r="R194" s="56" t="s">
        <v>380</v>
      </c>
    </row>
    <row r="195" ht="15.75" customHeight="1">
      <c r="A195" s="11" t="s">
        <v>2073</v>
      </c>
      <c r="B195" s="11">
        <v>6.0</v>
      </c>
      <c r="C195" s="11" t="s">
        <v>276</v>
      </c>
      <c r="D195" s="11" t="str">
        <f t="array" ref="D195">IFERROR(INDEX(DOCUMENTOS!$E:$E,MATCH($B195,DOCUMENTOS!$A:$A,0)),"")</f>
        <v>Ordem Bancária 2026OB000456</v>
      </c>
      <c r="E195" s="11" t="str">
        <f t="array" ref="E195">IFERROR(INDEX('BANCO DE PERGUNTAS'!$D:$D,MATCH($C195,'BANCO DE PERGUNTAS'!$A:$A,0)),"")</f>
        <v>Identifique possíveis pontos de atenção administrativa.</v>
      </c>
      <c r="F195" s="54" t="s">
        <v>2074</v>
      </c>
      <c r="G195" s="61"/>
      <c r="H195" s="61"/>
      <c r="I195" s="61"/>
      <c r="J195" s="55" t="s">
        <v>2075</v>
      </c>
      <c r="K195" s="55" t="s">
        <v>1564</v>
      </c>
      <c r="L195" s="55" t="s">
        <v>590</v>
      </c>
      <c r="M195" s="61"/>
      <c r="N195" s="56" t="s">
        <v>687</v>
      </c>
      <c r="O195" s="56" t="s">
        <v>378</v>
      </c>
      <c r="P195" s="56" t="s">
        <v>379</v>
      </c>
      <c r="Q195" s="57"/>
      <c r="R195" s="56" t="s">
        <v>380</v>
      </c>
    </row>
    <row r="196" ht="15.75" customHeight="1">
      <c r="A196" s="14" t="s">
        <v>2076</v>
      </c>
      <c r="B196" s="14">
        <v>6.0</v>
      </c>
      <c r="C196" s="14" t="s">
        <v>284</v>
      </c>
      <c r="D196" s="14" t="str">
        <f t="array" ref="D196">IFERROR(INDEX(DOCUMENTOS!$E:$E,MATCH($B196,DOCUMENTOS!$A:$A,0)),"")</f>
        <v>Ordem Bancária 2026OB000456</v>
      </c>
      <c r="E196" s="14" t="str">
        <f t="array" ref="E196">IFERROR(INDEX('BANCO DE PERGUNTAS'!$D:$D,MATCH($C196,'BANCO DE PERGUNTAS'!$A:$A,0)),"")</f>
        <v>Quais informações deveriam ser verificadas antes de uma decisão administrativa?</v>
      </c>
      <c r="F196" s="54" t="s">
        <v>2077</v>
      </c>
      <c r="G196" s="61"/>
      <c r="H196" s="61"/>
      <c r="I196" s="61"/>
      <c r="J196" s="55" t="s">
        <v>2078</v>
      </c>
      <c r="K196" s="55" t="s">
        <v>734</v>
      </c>
      <c r="L196" s="55" t="s">
        <v>2079</v>
      </c>
      <c r="M196" s="61"/>
      <c r="N196" s="56" t="s">
        <v>2080</v>
      </c>
      <c r="O196" s="56" t="s">
        <v>378</v>
      </c>
      <c r="P196" s="56" t="s">
        <v>379</v>
      </c>
      <c r="Q196" s="57"/>
      <c r="R196" s="56" t="s">
        <v>380</v>
      </c>
    </row>
    <row r="197" ht="15.75" customHeight="1">
      <c r="A197" s="11" t="s">
        <v>2081</v>
      </c>
      <c r="B197" s="11">
        <v>6.0</v>
      </c>
      <c r="C197" s="11" t="s">
        <v>288</v>
      </c>
      <c r="D197" s="11" t="str">
        <f t="array" ref="D197">IFERROR(INDEX(DOCUMENTOS!$E:$E,MATCH($B197,DOCUMENTOS!$A:$A,0)),"")</f>
        <v>Ordem Bancária 2026OB000456</v>
      </c>
      <c r="E197" s="11" t="str">
        <f t="array" ref="E197">IFERROR(INDEX('BANCO DE PERGUNTAS'!$D:$D,MATCH($C197,'BANCO DE PERGUNTAS'!$A:$A,0)),"")</f>
        <v>Identifique situações que possam representar risco administrativo.</v>
      </c>
      <c r="F197" s="54" t="s">
        <v>2084</v>
      </c>
      <c r="G197" s="61"/>
      <c r="H197" s="61"/>
      <c r="I197" s="61"/>
      <c r="J197" s="55" t="s">
        <v>2085</v>
      </c>
      <c r="K197" s="55" t="s">
        <v>734</v>
      </c>
      <c r="L197" s="55" t="s">
        <v>590</v>
      </c>
      <c r="M197" s="61"/>
      <c r="N197" s="56" t="s">
        <v>1191</v>
      </c>
      <c r="O197" s="56" t="s">
        <v>378</v>
      </c>
      <c r="P197" s="56" t="s">
        <v>379</v>
      </c>
      <c r="Q197" s="57"/>
      <c r="R197" s="56" t="s">
        <v>380</v>
      </c>
    </row>
    <row r="198" ht="15.75" customHeight="1">
      <c r="A198" s="14" t="s">
        <v>2086</v>
      </c>
      <c r="B198" s="14">
        <v>6.0</v>
      </c>
      <c r="C198" s="14" t="s">
        <v>294</v>
      </c>
      <c r="D198" s="14" t="str">
        <f t="array" ref="D198">IFERROR(INDEX(DOCUMENTOS!$E:$E,MATCH($B198,DOCUMENTOS!$A:$A,0)),"")</f>
        <v>Ordem Bancária 2026OB000456</v>
      </c>
      <c r="E198" s="14" t="str">
        <f t="array" ref="E198">IFERROR(INDEX('BANCO DE PERGUNTAS'!$D:$D,MATCH($C198,'BANCO DE PERGUNTAS'!$A:$A,0)),"")</f>
        <v>Resuma o documento em até cinco pontos objetivos.</v>
      </c>
      <c r="F198" s="54" t="s">
        <v>2090</v>
      </c>
      <c r="G198" s="55" t="s">
        <v>1986</v>
      </c>
      <c r="H198" s="61"/>
      <c r="I198" s="61"/>
      <c r="J198" s="55" t="s">
        <v>1987</v>
      </c>
      <c r="K198" s="55" t="s">
        <v>1564</v>
      </c>
      <c r="L198" s="55" t="s">
        <v>539</v>
      </c>
      <c r="M198" s="61"/>
      <c r="N198" s="56" t="s">
        <v>709</v>
      </c>
      <c r="O198" s="56" t="s">
        <v>378</v>
      </c>
      <c r="P198" s="56" t="s">
        <v>379</v>
      </c>
      <c r="Q198" s="57"/>
      <c r="R198" s="56" t="s">
        <v>380</v>
      </c>
    </row>
    <row r="199" ht="15.75" customHeight="1">
      <c r="A199" s="11" t="s">
        <v>2092</v>
      </c>
      <c r="B199" s="11">
        <v>6.0</v>
      </c>
      <c r="C199" s="11" t="s">
        <v>302</v>
      </c>
      <c r="D199" s="11" t="str">
        <f t="array" ref="D199">IFERROR(INDEX(DOCUMENTOS!$E:$E,MATCH($B199,DOCUMENTOS!$A:$A,0)),"")</f>
        <v>Ordem Bancária 2026OB000456</v>
      </c>
      <c r="E199" s="11" t="str">
        <f t="array" ref="E199">IFERROR(INDEX('BANCO DE PERGUNTAS'!$D:$D,MATCH($C199,'BANCO DE PERGUNTAS'!$A:$A,0)),"")</f>
        <v>Qual é a principal finalidade do documento?</v>
      </c>
      <c r="F199" s="54" t="s">
        <v>2093</v>
      </c>
      <c r="G199" s="61"/>
      <c r="H199" s="61"/>
      <c r="I199" s="61"/>
      <c r="J199" s="55" t="s">
        <v>2094</v>
      </c>
      <c r="K199" s="55" t="s">
        <v>374</v>
      </c>
      <c r="L199" s="55" t="s">
        <v>2095</v>
      </c>
      <c r="M199" s="61"/>
      <c r="N199" s="56" t="s">
        <v>714</v>
      </c>
      <c r="O199" s="56" t="s">
        <v>378</v>
      </c>
      <c r="P199" s="56" t="s">
        <v>379</v>
      </c>
      <c r="Q199" s="57"/>
      <c r="R199" s="56" t="s">
        <v>380</v>
      </c>
    </row>
    <row r="200" ht="15.75" customHeight="1">
      <c r="A200" s="14" t="s">
        <v>2096</v>
      </c>
      <c r="B200" s="14">
        <v>6.0</v>
      </c>
      <c r="C200" s="14" t="s">
        <v>307</v>
      </c>
      <c r="D200" s="14" t="str">
        <f t="array" ref="D200">IFERROR(INDEX(DOCUMENTOS!$E:$E,MATCH($B200,DOCUMENTOS!$A:$A,0)),"")</f>
        <v>Ordem Bancária 2026OB000456</v>
      </c>
      <c r="E200" s="14" t="str">
        <f t="array" ref="E200">IFERROR(INDEX('BANCO DE PERGUNTAS'!$D:$D,MATCH($C200,'BANCO DE PERGUNTAS'!$A:$A,0)),"")</f>
        <v>Quais são as três informações mais importantes para um servidor responsável pela análise?</v>
      </c>
      <c r="F200" s="54" t="s">
        <v>2097</v>
      </c>
      <c r="G200" s="61"/>
      <c r="H200" s="61"/>
      <c r="I200" s="61"/>
      <c r="J200" s="55" t="s">
        <v>2098</v>
      </c>
      <c r="K200" s="55" t="s">
        <v>734</v>
      </c>
      <c r="L200" s="55" t="s">
        <v>2099</v>
      </c>
      <c r="M200" s="61"/>
      <c r="N200" s="56" t="s">
        <v>723</v>
      </c>
      <c r="O200" s="56" t="s">
        <v>378</v>
      </c>
      <c r="P200" s="56" t="s">
        <v>379</v>
      </c>
      <c r="Q200" s="57"/>
      <c r="R200" s="56" t="s">
        <v>380</v>
      </c>
    </row>
    <row r="201" ht="15.75" hidden="1" customHeight="1">
      <c r="A201" s="11" t="s">
        <v>2100</v>
      </c>
      <c r="B201" s="11">
        <v>1.0</v>
      </c>
      <c r="C201" s="11" t="s">
        <v>2101</v>
      </c>
      <c r="D201" s="11" t="str">
        <f t="array" ref="D201">IFERROR(INDEX(DOCUMENTOS!$E:$E,MATCH($B201,DOCUMENTOS!$A:$A,0)),"")</f>
        <v>Planilha Mapa Comparativo de Preços</v>
      </c>
      <c r="E201" s="11" t="str">
        <f t="array" ref="E201">IFERROR(INDEX('BANCO DE PERGUNTAS'!$D:$D,MATCH($C201,'BANCO DE PERGUNTAS'!$A:$A,0)),"")</f>
        <v/>
      </c>
      <c r="F201" s="94" t="s">
        <v>2106</v>
      </c>
      <c r="G201" s="56" t="s">
        <v>2107</v>
      </c>
      <c r="H201" s="56" t="s">
        <v>2108</v>
      </c>
      <c r="I201" s="56" t="s">
        <v>2109</v>
      </c>
      <c r="J201" s="56" t="s">
        <v>2110</v>
      </c>
      <c r="K201" s="56" t="s">
        <v>2111</v>
      </c>
      <c r="L201" s="56" t="s">
        <v>2113</v>
      </c>
      <c r="M201" s="57"/>
      <c r="N201" s="56" t="s">
        <v>2114</v>
      </c>
      <c r="O201" s="56" t="s">
        <v>378</v>
      </c>
      <c r="P201" s="56" t="s">
        <v>379</v>
      </c>
      <c r="Q201" s="57"/>
      <c r="R201" s="56" t="s">
        <v>380</v>
      </c>
    </row>
    <row r="202" ht="15.75" hidden="1" customHeight="1">
      <c r="A202" s="14" t="s">
        <v>2115</v>
      </c>
      <c r="B202" s="14">
        <v>2.0</v>
      </c>
      <c r="C202" s="14" t="s">
        <v>2116</v>
      </c>
      <c r="D202" s="14" t="str">
        <f t="array" ref="D202">IFERROR(INDEX(DOCUMENTOS!$E:$E,MATCH($B202,DOCUMENTOS!$A:$A,0)),"")</f>
        <v>Relatório Pesquisa de Preço - Banco de Preços</v>
      </c>
      <c r="E202" s="14" t="str">
        <f t="array" ref="E202">IFERROR(INDEX('BANCO DE PERGUNTAS'!$D:$D,MATCH($C202,'BANCO DE PERGUNTAS'!$A:$A,0)),"")</f>
        <v/>
      </c>
      <c r="F202" s="94" t="s">
        <v>2118</v>
      </c>
      <c r="G202" s="56" t="s">
        <v>2119</v>
      </c>
      <c r="H202" s="56" t="s">
        <v>2120</v>
      </c>
      <c r="I202" s="56" t="s">
        <v>2121</v>
      </c>
      <c r="J202" s="56" t="s">
        <v>2122</v>
      </c>
      <c r="K202" s="56" t="s">
        <v>2123</v>
      </c>
      <c r="L202" s="56" t="s">
        <v>2124</v>
      </c>
      <c r="M202" s="57"/>
      <c r="N202" s="56" t="s">
        <v>2125</v>
      </c>
      <c r="O202" s="56" t="s">
        <v>378</v>
      </c>
      <c r="P202" s="56" t="s">
        <v>379</v>
      </c>
      <c r="Q202" s="57"/>
      <c r="R202" s="56" t="s">
        <v>380</v>
      </c>
    </row>
    <row r="203" ht="15.75" hidden="1" customHeight="1">
      <c r="A203" s="11" t="s">
        <v>2126</v>
      </c>
      <c r="B203" s="11">
        <v>3.0</v>
      </c>
      <c r="C203" s="11" t="s">
        <v>2127</v>
      </c>
      <c r="D203" s="11" t="str">
        <f t="array" ref="D203">IFERROR(INDEX(DOCUMENTOS!$E:$E,MATCH($B203,DOCUMENTOS!$A:$A,0)),"")</f>
        <v>Boletim de Medição</v>
      </c>
      <c r="E203" s="11" t="str">
        <f t="array" ref="E203">IFERROR(INDEX('BANCO DE PERGUNTAS'!$D:$D,MATCH($C203,'BANCO DE PERGUNTAS'!$A:$A,0)),"")</f>
        <v/>
      </c>
      <c r="F203" s="94" t="s">
        <v>2128</v>
      </c>
      <c r="G203" s="56" t="s">
        <v>2129</v>
      </c>
      <c r="H203" s="56" t="s">
        <v>2130</v>
      </c>
      <c r="I203" s="56" t="s">
        <v>2131</v>
      </c>
      <c r="J203" s="56" t="s">
        <v>2132</v>
      </c>
      <c r="K203" s="56" t="s">
        <v>2133</v>
      </c>
      <c r="L203" s="56" t="s">
        <v>2134</v>
      </c>
      <c r="M203" s="57"/>
      <c r="N203" s="56" t="s">
        <v>2135</v>
      </c>
      <c r="O203" s="56" t="s">
        <v>378</v>
      </c>
      <c r="P203" s="56" t="s">
        <v>379</v>
      </c>
      <c r="Q203" s="57"/>
      <c r="R203" s="56" t="s">
        <v>380</v>
      </c>
    </row>
    <row r="204" ht="15.75" hidden="1" customHeight="1">
      <c r="A204" s="14" t="s">
        <v>2136</v>
      </c>
      <c r="B204" s="14">
        <v>4.0</v>
      </c>
      <c r="C204" s="14" t="s">
        <v>2137</v>
      </c>
      <c r="D204" s="14" t="str">
        <f t="array" ref="D204">IFERROR(INDEX(DOCUMENTOS!$E:$E,MATCH($B204,DOCUMENTOS!$A:$A,0)),"")</f>
        <v>Nota Fiscal nº 119.235 - Março/26</v>
      </c>
      <c r="E204" s="14" t="str">
        <f t="array" ref="E204">IFERROR(INDEX('BANCO DE PERGUNTAS'!$D:$D,MATCH($C204,'BANCO DE PERGUNTAS'!$A:$A,0)),"")</f>
        <v/>
      </c>
      <c r="F204" s="94" t="s">
        <v>2138</v>
      </c>
      <c r="G204" s="56" t="s">
        <v>2139</v>
      </c>
      <c r="H204" s="56" t="s">
        <v>2140</v>
      </c>
      <c r="I204" s="56" t="s">
        <v>2141</v>
      </c>
      <c r="J204" s="56" t="s">
        <v>2142</v>
      </c>
      <c r="K204" s="56" t="s">
        <v>2143</v>
      </c>
      <c r="L204" s="56" t="s">
        <v>2144</v>
      </c>
      <c r="M204" s="57"/>
      <c r="N204" s="56" t="s">
        <v>2145</v>
      </c>
      <c r="O204" s="56" t="s">
        <v>378</v>
      </c>
      <c r="P204" s="56" t="s">
        <v>379</v>
      </c>
      <c r="Q204" s="57"/>
      <c r="R204" s="56" t="s">
        <v>380</v>
      </c>
    </row>
    <row r="205" ht="15.75" hidden="1" customHeight="1">
      <c r="A205" s="11" t="s">
        <v>2146</v>
      </c>
      <c r="B205" s="11">
        <v>5.0</v>
      </c>
      <c r="C205" s="11" t="s">
        <v>2147</v>
      </c>
      <c r="D205" s="11" t="str">
        <f t="array" ref="D205">IFERROR(INDEX(DOCUMENTOS!$E:$E,MATCH($B205,DOCUMENTOS!$A:$A,0)),"")</f>
        <v>Empenho 2026NE000070 - Reforço</v>
      </c>
      <c r="E205" s="11" t="str">
        <f t="array" ref="E205">IFERROR(INDEX('BANCO DE PERGUNTAS'!$D:$D,MATCH($C205,'BANCO DE PERGUNTAS'!$A:$A,0)),"")</f>
        <v/>
      </c>
      <c r="F205" s="94" t="s">
        <v>2150</v>
      </c>
      <c r="G205" s="56" t="s">
        <v>2151</v>
      </c>
      <c r="H205" s="56" t="s">
        <v>2152</v>
      </c>
      <c r="I205" s="56" t="s">
        <v>2153</v>
      </c>
      <c r="J205" s="56" t="s">
        <v>2154</v>
      </c>
      <c r="K205" s="56" t="s">
        <v>1770</v>
      </c>
      <c r="L205" s="56" t="s">
        <v>2155</v>
      </c>
      <c r="M205" s="57"/>
      <c r="N205" s="56" t="s">
        <v>2156</v>
      </c>
      <c r="O205" s="56" t="s">
        <v>378</v>
      </c>
      <c r="P205" s="56" t="s">
        <v>379</v>
      </c>
      <c r="Q205" s="57"/>
      <c r="R205" s="56" t="s">
        <v>2157</v>
      </c>
    </row>
    <row r="206" ht="15.75" hidden="1" customHeight="1">
      <c r="A206" s="14" t="s">
        <v>2158</v>
      </c>
      <c r="B206" s="14">
        <v>6.0</v>
      </c>
      <c r="C206" s="14" t="s">
        <v>2159</v>
      </c>
      <c r="D206" s="14" t="str">
        <f t="array" ref="D206">IFERROR(INDEX(DOCUMENTOS!$E:$E,MATCH($B206,DOCUMENTOS!$A:$A,0)),"")</f>
        <v>Ordem Bancária 2026OB000456</v>
      </c>
      <c r="E206" s="14" t="str">
        <f t="array" ref="E206">IFERROR(INDEX('BANCO DE PERGUNTAS'!$D:$D,MATCH($C206,'BANCO DE PERGUNTAS'!$A:$A,0)),"")</f>
        <v/>
      </c>
      <c r="F206" s="94" t="s">
        <v>2162</v>
      </c>
      <c r="G206" s="56" t="s">
        <v>2163</v>
      </c>
      <c r="H206" s="56" t="s">
        <v>2164</v>
      </c>
      <c r="I206" s="56" t="s">
        <v>2165</v>
      </c>
      <c r="J206" s="56" t="s">
        <v>2166</v>
      </c>
      <c r="K206" s="56" t="s">
        <v>734</v>
      </c>
      <c r="L206" s="56" t="s">
        <v>2167</v>
      </c>
      <c r="M206" s="56" t="s">
        <v>2168</v>
      </c>
      <c r="N206" s="56" t="s">
        <v>2169</v>
      </c>
      <c r="O206" s="56" t="s">
        <v>378</v>
      </c>
      <c r="P206" s="56" t="s">
        <v>379</v>
      </c>
      <c r="Q206" s="57"/>
      <c r="R206" s="56" t="s">
        <v>2170</v>
      </c>
    </row>
    <row r="207" ht="15.75" hidden="1" customHeight="1">
      <c r="A207" s="11" t="s">
        <v>2171</v>
      </c>
      <c r="B207" s="11">
        <v>7.0</v>
      </c>
      <c r="C207" s="11" t="s">
        <v>2173</v>
      </c>
      <c r="D207" s="11" t="str">
        <f t="array" ref="D207">IFERROR(INDEX(DOCUMENTOS!$E:$E,MATCH($B207,DOCUMENTOS!$A:$A,0)),"")</f>
        <v/>
      </c>
      <c r="E207" s="11" t="str">
        <f t="array" ref="E207">IFERROR(INDEX('BANCO DE PERGUNTAS'!$D:$D,MATCH($C207,'BANCO DE PERGUNTAS'!$A:$A,0)),"")</f>
        <v/>
      </c>
      <c r="F207" s="94" t="s">
        <v>2175</v>
      </c>
      <c r="G207" s="56" t="s">
        <v>2176</v>
      </c>
      <c r="H207" s="56" t="s">
        <v>2177</v>
      </c>
      <c r="I207" s="56" t="s">
        <v>2178</v>
      </c>
      <c r="J207" s="56" t="s">
        <v>2179</v>
      </c>
      <c r="K207" s="56" t="s">
        <v>374</v>
      </c>
      <c r="L207" s="56" t="s">
        <v>2180</v>
      </c>
      <c r="M207" s="57"/>
      <c r="N207" s="56" t="s">
        <v>2181</v>
      </c>
      <c r="O207" s="56" t="s">
        <v>378</v>
      </c>
      <c r="P207" s="56" t="s">
        <v>379</v>
      </c>
      <c r="Q207" s="57"/>
      <c r="R207" s="56" t="s">
        <v>380</v>
      </c>
    </row>
    <row r="208" ht="15.75" hidden="1" customHeight="1">
      <c r="A208" s="14" t="s">
        <v>2182</v>
      </c>
      <c r="B208" s="14">
        <v>8.0</v>
      </c>
      <c r="C208" s="14" t="s">
        <v>2183</v>
      </c>
      <c r="D208" s="14" t="str">
        <f t="array" ref="D208">IFERROR(INDEX(DOCUMENTOS!$E:$E,MATCH($B208,DOCUMENTOS!$A:$A,0)),"")</f>
        <v/>
      </c>
      <c r="E208" s="14" t="str">
        <f t="array" ref="E208">IFERROR(INDEX('BANCO DE PERGUNTAS'!$D:$D,MATCH($C208,'BANCO DE PERGUNTAS'!$A:$A,0)),"")</f>
        <v/>
      </c>
      <c r="F208" s="94" t="s">
        <v>2184</v>
      </c>
      <c r="G208" s="56" t="s">
        <v>2185</v>
      </c>
      <c r="H208" s="56" t="s">
        <v>2186</v>
      </c>
      <c r="I208" s="56" t="s">
        <v>2187</v>
      </c>
      <c r="J208" s="56" t="s">
        <v>2188</v>
      </c>
      <c r="K208" s="56" t="s">
        <v>1564</v>
      </c>
      <c r="L208" s="56" t="s">
        <v>2189</v>
      </c>
      <c r="M208" s="56" t="s">
        <v>2190</v>
      </c>
      <c r="N208" s="56" t="s">
        <v>2191</v>
      </c>
      <c r="O208" s="56" t="s">
        <v>378</v>
      </c>
      <c r="P208" s="56" t="s">
        <v>379</v>
      </c>
      <c r="Q208" s="57"/>
      <c r="R208" s="56" t="s">
        <v>380</v>
      </c>
    </row>
    <row r="209" ht="15.75" hidden="1" customHeight="1">
      <c r="A209" s="11" t="s">
        <v>2192</v>
      </c>
      <c r="B209" s="11">
        <v>9.0</v>
      </c>
      <c r="C209" s="11" t="s">
        <v>2193</v>
      </c>
      <c r="D209" s="11" t="str">
        <f t="array" ref="D209">IFERROR(INDEX(DOCUMENTOS!$E:$E,MATCH($B209,DOCUMENTOS!$A:$A,0)),"")</f>
        <v/>
      </c>
      <c r="E209" s="11" t="str">
        <f t="array" ref="E209">IFERROR(INDEX('BANCO DE PERGUNTAS'!$D:$D,MATCH($C209,'BANCO DE PERGUNTAS'!$A:$A,0)),"")</f>
        <v/>
      </c>
      <c r="F209" s="94" t="s">
        <v>2194</v>
      </c>
      <c r="G209" s="56" t="s">
        <v>2195</v>
      </c>
      <c r="H209" s="57"/>
      <c r="I209" s="56" t="s">
        <v>2196</v>
      </c>
      <c r="J209" s="56" t="s">
        <v>2197</v>
      </c>
      <c r="K209" s="56" t="s">
        <v>1618</v>
      </c>
      <c r="L209" s="56" t="s">
        <v>2198</v>
      </c>
      <c r="M209" s="57"/>
      <c r="N209" s="56" t="s">
        <v>2199</v>
      </c>
      <c r="O209" s="56" t="s">
        <v>378</v>
      </c>
      <c r="P209" s="56" t="s">
        <v>379</v>
      </c>
      <c r="Q209" s="57"/>
      <c r="R209" s="56" t="s">
        <v>380</v>
      </c>
    </row>
    <row r="210" ht="15.75" hidden="1" customHeight="1">
      <c r="A210" s="14" t="s">
        <v>2200</v>
      </c>
      <c r="B210" s="14">
        <v>10.0</v>
      </c>
      <c r="C210" s="14" t="s">
        <v>2201</v>
      </c>
      <c r="D210" s="14" t="str">
        <f t="array" ref="D210">IFERROR(INDEX(DOCUMENTOS!$E:$E,MATCH($B210,DOCUMENTOS!$A:$A,0)),"")</f>
        <v/>
      </c>
      <c r="E210" s="14" t="str">
        <f t="array" ref="E210">IFERROR(INDEX('BANCO DE PERGUNTAS'!$D:$D,MATCH($C210,'BANCO DE PERGUNTAS'!$A:$A,0)),"")</f>
        <v/>
      </c>
      <c r="F210" s="94" t="s">
        <v>2202</v>
      </c>
      <c r="G210" s="56" t="s">
        <v>2203</v>
      </c>
      <c r="H210" s="57"/>
      <c r="I210" s="56" t="s">
        <v>2204</v>
      </c>
      <c r="J210" s="56" t="s">
        <v>2205</v>
      </c>
      <c r="K210" s="56" t="s">
        <v>2206</v>
      </c>
      <c r="L210" s="56" t="s">
        <v>2207</v>
      </c>
      <c r="M210" s="56" t="s">
        <v>2208</v>
      </c>
      <c r="N210" s="56" t="s">
        <v>2209</v>
      </c>
      <c r="O210" s="56" t="s">
        <v>378</v>
      </c>
      <c r="P210" s="56" t="s">
        <v>379</v>
      </c>
      <c r="Q210" s="57"/>
      <c r="R210" s="56" t="s">
        <v>380</v>
      </c>
    </row>
    <row r="211" ht="15.75" hidden="1" customHeight="1">
      <c r="A211" s="11" t="s">
        <v>2210</v>
      </c>
      <c r="B211" s="11">
        <v>11.0</v>
      </c>
      <c r="C211" s="11" t="s">
        <v>2211</v>
      </c>
      <c r="D211" s="11" t="str">
        <f t="array" ref="D211">IFERROR(INDEX(DOCUMENTOS!$E:$E,MATCH($B211,DOCUMENTOS!$A:$A,0)),"")</f>
        <v/>
      </c>
      <c r="E211" s="11" t="str">
        <f t="array" ref="E211">IFERROR(INDEX('BANCO DE PERGUNTAS'!$D:$D,MATCH($C211,'BANCO DE PERGUNTAS'!$A:$A,0)),"")</f>
        <v/>
      </c>
      <c r="F211" s="94" t="s">
        <v>2214</v>
      </c>
      <c r="G211" s="56" t="s">
        <v>2215</v>
      </c>
      <c r="H211" s="56" t="s">
        <v>2216</v>
      </c>
      <c r="I211" s="56" t="s">
        <v>2217</v>
      </c>
      <c r="J211" s="56" t="s">
        <v>2218</v>
      </c>
      <c r="K211" s="56" t="s">
        <v>374</v>
      </c>
      <c r="L211" s="56" t="s">
        <v>2219</v>
      </c>
      <c r="M211" s="57"/>
      <c r="N211" s="56" t="s">
        <v>2220</v>
      </c>
      <c r="O211" s="56" t="s">
        <v>378</v>
      </c>
      <c r="P211" s="56" t="s">
        <v>379</v>
      </c>
      <c r="Q211" s="57"/>
      <c r="R211" s="56" t="s">
        <v>380</v>
      </c>
    </row>
    <row r="212" ht="15.75" hidden="1" customHeight="1">
      <c r="A212" s="14" t="s">
        <v>2221</v>
      </c>
      <c r="B212" s="14">
        <v>12.0</v>
      </c>
      <c r="C212" s="14" t="s">
        <v>2222</v>
      </c>
      <c r="D212" s="14" t="str">
        <f t="array" ref="D212">IFERROR(INDEX(DOCUMENTOS!$E:$E,MATCH($B212,DOCUMENTOS!$A:$A,0)),"")</f>
        <v/>
      </c>
      <c r="E212" s="14" t="str">
        <f t="array" ref="E212">IFERROR(INDEX('BANCO DE PERGUNTAS'!$D:$D,MATCH($C212,'BANCO DE PERGUNTAS'!$A:$A,0)),"")</f>
        <v/>
      </c>
      <c r="F212" s="94" t="s">
        <v>2227</v>
      </c>
      <c r="G212" s="56" t="s">
        <v>2228</v>
      </c>
      <c r="H212" s="56" t="s">
        <v>2229</v>
      </c>
      <c r="I212" s="56" t="s">
        <v>2230</v>
      </c>
      <c r="J212" s="56" t="s">
        <v>2231</v>
      </c>
      <c r="K212" s="56" t="s">
        <v>2206</v>
      </c>
      <c r="L212" s="56" t="s">
        <v>2232</v>
      </c>
      <c r="M212" s="57"/>
      <c r="N212" s="56" t="s">
        <v>2233</v>
      </c>
      <c r="O212" s="56" t="s">
        <v>378</v>
      </c>
      <c r="P212" s="56" t="s">
        <v>379</v>
      </c>
      <c r="Q212" s="57"/>
      <c r="R212" s="56" t="s">
        <v>380</v>
      </c>
    </row>
    <row r="213" ht="15.75" hidden="1" customHeight="1">
      <c r="A213" s="11" t="s">
        <v>2234</v>
      </c>
      <c r="B213" s="11">
        <v>13.0</v>
      </c>
      <c r="C213" s="11" t="s">
        <v>2235</v>
      </c>
      <c r="D213" s="11" t="str">
        <f t="array" ref="D213">IFERROR(INDEX(DOCUMENTOS!$E:$E,MATCH($B213,DOCUMENTOS!$A:$A,0)),"")</f>
        <v/>
      </c>
      <c r="E213" s="11" t="str">
        <f t="array" ref="E213">IFERROR(INDEX('BANCO DE PERGUNTAS'!$D:$D,MATCH($C213,'BANCO DE PERGUNTAS'!$A:$A,0)),"")</f>
        <v/>
      </c>
      <c r="F213" s="94" t="s">
        <v>2236</v>
      </c>
      <c r="G213" s="56" t="s">
        <v>2237</v>
      </c>
      <c r="H213" s="56" t="s">
        <v>2238</v>
      </c>
      <c r="I213" s="56" t="s">
        <v>2239</v>
      </c>
      <c r="J213" s="56" t="s">
        <v>2240</v>
      </c>
      <c r="K213" s="56" t="s">
        <v>2241</v>
      </c>
      <c r="L213" s="56" t="s">
        <v>2242</v>
      </c>
      <c r="M213" s="57"/>
      <c r="N213" s="56" t="s">
        <v>2243</v>
      </c>
      <c r="O213" s="56" t="s">
        <v>378</v>
      </c>
      <c r="P213" s="56" t="s">
        <v>379</v>
      </c>
      <c r="Q213" s="57"/>
      <c r="R213" s="56" t="s">
        <v>380</v>
      </c>
    </row>
    <row r="214" ht="15.75" hidden="1" customHeight="1">
      <c r="A214" s="14" t="s">
        <v>2244</v>
      </c>
      <c r="B214" s="14">
        <v>14.0</v>
      </c>
      <c r="C214" s="14" t="s">
        <v>2245</v>
      </c>
      <c r="D214" s="14" t="str">
        <f t="array" ref="D214">IFERROR(INDEX(DOCUMENTOS!$E:$E,MATCH($B214,DOCUMENTOS!$A:$A,0)),"")</f>
        <v/>
      </c>
      <c r="E214" s="14" t="str">
        <f t="array" ref="E214">IFERROR(INDEX('BANCO DE PERGUNTAS'!$D:$D,MATCH($C214,'BANCO DE PERGUNTAS'!$A:$A,0)),"")</f>
        <v/>
      </c>
      <c r="F214" s="94" t="s">
        <v>2247</v>
      </c>
      <c r="G214" s="56" t="s">
        <v>2248</v>
      </c>
      <c r="H214" s="56" t="s">
        <v>2249</v>
      </c>
      <c r="I214" s="56" t="s">
        <v>2250</v>
      </c>
      <c r="J214" s="56" t="s">
        <v>2251</v>
      </c>
      <c r="K214" s="56" t="s">
        <v>374</v>
      </c>
      <c r="L214" s="56" t="s">
        <v>2252</v>
      </c>
      <c r="M214" s="57"/>
      <c r="N214" s="56" t="s">
        <v>2253</v>
      </c>
      <c r="O214" s="56" t="s">
        <v>378</v>
      </c>
      <c r="P214" s="56" t="s">
        <v>379</v>
      </c>
      <c r="Q214" s="57"/>
      <c r="R214" s="56" t="s">
        <v>380</v>
      </c>
    </row>
    <row r="215" ht="15.75" hidden="1" customHeight="1">
      <c r="A215" s="11" t="s">
        <v>2255</v>
      </c>
      <c r="B215" s="11">
        <v>15.0</v>
      </c>
      <c r="C215" s="11" t="s">
        <v>2256</v>
      </c>
      <c r="D215" s="11" t="str">
        <f t="array" ref="D215">IFERROR(INDEX(DOCUMENTOS!$E:$E,MATCH($B215,DOCUMENTOS!$A:$A,0)),"")</f>
        <v/>
      </c>
      <c r="E215" s="11" t="str">
        <f t="array" ref="E215">IFERROR(INDEX('BANCO DE PERGUNTAS'!$D:$D,MATCH($C215,'BANCO DE PERGUNTAS'!$A:$A,0)),"")</f>
        <v/>
      </c>
      <c r="F215" s="94" t="s">
        <v>2260</v>
      </c>
      <c r="G215" s="56" t="s">
        <v>2261</v>
      </c>
      <c r="H215" s="57"/>
      <c r="I215" s="56" t="s">
        <v>2262</v>
      </c>
      <c r="J215" s="56" t="s">
        <v>2264</v>
      </c>
      <c r="K215" s="56" t="s">
        <v>734</v>
      </c>
      <c r="L215" s="56" t="s">
        <v>2265</v>
      </c>
      <c r="M215" s="57"/>
      <c r="N215" s="56" t="s">
        <v>2266</v>
      </c>
      <c r="O215" s="56" t="s">
        <v>378</v>
      </c>
      <c r="P215" s="56" t="s">
        <v>379</v>
      </c>
      <c r="Q215" s="57"/>
      <c r="R215" s="56" t="s">
        <v>380</v>
      </c>
    </row>
    <row r="216" ht="15.75" hidden="1" customHeight="1">
      <c r="A216" s="14" t="s">
        <v>2267</v>
      </c>
      <c r="B216" s="14">
        <v>16.0</v>
      </c>
      <c r="C216" s="14" t="s">
        <v>2268</v>
      </c>
      <c r="D216" s="14" t="str">
        <f t="array" ref="D216">IFERROR(INDEX(DOCUMENTOS!$E:$E,MATCH($B216,DOCUMENTOS!$A:$A,0)),"")</f>
        <v/>
      </c>
      <c r="E216" s="14" t="str">
        <f t="array" ref="E216">IFERROR(INDEX('BANCO DE PERGUNTAS'!$D:$D,MATCH($C216,'BANCO DE PERGUNTAS'!$A:$A,0)),"")</f>
        <v/>
      </c>
      <c r="F216" s="94" t="s">
        <v>2269</v>
      </c>
      <c r="G216" s="56" t="s">
        <v>2270</v>
      </c>
      <c r="H216" s="56" t="s">
        <v>2271</v>
      </c>
      <c r="I216" s="56" t="s">
        <v>2272</v>
      </c>
      <c r="J216" s="56" t="s">
        <v>2273</v>
      </c>
      <c r="K216" s="56" t="s">
        <v>734</v>
      </c>
      <c r="L216" s="56" t="s">
        <v>2274</v>
      </c>
      <c r="M216" s="57"/>
      <c r="N216" s="56" t="s">
        <v>2275</v>
      </c>
      <c r="O216" s="56" t="s">
        <v>378</v>
      </c>
      <c r="P216" s="56" t="s">
        <v>379</v>
      </c>
      <c r="Q216" s="57"/>
      <c r="R216" s="56" t="s">
        <v>380</v>
      </c>
    </row>
    <row r="217" ht="15.75" hidden="1" customHeight="1">
      <c r="A217" s="11" t="s">
        <v>2276</v>
      </c>
      <c r="B217" s="11">
        <v>17.0</v>
      </c>
      <c r="C217" s="11" t="s">
        <v>2277</v>
      </c>
      <c r="D217" s="11" t="str">
        <f t="array" ref="D217">IFERROR(INDEX(DOCUMENTOS!$E:$E,MATCH($B217,DOCUMENTOS!$A:$A,0)),"")</f>
        <v/>
      </c>
      <c r="E217" s="11" t="str">
        <f t="array" ref="E217">IFERROR(INDEX('BANCO DE PERGUNTAS'!$D:$D,MATCH($C217,'BANCO DE PERGUNTAS'!$A:$A,0)),"")</f>
        <v/>
      </c>
      <c r="F217" s="94" t="s">
        <v>2278</v>
      </c>
      <c r="G217" s="56" t="s">
        <v>2279</v>
      </c>
      <c r="H217" s="56" t="s">
        <v>2280</v>
      </c>
      <c r="I217" s="56" t="s">
        <v>2281</v>
      </c>
      <c r="J217" s="56" t="s">
        <v>2282</v>
      </c>
      <c r="K217" s="56" t="s">
        <v>1951</v>
      </c>
      <c r="L217" s="56" t="s">
        <v>2283</v>
      </c>
      <c r="M217" s="56" t="s">
        <v>2284</v>
      </c>
      <c r="N217" s="56" t="s">
        <v>2285</v>
      </c>
      <c r="O217" s="56" t="s">
        <v>378</v>
      </c>
      <c r="P217" s="56" t="s">
        <v>379</v>
      </c>
      <c r="Q217" s="57"/>
      <c r="R217" s="56" t="s">
        <v>380</v>
      </c>
    </row>
    <row r="218" ht="15.75" hidden="1" customHeight="1">
      <c r="A218" s="14" t="s">
        <v>2286</v>
      </c>
      <c r="B218" s="14">
        <v>18.0</v>
      </c>
      <c r="C218" s="14" t="s">
        <v>2287</v>
      </c>
      <c r="D218" s="14" t="str">
        <f t="array" ref="D218">IFERROR(INDEX(DOCUMENTOS!$E:$E,MATCH($B218,DOCUMENTOS!$A:$A,0)),"")</f>
        <v/>
      </c>
      <c r="E218" s="14" t="str">
        <f t="array" ref="E218">IFERROR(INDEX('BANCO DE PERGUNTAS'!$D:$D,MATCH($C218,'BANCO DE PERGUNTAS'!$A:$A,0)),"")</f>
        <v/>
      </c>
      <c r="F218" s="94" t="s">
        <v>2290</v>
      </c>
      <c r="G218" s="56" t="s">
        <v>2291</v>
      </c>
      <c r="H218" s="56" t="s">
        <v>2292</v>
      </c>
      <c r="I218" s="56" t="s">
        <v>2293</v>
      </c>
      <c r="J218" s="56" t="s">
        <v>2294</v>
      </c>
      <c r="K218" s="56" t="s">
        <v>2295</v>
      </c>
      <c r="L218" s="56" t="s">
        <v>2296</v>
      </c>
      <c r="M218" s="56" t="s">
        <v>2297</v>
      </c>
      <c r="N218" s="56" t="s">
        <v>2145</v>
      </c>
      <c r="O218" s="56" t="s">
        <v>378</v>
      </c>
      <c r="P218" s="56" t="s">
        <v>379</v>
      </c>
      <c r="Q218" s="57"/>
      <c r="R218" s="56" t="s">
        <v>380</v>
      </c>
    </row>
    <row r="219" ht="15.75" hidden="1" customHeight="1">
      <c r="A219" s="11" t="s">
        <v>2298</v>
      </c>
      <c r="B219" s="11">
        <v>19.0</v>
      </c>
      <c r="C219" s="11" t="s">
        <v>2299</v>
      </c>
      <c r="D219" s="11" t="str">
        <f t="array" ref="D219">IFERROR(INDEX(DOCUMENTOS!$E:$E,MATCH($B219,DOCUMENTOS!$A:$A,0)),"")</f>
        <v/>
      </c>
      <c r="E219" s="11" t="str">
        <f t="array" ref="E219">IFERROR(INDEX('BANCO DE PERGUNTAS'!$D:$D,MATCH($C219,'BANCO DE PERGUNTAS'!$A:$A,0)),"")</f>
        <v/>
      </c>
      <c r="F219" s="94" t="s">
        <v>2304</v>
      </c>
      <c r="G219" s="56" t="s">
        <v>2305</v>
      </c>
      <c r="H219" s="56" t="s">
        <v>2306</v>
      </c>
      <c r="I219" s="56" t="s">
        <v>2307</v>
      </c>
      <c r="J219" s="56" t="s">
        <v>2308</v>
      </c>
      <c r="K219" s="56" t="s">
        <v>374</v>
      </c>
      <c r="L219" s="56" t="s">
        <v>2309</v>
      </c>
      <c r="M219" s="57"/>
      <c r="N219" s="56" t="s">
        <v>2310</v>
      </c>
      <c r="O219" s="56" t="s">
        <v>378</v>
      </c>
      <c r="P219" s="56" t="s">
        <v>379</v>
      </c>
      <c r="Q219" s="57"/>
      <c r="R219" s="56" t="s">
        <v>380</v>
      </c>
    </row>
    <row r="220" ht="15.75" hidden="1" customHeight="1">
      <c r="A220" s="14" t="s">
        <v>2311</v>
      </c>
      <c r="B220" s="14">
        <v>20.0</v>
      </c>
      <c r="C220" s="14" t="s">
        <v>2312</v>
      </c>
      <c r="D220" s="14" t="str">
        <f t="array" ref="D220">IFERROR(INDEX(DOCUMENTOS!$E:$E,MATCH($B220,DOCUMENTOS!$A:$A,0)),"")</f>
        <v/>
      </c>
      <c r="E220" s="14" t="str">
        <f t="array" ref="E220">IFERROR(INDEX('BANCO DE PERGUNTAS'!$D:$D,MATCH($C220,'BANCO DE PERGUNTAS'!$A:$A,0)),"")</f>
        <v/>
      </c>
      <c r="F220" s="94" t="s">
        <v>2313</v>
      </c>
      <c r="G220" s="56" t="s">
        <v>2314</v>
      </c>
      <c r="H220" s="57"/>
      <c r="I220" s="56" t="s">
        <v>2315</v>
      </c>
      <c r="J220" s="56" t="s">
        <v>2316</v>
      </c>
      <c r="K220" s="56" t="s">
        <v>734</v>
      </c>
      <c r="L220" s="56" t="s">
        <v>2317</v>
      </c>
      <c r="M220" s="56" t="s">
        <v>2318</v>
      </c>
      <c r="N220" s="56" t="s">
        <v>2145</v>
      </c>
      <c r="O220" s="56" t="s">
        <v>378</v>
      </c>
      <c r="P220" s="56" t="s">
        <v>379</v>
      </c>
      <c r="Q220" s="57"/>
      <c r="R220" s="56" t="s">
        <v>380</v>
      </c>
    </row>
    <row r="221" ht="15.75" customHeight="1">
      <c r="F221" s="95"/>
    </row>
    <row r="222" ht="42.0" customHeight="1">
      <c r="A222" s="18" t="s">
        <v>2319</v>
      </c>
    </row>
    <row r="223" ht="15.75" customHeight="1">
      <c r="F223" s="95"/>
    </row>
    <row r="224" ht="15.75" customHeight="1">
      <c r="F224" s="95"/>
    </row>
    <row r="225" ht="15.75" customHeight="1">
      <c r="F225" s="95"/>
    </row>
    <row r="226" ht="15.75" customHeight="1">
      <c r="F226" s="95"/>
    </row>
    <row r="227" ht="15.75" customHeight="1">
      <c r="F227" s="95"/>
    </row>
    <row r="228" ht="15.75" customHeight="1">
      <c r="F228" s="95"/>
    </row>
    <row r="229" ht="15.75" customHeight="1">
      <c r="F229" s="95"/>
    </row>
    <row r="230" ht="15.75" customHeight="1">
      <c r="F230" s="95"/>
    </row>
    <row r="231" ht="15.75" customHeight="1">
      <c r="F231" s="95"/>
    </row>
    <row r="232" ht="15.75" customHeight="1">
      <c r="F232" s="95"/>
    </row>
    <row r="233" ht="15.75" customHeight="1">
      <c r="F233" s="95"/>
    </row>
    <row r="234" ht="15.75" customHeight="1">
      <c r="F234" s="95"/>
    </row>
    <row r="235" ht="15.75" customHeight="1">
      <c r="F235" s="95"/>
    </row>
    <row r="236" ht="15.75" customHeight="1">
      <c r="F236" s="95"/>
    </row>
    <row r="237" ht="15.75" customHeight="1">
      <c r="F237" s="95"/>
    </row>
    <row r="238" ht="15.75" customHeight="1">
      <c r="F238" s="95"/>
    </row>
    <row r="239" ht="15.75" customHeight="1">
      <c r="F239" s="95"/>
    </row>
    <row r="240" ht="15.75" customHeight="1">
      <c r="F240" s="95"/>
    </row>
    <row r="241" ht="15.75" customHeight="1">
      <c r="F241" s="95"/>
    </row>
    <row r="242" ht="15.75" customHeight="1">
      <c r="F242" s="95"/>
    </row>
    <row r="243" ht="15.75" customHeight="1">
      <c r="F243" s="95"/>
    </row>
    <row r="244" ht="15.75" customHeight="1">
      <c r="F244" s="95"/>
    </row>
    <row r="245" ht="15.75" customHeight="1">
      <c r="F245" s="95"/>
    </row>
    <row r="246" ht="15.75" customHeight="1">
      <c r="F246" s="95"/>
    </row>
    <row r="247" ht="15.75" customHeight="1">
      <c r="F247" s="95"/>
    </row>
    <row r="248" ht="15.75" customHeight="1">
      <c r="F248" s="95"/>
    </row>
    <row r="249" ht="15.75" customHeight="1">
      <c r="F249" s="95"/>
    </row>
    <row r="250" ht="15.75" customHeight="1">
      <c r="F250" s="95"/>
    </row>
    <row r="251" ht="15.75" customHeight="1">
      <c r="F251" s="95"/>
    </row>
    <row r="252" ht="15.75" customHeight="1">
      <c r="F252" s="95"/>
    </row>
    <row r="253" ht="15.75" customHeight="1">
      <c r="F253" s="95"/>
    </row>
    <row r="254" ht="15.75" customHeight="1">
      <c r="F254" s="95"/>
    </row>
    <row r="255" ht="15.75" customHeight="1">
      <c r="F255" s="95"/>
    </row>
    <row r="256" ht="15.75" customHeight="1">
      <c r="F256" s="95"/>
    </row>
    <row r="257" ht="15.75" customHeight="1">
      <c r="F257" s="95"/>
    </row>
    <row r="258" ht="15.75" customHeight="1">
      <c r="F258" s="95"/>
    </row>
    <row r="259" ht="15.75" customHeight="1">
      <c r="F259" s="95"/>
    </row>
    <row r="260" ht="15.75" customHeight="1">
      <c r="F260" s="95"/>
    </row>
    <row r="261" ht="15.75" customHeight="1">
      <c r="F261" s="95"/>
    </row>
    <row r="262" ht="15.75" customHeight="1">
      <c r="F262" s="95"/>
    </row>
    <row r="263" ht="15.75" customHeight="1">
      <c r="F263" s="95"/>
    </row>
    <row r="264" ht="15.75" customHeight="1">
      <c r="F264" s="95"/>
    </row>
    <row r="265" ht="15.75" customHeight="1">
      <c r="F265" s="95"/>
    </row>
    <row r="266" ht="15.75" customHeight="1">
      <c r="F266" s="95"/>
    </row>
    <row r="267" ht="15.75" customHeight="1">
      <c r="F267" s="95"/>
    </row>
    <row r="268" ht="15.75" customHeight="1">
      <c r="F268" s="95"/>
    </row>
    <row r="269" ht="15.75" customHeight="1">
      <c r="F269" s="95"/>
    </row>
    <row r="270" ht="15.75" customHeight="1">
      <c r="F270" s="95"/>
    </row>
    <row r="271" ht="15.75" customHeight="1">
      <c r="F271" s="95"/>
    </row>
    <row r="272" ht="15.75" customHeight="1">
      <c r="F272" s="95"/>
    </row>
    <row r="273" ht="15.75" customHeight="1">
      <c r="F273" s="95"/>
    </row>
    <row r="274" ht="15.75" customHeight="1">
      <c r="F274" s="95"/>
    </row>
    <row r="275" ht="15.75" customHeight="1">
      <c r="F275" s="95"/>
    </row>
    <row r="276" ht="15.75" customHeight="1">
      <c r="F276" s="95"/>
    </row>
    <row r="277" ht="15.75" customHeight="1">
      <c r="F277" s="95"/>
    </row>
    <row r="278" ht="15.75" customHeight="1">
      <c r="F278" s="95"/>
    </row>
    <row r="279" ht="15.75" customHeight="1">
      <c r="F279" s="95"/>
    </row>
    <row r="280" ht="15.75" customHeight="1">
      <c r="F280" s="95"/>
    </row>
    <row r="281" ht="15.75" customHeight="1">
      <c r="F281" s="95"/>
    </row>
    <row r="282" ht="15.75" customHeight="1">
      <c r="F282" s="95"/>
    </row>
    <row r="283" ht="15.75" customHeight="1">
      <c r="F283" s="95"/>
    </row>
    <row r="284" ht="15.75" customHeight="1">
      <c r="F284" s="95"/>
    </row>
    <row r="285" ht="15.75" customHeight="1">
      <c r="F285" s="95"/>
    </row>
    <row r="286" ht="15.75" customHeight="1">
      <c r="F286" s="95"/>
    </row>
    <row r="287" ht="15.75" customHeight="1">
      <c r="F287" s="95"/>
    </row>
    <row r="288" ht="15.75" customHeight="1">
      <c r="F288" s="95"/>
    </row>
    <row r="289" ht="15.75" customHeight="1">
      <c r="F289" s="95"/>
    </row>
    <row r="290" ht="15.75" customHeight="1">
      <c r="F290" s="95"/>
    </row>
    <row r="291" ht="15.75" customHeight="1">
      <c r="F291" s="95"/>
    </row>
    <row r="292" ht="15.75" customHeight="1">
      <c r="F292" s="95"/>
    </row>
    <row r="293" ht="15.75" customHeight="1">
      <c r="F293" s="95"/>
    </row>
    <row r="294" ht="15.75" customHeight="1">
      <c r="F294" s="95"/>
    </row>
    <row r="295" ht="15.75" customHeight="1">
      <c r="F295" s="95"/>
    </row>
    <row r="296" ht="15.75" customHeight="1">
      <c r="F296" s="95"/>
    </row>
    <row r="297" ht="15.75" customHeight="1">
      <c r="F297" s="95"/>
    </row>
    <row r="298" ht="15.75" customHeight="1">
      <c r="F298" s="95"/>
    </row>
    <row r="299" ht="15.75" customHeight="1">
      <c r="F299" s="95"/>
    </row>
    <row r="300" ht="15.75" customHeight="1">
      <c r="F300" s="95"/>
    </row>
    <row r="301" ht="15.75" customHeight="1">
      <c r="F301" s="95"/>
    </row>
    <row r="302" ht="15.75" customHeight="1">
      <c r="F302" s="95"/>
    </row>
    <row r="303" ht="15.75" customHeight="1">
      <c r="F303" s="95"/>
    </row>
    <row r="304" ht="15.75" customHeight="1">
      <c r="F304" s="95"/>
    </row>
    <row r="305" ht="15.75" customHeight="1">
      <c r="F305" s="95"/>
    </row>
    <row r="306" ht="15.75" customHeight="1">
      <c r="F306" s="95"/>
    </row>
    <row r="307" ht="15.75" customHeight="1">
      <c r="F307" s="95"/>
    </row>
    <row r="308" ht="15.75" customHeight="1">
      <c r="F308" s="95"/>
    </row>
    <row r="309" ht="15.75" customHeight="1">
      <c r="F309" s="95"/>
    </row>
    <row r="310" ht="15.75" customHeight="1">
      <c r="F310" s="95"/>
    </row>
    <row r="311" ht="15.75" customHeight="1">
      <c r="F311" s="95"/>
    </row>
    <row r="312" ht="15.75" customHeight="1">
      <c r="F312" s="95"/>
    </row>
    <row r="313" ht="15.75" customHeight="1">
      <c r="F313" s="95"/>
    </row>
    <row r="314" ht="15.75" customHeight="1">
      <c r="F314" s="95"/>
    </row>
    <row r="315" ht="15.75" customHeight="1">
      <c r="F315" s="95"/>
    </row>
    <row r="316" ht="15.75" customHeight="1">
      <c r="F316" s="95"/>
    </row>
    <row r="317" ht="15.75" customHeight="1">
      <c r="F317" s="95"/>
    </row>
    <row r="318" ht="15.75" customHeight="1">
      <c r="F318" s="95"/>
    </row>
    <row r="319" ht="15.75" customHeight="1">
      <c r="F319" s="95"/>
    </row>
    <row r="320" ht="15.75" customHeight="1">
      <c r="F320" s="95"/>
    </row>
    <row r="321" ht="15.75" customHeight="1">
      <c r="F321" s="95"/>
    </row>
    <row r="322" ht="15.75" customHeight="1">
      <c r="F322" s="95"/>
    </row>
    <row r="323" ht="15.75" customHeight="1">
      <c r="F323" s="95"/>
    </row>
    <row r="324" ht="15.75" customHeight="1">
      <c r="F324" s="95"/>
    </row>
    <row r="325" ht="15.75" customHeight="1">
      <c r="F325" s="95"/>
    </row>
    <row r="326" ht="15.75" customHeight="1">
      <c r="F326" s="95"/>
    </row>
    <row r="327" ht="15.75" customHeight="1">
      <c r="F327" s="95"/>
    </row>
    <row r="328" ht="15.75" customHeight="1">
      <c r="F328" s="95"/>
    </row>
    <row r="329" ht="15.75" customHeight="1">
      <c r="F329" s="95"/>
    </row>
    <row r="330" ht="15.75" customHeight="1">
      <c r="F330" s="95"/>
    </row>
    <row r="331" ht="15.75" customHeight="1">
      <c r="F331" s="95"/>
    </row>
    <row r="332" ht="15.75" customHeight="1">
      <c r="F332" s="95"/>
    </row>
    <row r="333" ht="15.75" customHeight="1">
      <c r="F333" s="95"/>
    </row>
    <row r="334" ht="15.75" customHeight="1">
      <c r="F334" s="95"/>
    </row>
    <row r="335" ht="15.75" customHeight="1">
      <c r="F335" s="95"/>
    </row>
    <row r="336" ht="15.75" customHeight="1">
      <c r="F336" s="95"/>
    </row>
    <row r="337" ht="15.75" customHeight="1">
      <c r="F337" s="95"/>
    </row>
    <row r="338" ht="15.75" customHeight="1">
      <c r="F338" s="95"/>
    </row>
    <row r="339" ht="15.75" customHeight="1">
      <c r="F339" s="95"/>
    </row>
    <row r="340" ht="15.75" customHeight="1">
      <c r="F340" s="95"/>
    </row>
    <row r="341" ht="15.75" customHeight="1">
      <c r="F341" s="95"/>
    </row>
    <row r="342" ht="15.75" customHeight="1">
      <c r="F342" s="95"/>
    </row>
    <row r="343" ht="15.75" customHeight="1">
      <c r="F343" s="95"/>
    </row>
    <row r="344" ht="15.75" customHeight="1">
      <c r="F344" s="95"/>
    </row>
    <row r="345" ht="15.75" customHeight="1">
      <c r="F345" s="95"/>
    </row>
    <row r="346" ht="15.75" customHeight="1">
      <c r="F346" s="95"/>
    </row>
    <row r="347" ht="15.75" customHeight="1">
      <c r="F347" s="95"/>
    </row>
    <row r="348" ht="15.75" customHeight="1">
      <c r="F348" s="95"/>
    </row>
    <row r="349" ht="15.75" customHeight="1">
      <c r="F349" s="95"/>
    </row>
    <row r="350" ht="15.75" customHeight="1">
      <c r="F350" s="95"/>
    </row>
    <row r="351" ht="15.75" customHeight="1">
      <c r="F351" s="95"/>
    </row>
    <row r="352" ht="15.75" customHeight="1">
      <c r="F352" s="95"/>
    </row>
    <row r="353" ht="15.75" customHeight="1">
      <c r="F353" s="95"/>
    </row>
    <row r="354" ht="15.75" customHeight="1">
      <c r="F354" s="95"/>
    </row>
    <row r="355" ht="15.75" customHeight="1">
      <c r="F355" s="95"/>
    </row>
    <row r="356" ht="15.75" customHeight="1">
      <c r="F356" s="95"/>
    </row>
    <row r="357" ht="15.75" customHeight="1">
      <c r="F357" s="95"/>
    </row>
    <row r="358" ht="15.75" customHeight="1">
      <c r="F358" s="95"/>
    </row>
    <row r="359" ht="15.75" customHeight="1">
      <c r="F359" s="95"/>
    </row>
    <row r="360" ht="15.75" customHeight="1">
      <c r="F360" s="95"/>
    </row>
    <row r="361" ht="15.75" customHeight="1">
      <c r="F361" s="95"/>
    </row>
    <row r="362" ht="15.75" customHeight="1">
      <c r="F362" s="95"/>
    </row>
    <row r="363" ht="15.75" customHeight="1">
      <c r="F363" s="95"/>
    </row>
    <row r="364" ht="15.75" customHeight="1">
      <c r="F364" s="95"/>
    </row>
    <row r="365" ht="15.75" customHeight="1">
      <c r="F365" s="95"/>
    </row>
    <row r="366" ht="15.75" customHeight="1">
      <c r="F366" s="95"/>
    </row>
    <row r="367" ht="15.75" customHeight="1">
      <c r="F367" s="95"/>
    </row>
    <row r="368" ht="15.75" customHeight="1">
      <c r="F368" s="95"/>
    </row>
    <row r="369" ht="15.75" customHeight="1">
      <c r="F369" s="95"/>
    </row>
    <row r="370" ht="15.75" customHeight="1">
      <c r="F370" s="95"/>
    </row>
    <row r="371" ht="15.75" customHeight="1">
      <c r="F371" s="95"/>
    </row>
    <row r="372" ht="15.75" customHeight="1">
      <c r="F372" s="95"/>
    </row>
    <row r="373" ht="15.75" customHeight="1">
      <c r="F373" s="95"/>
    </row>
    <row r="374" ht="15.75" customHeight="1">
      <c r="F374" s="95"/>
    </row>
    <row r="375" ht="15.75" customHeight="1">
      <c r="F375" s="95"/>
    </row>
    <row r="376" ht="15.75" customHeight="1">
      <c r="F376" s="95"/>
    </row>
    <row r="377" ht="15.75" customHeight="1">
      <c r="F377" s="95"/>
    </row>
    <row r="378" ht="15.75" customHeight="1">
      <c r="F378" s="95"/>
    </row>
    <row r="379" ht="15.75" customHeight="1">
      <c r="F379" s="95"/>
    </row>
    <row r="380" ht="15.75" customHeight="1">
      <c r="F380" s="95"/>
    </row>
    <row r="381" ht="15.75" customHeight="1">
      <c r="F381" s="95"/>
    </row>
    <row r="382" ht="15.75" customHeight="1">
      <c r="F382" s="95"/>
    </row>
    <row r="383" ht="15.75" customHeight="1">
      <c r="F383" s="95"/>
    </row>
    <row r="384" ht="15.75" customHeight="1">
      <c r="F384" s="95"/>
    </row>
    <row r="385" ht="15.75" customHeight="1">
      <c r="F385" s="95"/>
    </row>
    <row r="386" ht="15.75" customHeight="1">
      <c r="F386" s="95"/>
    </row>
    <row r="387" ht="15.75" customHeight="1">
      <c r="F387" s="95"/>
    </row>
    <row r="388" ht="15.75" customHeight="1">
      <c r="F388" s="95"/>
    </row>
    <row r="389" ht="15.75" customHeight="1">
      <c r="F389" s="95"/>
    </row>
    <row r="390" ht="15.75" customHeight="1">
      <c r="F390" s="95"/>
    </row>
    <row r="391" ht="15.75" customHeight="1">
      <c r="F391" s="95"/>
    </row>
    <row r="392" ht="15.75" customHeight="1">
      <c r="F392" s="95"/>
    </row>
    <row r="393" ht="15.75" customHeight="1">
      <c r="F393" s="95"/>
    </row>
    <row r="394" ht="15.75" customHeight="1">
      <c r="F394" s="95"/>
    </row>
    <row r="395" ht="15.75" customHeight="1">
      <c r="F395" s="95"/>
    </row>
    <row r="396" ht="15.75" customHeight="1">
      <c r="F396" s="95"/>
    </row>
    <row r="397" ht="15.75" customHeight="1">
      <c r="F397" s="95"/>
    </row>
    <row r="398" ht="15.75" customHeight="1">
      <c r="F398" s="95"/>
    </row>
    <row r="399" ht="15.75" customHeight="1">
      <c r="F399" s="95"/>
    </row>
    <row r="400" ht="15.75" customHeight="1">
      <c r="F400" s="95"/>
    </row>
    <row r="401" ht="15.75" customHeight="1">
      <c r="F401" s="95"/>
    </row>
    <row r="402" ht="15.75" customHeight="1">
      <c r="F402" s="95"/>
    </row>
    <row r="403" ht="15.75" customHeight="1">
      <c r="F403" s="95"/>
    </row>
    <row r="404" ht="15.75" customHeight="1">
      <c r="F404" s="95"/>
    </row>
    <row r="405" ht="15.75" customHeight="1">
      <c r="F405" s="95"/>
    </row>
    <row r="406" ht="15.75" customHeight="1">
      <c r="F406" s="95"/>
    </row>
    <row r="407" ht="15.75" customHeight="1">
      <c r="F407" s="95"/>
    </row>
    <row r="408" ht="15.75" customHeight="1">
      <c r="F408" s="95"/>
    </row>
    <row r="409" ht="15.75" customHeight="1">
      <c r="F409" s="95"/>
    </row>
    <row r="410" ht="15.75" customHeight="1">
      <c r="F410" s="95"/>
    </row>
    <row r="411" ht="15.75" customHeight="1">
      <c r="F411" s="95"/>
    </row>
    <row r="412" ht="15.75" customHeight="1">
      <c r="F412" s="95"/>
    </row>
    <row r="413" ht="15.75" customHeight="1">
      <c r="F413" s="95"/>
    </row>
    <row r="414" ht="15.75" customHeight="1">
      <c r="F414" s="95"/>
    </row>
    <row r="415" ht="15.75" customHeight="1">
      <c r="F415" s="95"/>
    </row>
    <row r="416" ht="15.75" customHeight="1">
      <c r="F416" s="95"/>
    </row>
    <row r="417" ht="15.75" customHeight="1">
      <c r="F417" s="95"/>
    </row>
    <row r="418" ht="15.75" customHeight="1">
      <c r="F418" s="95"/>
    </row>
    <row r="419" ht="15.75" customHeight="1">
      <c r="F419" s="95"/>
    </row>
    <row r="420" ht="15.75" customHeight="1">
      <c r="F420" s="95"/>
    </row>
    <row r="421" ht="15.75" customHeight="1">
      <c r="F421" s="95"/>
    </row>
    <row r="422" ht="15.75" customHeight="1">
      <c r="F422" s="95"/>
    </row>
    <row r="423" ht="15.75" customHeight="1">
      <c r="F423" s="95"/>
    </row>
    <row r="424" ht="15.75" customHeight="1">
      <c r="F424" s="95"/>
    </row>
    <row r="425" ht="15.75" customHeight="1">
      <c r="F425" s="95"/>
    </row>
    <row r="426" ht="15.75" customHeight="1">
      <c r="F426" s="95"/>
    </row>
    <row r="427" ht="15.75" customHeight="1">
      <c r="F427" s="95"/>
    </row>
    <row r="428" ht="15.75" customHeight="1">
      <c r="F428" s="95"/>
    </row>
    <row r="429" ht="15.75" customHeight="1">
      <c r="F429" s="95"/>
    </row>
    <row r="430" ht="15.75" customHeight="1">
      <c r="F430" s="95"/>
    </row>
    <row r="431" ht="15.75" customHeight="1">
      <c r="F431" s="95"/>
    </row>
    <row r="432" ht="15.75" customHeight="1">
      <c r="F432" s="95"/>
    </row>
    <row r="433" ht="15.75" customHeight="1">
      <c r="F433" s="95"/>
    </row>
    <row r="434" ht="15.75" customHeight="1">
      <c r="F434" s="95"/>
    </row>
    <row r="435" ht="15.75" customHeight="1">
      <c r="F435" s="95"/>
    </row>
    <row r="436" ht="15.75" customHeight="1">
      <c r="F436" s="95"/>
    </row>
    <row r="437" ht="15.75" customHeight="1">
      <c r="F437" s="95"/>
    </row>
    <row r="438" ht="15.75" customHeight="1">
      <c r="F438" s="95"/>
    </row>
    <row r="439" ht="15.75" customHeight="1">
      <c r="F439" s="95"/>
    </row>
    <row r="440" ht="15.75" customHeight="1">
      <c r="F440" s="95"/>
    </row>
    <row r="441" ht="15.75" customHeight="1">
      <c r="F441" s="95"/>
    </row>
    <row r="442" ht="15.75" customHeight="1">
      <c r="F442" s="95"/>
    </row>
    <row r="443" ht="15.75" customHeight="1">
      <c r="F443" s="95"/>
    </row>
    <row r="444" ht="15.75" customHeight="1">
      <c r="F444" s="95"/>
    </row>
    <row r="445" ht="15.75" customHeight="1">
      <c r="F445" s="95"/>
    </row>
    <row r="446" ht="15.75" customHeight="1">
      <c r="F446" s="95"/>
    </row>
    <row r="447" ht="15.75" customHeight="1">
      <c r="F447" s="95"/>
    </row>
    <row r="448" ht="15.75" customHeight="1">
      <c r="F448" s="95"/>
    </row>
    <row r="449" ht="15.75" customHeight="1">
      <c r="F449" s="95"/>
    </row>
    <row r="450" ht="15.75" customHeight="1">
      <c r="F450" s="95"/>
    </row>
    <row r="451" ht="15.75" customHeight="1">
      <c r="F451" s="95"/>
    </row>
    <row r="452" ht="15.75" customHeight="1">
      <c r="F452" s="95"/>
    </row>
    <row r="453" ht="15.75" customHeight="1">
      <c r="F453" s="95"/>
    </row>
    <row r="454" ht="15.75" customHeight="1">
      <c r="F454" s="95"/>
    </row>
    <row r="455" ht="15.75" customHeight="1">
      <c r="F455" s="95"/>
    </row>
    <row r="456" ht="15.75" customHeight="1">
      <c r="F456" s="95"/>
    </row>
    <row r="457" ht="15.75" customHeight="1">
      <c r="F457" s="95"/>
    </row>
    <row r="458" ht="15.75" customHeight="1">
      <c r="F458" s="95"/>
    </row>
    <row r="459" ht="15.75" customHeight="1">
      <c r="F459" s="95"/>
    </row>
    <row r="460" ht="15.75" customHeight="1">
      <c r="F460" s="95"/>
    </row>
    <row r="461" ht="15.75" customHeight="1">
      <c r="F461" s="95"/>
    </row>
    <row r="462" ht="15.75" customHeight="1">
      <c r="F462" s="95"/>
    </row>
    <row r="463" ht="15.75" customHeight="1">
      <c r="F463" s="95"/>
    </row>
    <row r="464" ht="15.75" customHeight="1">
      <c r="F464" s="95"/>
    </row>
    <row r="465" ht="15.75" customHeight="1">
      <c r="F465" s="95"/>
    </row>
    <row r="466" ht="15.75" customHeight="1">
      <c r="F466" s="95"/>
    </row>
    <row r="467" ht="15.75" customHeight="1">
      <c r="F467" s="95"/>
    </row>
    <row r="468" ht="15.75" customHeight="1">
      <c r="F468" s="95"/>
    </row>
    <row r="469" ht="15.75" customHeight="1">
      <c r="F469" s="95"/>
    </row>
    <row r="470" ht="15.75" customHeight="1">
      <c r="F470" s="95"/>
    </row>
    <row r="471" ht="15.75" customHeight="1">
      <c r="F471" s="95"/>
    </row>
    <row r="472" ht="15.75" customHeight="1">
      <c r="F472" s="95"/>
    </row>
    <row r="473" ht="15.75" customHeight="1">
      <c r="F473" s="95"/>
    </row>
    <row r="474" ht="15.75" customHeight="1">
      <c r="F474" s="95"/>
    </row>
    <row r="475" ht="15.75" customHeight="1">
      <c r="F475" s="95"/>
    </row>
    <row r="476" ht="15.75" customHeight="1">
      <c r="F476" s="95"/>
    </row>
    <row r="477" ht="15.75" customHeight="1">
      <c r="F477" s="95"/>
    </row>
    <row r="478" ht="15.75" customHeight="1">
      <c r="F478" s="95"/>
    </row>
    <row r="479" ht="15.75" customHeight="1">
      <c r="F479" s="95"/>
    </row>
    <row r="480" ht="15.75" customHeight="1">
      <c r="F480" s="95"/>
    </row>
    <row r="481" ht="15.75" customHeight="1">
      <c r="F481" s="95"/>
    </row>
    <row r="482" ht="15.75" customHeight="1">
      <c r="F482" s="95"/>
    </row>
    <row r="483" ht="15.75" customHeight="1">
      <c r="F483" s="95"/>
    </row>
    <row r="484" ht="15.75" customHeight="1">
      <c r="F484" s="95"/>
    </row>
    <row r="485" ht="15.75" customHeight="1">
      <c r="F485" s="95"/>
    </row>
    <row r="486" ht="15.75" customHeight="1">
      <c r="F486" s="95"/>
    </row>
    <row r="487" ht="15.75" customHeight="1">
      <c r="F487" s="95"/>
    </row>
    <row r="488" ht="15.75" customHeight="1">
      <c r="F488" s="95"/>
    </row>
    <row r="489" ht="15.75" customHeight="1">
      <c r="F489" s="95"/>
    </row>
    <row r="490" ht="15.75" customHeight="1">
      <c r="F490" s="95"/>
    </row>
    <row r="491" ht="15.75" customHeight="1">
      <c r="F491" s="95"/>
    </row>
    <row r="492" ht="15.75" customHeight="1">
      <c r="F492" s="95"/>
    </row>
    <row r="493" ht="15.75" customHeight="1">
      <c r="F493" s="95"/>
    </row>
    <row r="494" ht="15.75" customHeight="1">
      <c r="F494" s="95"/>
    </row>
    <row r="495" ht="15.75" customHeight="1">
      <c r="F495" s="95"/>
    </row>
    <row r="496" ht="15.75" customHeight="1">
      <c r="F496" s="95"/>
    </row>
    <row r="497" ht="15.75" customHeight="1">
      <c r="F497" s="95"/>
    </row>
    <row r="498" ht="15.75" customHeight="1">
      <c r="F498" s="95"/>
    </row>
    <row r="499" ht="15.75" customHeight="1">
      <c r="F499" s="95"/>
    </row>
    <row r="500" ht="15.75" customHeight="1">
      <c r="F500" s="95"/>
    </row>
    <row r="501" ht="15.75" customHeight="1">
      <c r="F501" s="95"/>
    </row>
    <row r="502" ht="15.75" customHeight="1">
      <c r="F502" s="95"/>
    </row>
    <row r="503" ht="15.75" customHeight="1">
      <c r="F503" s="95"/>
    </row>
    <row r="504" ht="15.75" customHeight="1">
      <c r="F504" s="95"/>
    </row>
    <row r="505" ht="15.75" customHeight="1">
      <c r="F505" s="95"/>
    </row>
    <row r="506" ht="15.75" customHeight="1">
      <c r="F506" s="95"/>
    </row>
    <row r="507" ht="15.75" customHeight="1">
      <c r="F507" s="95"/>
    </row>
    <row r="508" ht="15.75" customHeight="1">
      <c r="F508" s="95"/>
    </row>
    <row r="509" ht="15.75" customHeight="1">
      <c r="F509" s="95"/>
    </row>
    <row r="510" ht="15.75" customHeight="1">
      <c r="F510" s="95"/>
    </row>
    <row r="511" ht="15.75" customHeight="1">
      <c r="F511" s="95"/>
    </row>
    <row r="512" ht="15.75" customHeight="1">
      <c r="F512" s="95"/>
    </row>
    <row r="513" ht="15.75" customHeight="1">
      <c r="F513" s="95"/>
    </row>
    <row r="514" ht="15.75" customHeight="1">
      <c r="F514" s="95"/>
    </row>
    <row r="515" ht="15.75" customHeight="1">
      <c r="F515" s="95"/>
    </row>
    <row r="516" ht="15.75" customHeight="1">
      <c r="F516" s="95"/>
    </row>
    <row r="517" ht="15.75" customHeight="1">
      <c r="F517" s="95"/>
    </row>
    <row r="518" ht="15.75" customHeight="1">
      <c r="F518" s="95"/>
    </row>
    <row r="519" ht="15.75" customHeight="1">
      <c r="F519" s="95"/>
    </row>
    <row r="520" ht="15.75" customHeight="1">
      <c r="F520" s="95"/>
    </row>
    <row r="521" ht="15.75" customHeight="1">
      <c r="F521" s="95"/>
    </row>
    <row r="522" ht="15.75" customHeight="1">
      <c r="F522" s="95"/>
    </row>
    <row r="523" ht="15.75" customHeight="1">
      <c r="F523" s="95"/>
    </row>
    <row r="524" ht="15.75" customHeight="1">
      <c r="F524" s="95"/>
    </row>
    <row r="525" ht="15.75" customHeight="1">
      <c r="F525" s="95"/>
    </row>
    <row r="526" ht="15.75" customHeight="1">
      <c r="F526" s="95"/>
    </row>
    <row r="527" ht="15.75" customHeight="1">
      <c r="F527" s="95"/>
    </row>
    <row r="528" ht="15.75" customHeight="1">
      <c r="F528" s="95"/>
    </row>
    <row r="529" ht="15.75" customHeight="1">
      <c r="F529" s="95"/>
    </row>
    <row r="530" ht="15.75" customHeight="1">
      <c r="F530" s="95"/>
    </row>
    <row r="531" ht="15.75" customHeight="1">
      <c r="F531" s="95"/>
    </row>
    <row r="532" ht="15.75" customHeight="1">
      <c r="F532" s="95"/>
    </row>
    <row r="533" ht="15.75" customHeight="1">
      <c r="F533" s="95"/>
    </row>
    <row r="534" ht="15.75" customHeight="1">
      <c r="F534" s="95"/>
    </row>
    <row r="535" ht="15.75" customHeight="1">
      <c r="F535" s="95"/>
    </row>
    <row r="536" ht="15.75" customHeight="1">
      <c r="F536" s="95"/>
    </row>
    <row r="537" ht="15.75" customHeight="1">
      <c r="F537" s="95"/>
    </row>
    <row r="538" ht="15.75" customHeight="1">
      <c r="F538" s="95"/>
    </row>
  </sheetData>
  <autoFilter ref="$A$2:$R$2"/>
  <mergeCells count="2">
    <mergeCell ref="A1:R1"/>
    <mergeCell ref="A222:R222"/>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9.0"/>
    <col customWidth="1" min="2" max="2" width="10.0"/>
    <col customWidth="1" min="3" max="3" width="26.0"/>
    <col customWidth="1" min="4" max="4" width="16.0"/>
    <col customWidth="1" min="5" max="5" width="30.0"/>
    <col customWidth="1" min="6" max="6" width="10.0"/>
    <col customWidth="1" min="7" max="7" width="18.0"/>
    <col customWidth="1" min="8" max="8" width="9.0"/>
    <col customWidth="1" min="9" max="9" width="20.0"/>
    <col customWidth="1" min="10" max="10" width="7.0"/>
    <col customWidth="1" min="11" max="11" width="34.0"/>
    <col customWidth="1" min="12" max="12" width="40.0"/>
    <col customWidth="1" min="13" max="13" width="12.0"/>
    <col customWidth="1" min="14" max="14" width="10.0"/>
    <col customWidth="1" min="15" max="16" width="12.0"/>
    <col customWidth="1" min="17" max="17" width="14.0"/>
    <col customWidth="1" min="18" max="18" width="16.0"/>
    <col customWidth="1" min="19" max="19" width="12.0"/>
    <col customWidth="1" min="20" max="20" width="40.0"/>
    <col customWidth="1" min="21" max="21" width="12.0"/>
    <col customWidth="1" min="22" max="22" width="26.0"/>
    <col customWidth="1" min="23" max="24" width="12.0"/>
    <col customWidth="1" min="25" max="26" width="16.0"/>
  </cols>
  <sheetData>
    <row r="1" ht="27.75" customHeight="1">
      <c r="A1" s="7" t="s">
        <v>594</v>
      </c>
      <c r="B1" s="2"/>
      <c r="C1" s="2"/>
      <c r="D1" s="2"/>
      <c r="E1" s="2"/>
      <c r="F1" s="2"/>
      <c r="G1" s="2"/>
      <c r="H1" s="2"/>
      <c r="I1" s="2"/>
      <c r="J1" s="2"/>
      <c r="K1" s="2"/>
      <c r="L1" s="2"/>
      <c r="M1" s="2"/>
      <c r="N1" s="2"/>
      <c r="O1" s="2"/>
      <c r="P1" s="2"/>
      <c r="Q1" s="2"/>
      <c r="R1" s="2"/>
      <c r="S1" s="2"/>
      <c r="T1" s="2"/>
      <c r="U1" s="2"/>
      <c r="V1" s="2"/>
      <c r="W1" s="2"/>
      <c r="X1" s="2"/>
      <c r="Y1" s="2"/>
      <c r="Z1" s="3"/>
    </row>
    <row r="2" ht="15.75" customHeight="1">
      <c r="A2" s="76" t="s">
        <v>600</v>
      </c>
      <c r="B2" s="2"/>
      <c r="C2" s="2"/>
      <c r="D2" s="2"/>
      <c r="E2" s="2"/>
      <c r="F2" s="2"/>
      <c r="G2" s="2"/>
      <c r="H2" s="2"/>
      <c r="I2" s="2"/>
      <c r="J2" s="2"/>
      <c r="K2" s="2"/>
      <c r="L2" s="3"/>
      <c r="M2" s="77" t="s">
        <v>601</v>
      </c>
      <c r="N2" s="2"/>
      <c r="O2" s="2"/>
      <c r="P2" s="2"/>
      <c r="Q2" s="2"/>
      <c r="R2" s="2"/>
      <c r="S2" s="3"/>
      <c r="T2" s="78" t="s">
        <v>610</v>
      </c>
      <c r="U2" s="2"/>
      <c r="V2" s="3"/>
      <c r="W2" s="79" t="s">
        <v>613</v>
      </c>
      <c r="X2" s="2"/>
      <c r="Y2" s="2"/>
      <c r="Z2" s="3"/>
    </row>
    <row r="3">
      <c r="A3" s="9" t="s">
        <v>614</v>
      </c>
      <c r="B3" s="9" t="s">
        <v>351</v>
      </c>
      <c r="C3" s="9" t="s">
        <v>20</v>
      </c>
      <c r="D3" s="9" t="s">
        <v>25</v>
      </c>
      <c r="E3" s="9" t="s">
        <v>28</v>
      </c>
      <c r="F3" s="9" t="s">
        <v>615</v>
      </c>
      <c r="G3" s="9" t="s">
        <v>616</v>
      </c>
      <c r="H3" s="9" t="s">
        <v>9</v>
      </c>
      <c r="I3" s="9" t="s">
        <v>12</v>
      </c>
      <c r="J3" s="9" t="s">
        <v>193</v>
      </c>
      <c r="K3" s="9" t="s">
        <v>14</v>
      </c>
      <c r="L3" s="9" t="s">
        <v>619</v>
      </c>
      <c r="M3" s="9" t="s">
        <v>620</v>
      </c>
      <c r="N3" s="9" t="s">
        <v>621</v>
      </c>
      <c r="O3" s="9" t="s">
        <v>333</v>
      </c>
      <c r="P3" s="9" t="s">
        <v>334</v>
      </c>
      <c r="Q3" s="9" t="s">
        <v>622</v>
      </c>
      <c r="R3" s="9" t="s">
        <v>623</v>
      </c>
      <c r="S3" s="9" t="s">
        <v>624</v>
      </c>
      <c r="T3" s="9" t="s">
        <v>625</v>
      </c>
      <c r="U3" s="9" t="s">
        <v>626</v>
      </c>
      <c r="V3" s="9" t="s">
        <v>57</v>
      </c>
      <c r="W3" s="9" t="s">
        <v>627</v>
      </c>
      <c r="X3" s="9" t="s">
        <v>628</v>
      </c>
      <c r="Y3" s="9" t="s">
        <v>629</v>
      </c>
      <c r="Z3" s="9" t="s">
        <v>630</v>
      </c>
    </row>
    <row r="4" ht="15.75" customHeight="1">
      <c r="A4" s="14" t="s">
        <v>631</v>
      </c>
      <c r="B4" s="14">
        <v>1.0</v>
      </c>
      <c r="C4" s="14" t="str">
        <f t="array" ref="C4">IFERROR(INDEX(DOCUMENTOS!$B:$B,MATCH($B4,DOCUMENTOS!$A:$A,0)),"")</f>
        <v>Grupo 4 - Informação Financeira</v>
      </c>
      <c r="D4" s="14" t="str">
        <f t="array" ref="D4">IFERROR(INDEX(DOCUMENTOS!$D:$D,MATCH($B4,DOCUMENTOS!$A:$A,0)),"")</f>
        <v>Planilha de Custos</v>
      </c>
      <c r="E4" s="14" t="str">
        <f t="array" ref="E4">IFERROR(INDEX(DOCUMENTOS!$E:$E,MATCH($B4,DOCUMENTOS!$A:$A,0)),"")</f>
        <v>Planilha Mapa Comparativo de Preços</v>
      </c>
      <c r="F4" s="14" t="str">
        <f t="array" ref="F4">IFERROR(INDEX(DOCUMENTOS!$G:$G,MATCH($B4,DOCUMENTOS!$A:$A,0)),"")</f>
        <v>0631096</v>
      </c>
      <c r="G4" s="14" t="str">
        <f t="array" ref="G4">IFERROR(INDEX(DOCUMENTOS!$H:$H,MATCH($B4,DOCUMENTOS!$A:$A,0)),"")</f>
        <v>23854.007448/2024-94</v>
      </c>
      <c r="H4" s="14" t="s">
        <v>33</v>
      </c>
      <c r="I4" s="14" t="str">
        <f t="array" ref="I4">IFERROR(INDEX('BANCO DE PERGUNTAS'!$B:$B,MATCH($H4,'BANCO DE PERGUNTAS'!$A:$A,0)),"")</f>
        <v>Identificação</v>
      </c>
      <c r="J4" s="14">
        <f t="array" ref="J4">IFERROR(INDEX('BANCO DE PERGUNTAS'!$H:$H,MATCH($H4,'BANCO DE PERGUNTAS'!$A:$A,0)),"")</f>
        <v>1</v>
      </c>
      <c r="K4" s="14" t="str">
        <f t="array" ref="K4">IFERROR(INDEX('BANCO DE PERGUNTAS'!$D:$D,MATCH($H4,'BANCO DE PERGUNTAS'!$A:$A,0)),"")</f>
        <v>Qual é o objeto principal deste documento?</v>
      </c>
      <c r="L4" s="14" t="str">
        <f t="array" ref="L4">IFERROR(INDEX('BANCO DE PERGUNTAS'!$E:$E,MATCH($H4,'BANCO DE PERGUNTAS'!$A:$A,0)),"")</f>
        <v>Com base exclusivamente no documento fornecido, responda: Qual é o objeto principal deste documento? Caso a informação não conste no documento, declare explicitamente 'não consta no documento'.</v>
      </c>
      <c r="M4" s="80"/>
      <c r="N4" s="14"/>
      <c r="O4" s="14"/>
      <c r="P4" s="14"/>
      <c r="S4" s="14"/>
      <c r="T4" s="14"/>
      <c r="U4" s="14"/>
      <c r="V4" s="14"/>
      <c r="W4" s="14"/>
      <c r="X4" s="14"/>
      <c r="Y4" s="14"/>
      <c r="Z4" s="14"/>
    </row>
    <row r="5" ht="15.75" customHeight="1">
      <c r="A5" s="11" t="s">
        <v>671</v>
      </c>
      <c r="B5" s="11">
        <v>1.0</v>
      </c>
      <c r="C5" s="11" t="str">
        <f t="array" ref="C5">IFERROR(INDEX(DOCUMENTOS!$B:$B,MATCH($B5,DOCUMENTOS!$A:$A,0)),"")</f>
        <v>Grupo 4 - Informação Financeira</v>
      </c>
      <c r="D5" s="11" t="str">
        <f t="array" ref="D5">IFERROR(INDEX(DOCUMENTOS!$D:$D,MATCH($B5,DOCUMENTOS!$A:$A,0)),"")</f>
        <v>Planilha de Custos</v>
      </c>
      <c r="E5" s="11" t="str">
        <f t="array" ref="E5">IFERROR(INDEX(DOCUMENTOS!$E:$E,MATCH($B5,DOCUMENTOS!$A:$A,0)),"")</f>
        <v>Planilha Mapa Comparativo de Preços</v>
      </c>
      <c r="F5" s="11" t="str">
        <f t="array" ref="F5">IFERROR(INDEX(DOCUMENTOS!$G:$G,MATCH($B5,DOCUMENTOS!$A:$A,0)),"")</f>
        <v>0631096</v>
      </c>
      <c r="G5" s="11" t="str">
        <f t="array" ref="G5">IFERROR(INDEX(DOCUMENTOS!$H:$H,MATCH($B5,DOCUMENTOS!$A:$A,0)),"")</f>
        <v>23854.007448/2024-94</v>
      </c>
      <c r="H5" s="11" t="s">
        <v>68</v>
      </c>
      <c r="I5" s="11" t="str">
        <f t="array" ref="I5">IFERROR(INDEX('BANCO DE PERGUNTAS'!$B:$B,MATCH($H5,'BANCO DE PERGUNTAS'!$A:$A,0)),"")</f>
        <v>Identificação</v>
      </c>
      <c r="J5" s="11">
        <f t="array" ref="J5">IFERROR(INDEX('BANCO DE PERGUNTAS'!$H:$H,MATCH($H5,'BANCO DE PERGUNTAS'!$A:$A,0)),"")</f>
        <v>1</v>
      </c>
      <c r="K5" s="11" t="str">
        <f t="array" ref="K5">IFERROR(INDEX('BANCO DE PERGUNTAS'!$D:$D,MATCH($H5,'BANCO DE PERGUNTAS'!$A:$A,0)),"")</f>
        <v>Qual é o número ou identificação do documento?</v>
      </c>
      <c r="L5" s="11" t="str">
        <f t="array" ref="L5">IFERROR(INDEX('BANCO DE PERGUNTAS'!$E:$E,MATCH($H5,'BANCO DE PERGUNTAS'!$A:$A,0)),"")</f>
        <v>Com base exclusivamente no documento fornecido, responda: Qual é o número ou identificação do documento? Caso a informação não conste no documento, declare explicitamente 'não consta no documento'.</v>
      </c>
      <c r="M5" s="11"/>
      <c r="N5" s="11"/>
      <c r="O5" s="11"/>
      <c r="P5" s="11"/>
      <c r="Q5" s="11"/>
      <c r="R5" s="11"/>
      <c r="S5" s="11"/>
      <c r="T5" s="11"/>
      <c r="U5" s="11"/>
      <c r="V5" s="11"/>
      <c r="W5" s="11"/>
      <c r="X5" s="11"/>
      <c r="Y5" s="11"/>
      <c r="Z5" s="11"/>
    </row>
    <row r="6" ht="15.75" customHeight="1">
      <c r="A6" s="14" t="s">
        <v>711</v>
      </c>
      <c r="B6" s="14">
        <v>1.0</v>
      </c>
      <c r="C6" s="14" t="str">
        <f t="array" ref="C6">IFERROR(INDEX(DOCUMENTOS!$B:$B,MATCH($B6,DOCUMENTOS!$A:$A,0)),"")</f>
        <v>Grupo 4 - Informação Financeira</v>
      </c>
      <c r="D6" s="14" t="str">
        <f t="array" ref="D6">IFERROR(INDEX(DOCUMENTOS!$D:$D,MATCH($B6,DOCUMENTOS!$A:$A,0)),"")</f>
        <v>Planilha de Custos</v>
      </c>
      <c r="E6" s="14" t="str">
        <f t="array" ref="E6">IFERROR(INDEX(DOCUMENTOS!$E:$E,MATCH($B6,DOCUMENTOS!$A:$A,0)),"")</f>
        <v>Planilha Mapa Comparativo de Preços</v>
      </c>
      <c r="F6" s="14" t="str">
        <f t="array" ref="F6">IFERROR(INDEX(DOCUMENTOS!$G:$G,MATCH($B6,DOCUMENTOS!$A:$A,0)),"")</f>
        <v>0631096</v>
      </c>
      <c r="G6" s="14" t="str">
        <f t="array" ref="G6">IFERROR(INDEX(DOCUMENTOS!$H:$H,MATCH($B6,DOCUMENTOS!$A:$A,0)),"")</f>
        <v>23854.007448/2024-94</v>
      </c>
      <c r="H6" s="14" t="s">
        <v>90</v>
      </c>
      <c r="I6" s="14" t="str">
        <f t="array" ref="I6">IFERROR(INDEX('BANCO DE PERGUNTAS'!$B:$B,MATCH($H6,'BANCO DE PERGUNTAS'!$A:$A,0)),"")</f>
        <v>Identificação</v>
      </c>
      <c r="J6" s="14">
        <f t="array" ref="J6">IFERROR(INDEX('BANCO DE PERGUNTAS'!$H:$H,MATCH($H6,'BANCO DE PERGUNTAS'!$A:$A,0)),"")</f>
        <v>1</v>
      </c>
      <c r="K6" s="14" t="str">
        <f t="array" ref="K6">IFERROR(INDEX('BANCO DE PERGUNTAS'!$D:$D,MATCH($H6,'BANCO DE PERGUNTAS'!$A:$A,0)),"")</f>
        <v>Qual é o número do processo relacionado?</v>
      </c>
      <c r="L6" s="14" t="str">
        <f t="array" ref="L6">IFERROR(INDEX('BANCO DE PERGUNTAS'!$E:$E,MATCH($H6,'BANCO DE PERGUNTAS'!$A:$A,0)),"")</f>
        <v>Com base exclusivamente no documento fornecido, responda: Qual é o número do processo relacionado? Caso a informação não conste no documento, declare explicitamente 'não consta no documento'.</v>
      </c>
      <c r="M6" s="14"/>
      <c r="N6" s="14"/>
      <c r="O6" s="14"/>
      <c r="P6" s="14"/>
      <c r="Q6" s="14"/>
      <c r="R6" s="14"/>
      <c r="S6" s="14"/>
      <c r="T6" s="14"/>
      <c r="U6" s="14"/>
      <c r="V6" s="14"/>
      <c r="W6" s="14"/>
      <c r="X6" s="14"/>
      <c r="Y6" s="14"/>
      <c r="Z6" s="14"/>
    </row>
    <row r="7" ht="15.75" customHeight="1">
      <c r="A7" s="11" t="s">
        <v>748</v>
      </c>
      <c r="B7" s="11">
        <v>2.0</v>
      </c>
      <c r="C7" s="11" t="str">
        <f t="array" ref="C7">IFERROR(INDEX(DOCUMENTOS!$B:$B,MATCH($B7,DOCUMENTOS!$A:$A,0)),"")</f>
        <v>Grupo 4 - Informação Financeira</v>
      </c>
      <c r="D7" s="11" t="str">
        <f t="array" ref="D7">IFERROR(INDEX(DOCUMENTOS!$D:$D,MATCH($B7,DOCUMENTOS!$A:$A,0)),"")</f>
        <v>Pesquisa de Preços</v>
      </c>
      <c r="E7" s="11" t="str">
        <f t="array" ref="E7">IFERROR(INDEX(DOCUMENTOS!$E:$E,MATCH($B7,DOCUMENTOS!$A:$A,0)),"")</f>
        <v>Relatório Pesquisa de Preço - Banco de Preços</v>
      </c>
      <c r="F7" s="11" t="str">
        <f t="array" ref="F7">IFERROR(INDEX(DOCUMENTOS!$G:$G,MATCH($B7,DOCUMENTOS!$A:$A,0)),"")</f>
        <v>0631080</v>
      </c>
      <c r="G7" s="11" t="str">
        <f t="array" ref="G7">IFERROR(INDEX(DOCUMENTOS!$H:$H,MATCH($B7,DOCUMENTOS!$A:$A,0)),"")</f>
        <v>23854.007448/2024-94</v>
      </c>
      <c r="H7" s="11" t="s">
        <v>33</v>
      </c>
      <c r="I7" s="11" t="str">
        <f t="array" ref="I7">IFERROR(INDEX('BANCO DE PERGUNTAS'!$B:$B,MATCH($H7,'BANCO DE PERGUNTAS'!$A:$A,0)),"")</f>
        <v>Identificação</v>
      </c>
      <c r="J7" s="11">
        <f t="array" ref="J7">IFERROR(INDEX('BANCO DE PERGUNTAS'!$H:$H,MATCH($H7,'BANCO DE PERGUNTAS'!$A:$A,0)),"")</f>
        <v>1</v>
      </c>
      <c r="K7" s="11" t="str">
        <f t="array" ref="K7">IFERROR(INDEX('BANCO DE PERGUNTAS'!$D:$D,MATCH($H7,'BANCO DE PERGUNTAS'!$A:$A,0)),"")</f>
        <v>Qual é o objeto principal deste documento?</v>
      </c>
      <c r="L7" s="11" t="str">
        <f t="array" ref="L7">IFERROR(INDEX('BANCO DE PERGUNTAS'!$E:$E,MATCH($H7,'BANCO DE PERGUNTAS'!$A:$A,0)),"")</f>
        <v>Com base exclusivamente no documento fornecido, responda: Qual é o objeto principal deste documento? Caso a informação não conste no documento, declare explicitamente 'não consta no documento'.</v>
      </c>
      <c r="M7" s="11"/>
      <c r="N7" s="11"/>
      <c r="O7" s="11"/>
      <c r="P7" s="11"/>
      <c r="Q7" s="11"/>
      <c r="R7" s="11"/>
      <c r="S7" s="11"/>
      <c r="T7" s="11"/>
      <c r="U7" s="11"/>
      <c r="V7" s="11"/>
      <c r="W7" s="11"/>
      <c r="X7" s="11"/>
      <c r="Y7" s="11"/>
      <c r="Z7" s="11"/>
    </row>
    <row r="8" ht="15.75" customHeight="1">
      <c r="A8" s="14" t="s">
        <v>778</v>
      </c>
      <c r="B8" s="14">
        <v>2.0</v>
      </c>
      <c r="C8" s="14" t="str">
        <f t="array" ref="C8">IFERROR(INDEX(DOCUMENTOS!$B:$B,MATCH($B8,DOCUMENTOS!$A:$A,0)),"")</f>
        <v>Grupo 4 - Informação Financeira</v>
      </c>
      <c r="D8" s="14" t="str">
        <f t="array" ref="D8">IFERROR(INDEX(DOCUMENTOS!$D:$D,MATCH($B8,DOCUMENTOS!$A:$A,0)),"")</f>
        <v>Pesquisa de Preços</v>
      </c>
      <c r="E8" s="14" t="str">
        <f t="array" ref="E8">IFERROR(INDEX(DOCUMENTOS!$E:$E,MATCH($B8,DOCUMENTOS!$A:$A,0)),"")</f>
        <v>Relatório Pesquisa de Preço - Banco de Preços</v>
      </c>
      <c r="F8" s="14" t="str">
        <f t="array" ref="F8">IFERROR(INDEX(DOCUMENTOS!$G:$G,MATCH($B8,DOCUMENTOS!$A:$A,0)),"")</f>
        <v>0631080</v>
      </c>
      <c r="G8" s="14" t="str">
        <f t="array" ref="G8">IFERROR(INDEX(DOCUMENTOS!$H:$H,MATCH($B8,DOCUMENTOS!$A:$A,0)),"")</f>
        <v>23854.007448/2024-94</v>
      </c>
      <c r="H8" s="14" t="s">
        <v>68</v>
      </c>
      <c r="I8" s="14" t="str">
        <f t="array" ref="I8">IFERROR(INDEX('BANCO DE PERGUNTAS'!$B:$B,MATCH($H8,'BANCO DE PERGUNTAS'!$A:$A,0)),"")</f>
        <v>Identificação</v>
      </c>
      <c r="J8" s="14">
        <f t="array" ref="J8">IFERROR(INDEX('BANCO DE PERGUNTAS'!$H:$H,MATCH($H8,'BANCO DE PERGUNTAS'!$A:$A,0)),"")</f>
        <v>1</v>
      </c>
      <c r="K8" s="14" t="str">
        <f t="array" ref="K8">IFERROR(INDEX('BANCO DE PERGUNTAS'!$D:$D,MATCH($H8,'BANCO DE PERGUNTAS'!$A:$A,0)),"")</f>
        <v>Qual é o número ou identificação do documento?</v>
      </c>
      <c r="L8" s="14" t="str">
        <f t="array" ref="L8">IFERROR(INDEX('BANCO DE PERGUNTAS'!$E:$E,MATCH($H8,'BANCO DE PERGUNTAS'!$A:$A,0)),"")</f>
        <v>Com base exclusivamente no documento fornecido, responda: Qual é o número ou identificação do documento? Caso a informação não conste no documento, declare explicitamente 'não consta no documento'.</v>
      </c>
      <c r="M8" s="14"/>
      <c r="N8" s="14"/>
      <c r="O8" s="14"/>
      <c r="P8" s="14"/>
      <c r="Q8" s="14"/>
      <c r="R8" s="14"/>
      <c r="S8" s="14"/>
      <c r="T8" s="14"/>
      <c r="U8" s="14"/>
      <c r="V8" s="14"/>
      <c r="W8" s="14"/>
      <c r="X8" s="14"/>
      <c r="Y8" s="14"/>
      <c r="Z8" s="14"/>
    </row>
    <row r="9" ht="15.75" customHeight="1">
      <c r="A9" s="11" t="s">
        <v>917</v>
      </c>
      <c r="B9" s="11">
        <v>2.0</v>
      </c>
      <c r="C9" s="11" t="str">
        <f t="array" ref="C9">IFERROR(INDEX(DOCUMENTOS!$B:$B,MATCH($B9,DOCUMENTOS!$A:$A,0)),"")</f>
        <v>Grupo 4 - Informação Financeira</v>
      </c>
      <c r="D9" s="11" t="str">
        <f t="array" ref="D9">IFERROR(INDEX(DOCUMENTOS!$D:$D,MATCH($B9,DOCUMENTOS!$A:$A,0)),"")</f>
        <v>Pesquisa de Preços</v>
      </c>
      <c r="E9" s="11" t="str">
        <f t="array" ref="E9">IFERROR(INDEX(DOCUMENTOS!$E:$E,MATCH($B9,DOCUMENTOS!$A:$A,0)),"")</f>
        <v>Relatório Pesquisa de Preço - Banco de Preços</v>
      </c>
      <c r="F9" s="11" t="str">
        <f t="array" ref="F9">IFERROR(INDEX(DOCUMENTOS!$G:$G,MATCH($B9,DOCUMENTOS!$A:$A,0)),"")</f>
        <v>0631080</v>
      </c>
      <c r="G9" s="11" t="str">
        <f t="array" ref="G9">IFERROR(INDEX(DOCUMENTOS!$H:$H,MATCH($B9,DOCUMENTOS!$A:$A,0)),"")</f>
        <v>23854.007448/2024-94</v>
      </c>
      <c r="H9" s="11" t="s">
        <v>90</v>
      </c>
      <c r="I9" s="11" t="str">
        <f t="array" ref="I9">IFERROR(INDEX('BANCO DE PERGUNTAS'!$B:$B,MATCH($H9,'BANCO DE PERGUNTAS'!$A:$A,0)),"")</f>
        <v>Identificação</v>
      </c>
      <c r="J9" s="11">
        <f t="array" ref="J9">IFERROR(INDEX('BANCO DE PERGUNTAS'!$H:$H,MATCH($H9,'BANCO DE PERGUNTAS'!$A:$A,0)),"")</f>
        <v>1</v>
      </c>
      <c r="K9" s="11" t="str">
        <f t="array" ref="K9">IFERROR(INDEX('BANCO DE PERGUNTAS'!$D:$D,MATCH($H9,'BANCO DE PERGUNTAS'!$A:$A,0)),"")</f>
        <v>Qual é o número do processo relacionado?</v>
      </c>
      <c r="L9" s="11" t="str">
        <f t="array" ref="L9">IFERROR(INDEX('BANCO DE PERGUNTAS'!$E:$E,MATCH($H9,'BANCO DE PERGUNTAS'!$A:$A,0)),"")</f>
        <v>Com base exclusivamente no documento fornecido, responda: Qual é o número do processo relacionado? Caso a informação não conste no documento, declare explicitamente 'não consta no documento'.</v>
      </c>
      <c r="M9" s="11"/>
      <c r="N9" s="11"/>
      <c r="O9" s="11"/>
      <c r="P9" s="11"/>
      <c r="Q9" s="11"/>
      <c r="R9" s="11"/>
      <c r="S9" s="11"/>
      <c r="T9" s="11"/>
      <c r="U9" s="11"/>
      <c r="V9" s="11"/>
      <c r="W9" s="11"/>
      <c r="X9" s="11"/>
      <c r="Y9" s="11"/>
      <c r="Z9" s="11"/>
    </row>
    <row r="10" ht="15.75" customHeight="1">
      <c r="A10" s="14" t="s">
        <v>961</v>
      </c>
      <c r="B10" s="14">
        <v>3.0</v>
      </c>
      <c r="C10" s="14" t="str">
        <f t="array" ref="C10">IFERROR(INDEX(DOCUMENTOS!$B:$B,MATCH($B10,DOCUMENTOS!$A:$A,0)),"")</f>
        <v>Grupo 4 - Informação Financeira</v>
      </c>
      <c r="D10" s="14" t="str">
        <f t="array" ref="D10">IFERROR(INDEX(DOCUMENTOS!$D:$D,MATCH($B10,DOCUMENTOS!$A:$A,0)),"")</f>
        <v>Medição</v>
      </c>
      <c r="E10" s="14" t="str">
        <f t="array" ref="E10">IFERROR(INDEX(DOCUMENTOS!$E:$E,MATCH($B10,DOCUMENTOS!$A:$A,0)),"")</f>
        <v>Boletim de Medição</v>
      </c>
      <c r="F10" s="14" t="str">
        <f t="array" ref="F10">IFERROR(INDEX(DOCUMENTOS!$G:$G,MATCH($B10,DOCUMENTOS!$A:$A,0)),"")</f>
        <v>0572838</v>
      </c>
      <c r="G10" s="14" t="str">
        <f t="array" ref="G10">IFERROR(INDEX(DOCUMENTOS!$H:$H,MATCH($B10,DOCUMENTOS!$A:$A,0)),"")</f>
        <v>23854.003175/2026-71</v>
      </c>
      <c r="H10" s="14" t="s">
        <v>33</v>
      </c>
      <c r="I10" s="14" t="str">
        <f t="array" ref="I10">IFERROR(INDEX('BANCO DE PERGUNTAS'!$B:$B,MATCH($H10,'BANCO DE PERGUNTAS'!$A:$A,0)),"")</f>
        <v>Identificação</v>
      </c>
      <c r="J10" s="14">
        <f t="array" ref="J10">IFERROR(INDEX('BANCO DE PERGUNTAS'!$H:$H,MATCH($H10,'BANCO DE PERGUNTAS'!$A:$A,0)),"")</f>
        <v>1</v>
      </c>
      <c r="K10" s="14" t="str">
        <f t="array" ref="K10">IFERROR(INDEX('BANCO DE PERGUNTAS'!$D:$D,MATCH($H10,'BANCO DE PERGUNTAS'!$A:$A,0)),"")</f>
        <v>Qual é o objeto principal deste documento?</v>
      </c>
      <c r="L10" s="14" t="str">
        <f t="array" ref="L10">IFERROR(INDEX('BANCO DE PERGUNTAS'!$E:$E,MATCH($H10,'BANCO DE PERGUNTAS'!$A:$A,0)),"")</f>
        <v>Com base exclusivamente no documento fornecido, responda: Qual é o objeto principal deste documento? Caso a informação não conste no documento, declare explicitamente 'não consta no documento'.</v>
      </c>
      <c r="M10" s="14"/>
      <c r="N10" s="14"/>
      <c r="O10" s="14"/>
      <c r="P10" s="14"/>
      <c r="Q10" s="14"/>
      <c r="R10" s="14"/>
      <c r="S10" s="14"/>
      <c r="T10" s="14"/>
      <c r="U10" s="14"/>
      <c r="V10" s="14"/>
      <c r="W10" s="14"/>
      <c r="X10" s="14"/>
      <c r="Y10" s="14"/>
      <c r="Z10" s="14"/>
    </row>
    <row r="11" ht="15.75" customHeight="1">
      <c r="A11" s="11" t="s">
        <v>1010</v>
      </c>
      <c r="B11" s="11">
        <v>3.0</v>
      </c>
      <c r="C11" s="11" t="str">
        <f t="array" ref="C11">IFERROR(INDEX(DOCUMENTOS!$B:$B,MATCH($B11,DOCUMENTOS!$A:$A,0)),"")</f>
        <v>Grupo 4 - Informação Financeira</v>
      </c>
      <c r="D11" s="11" t="str">
        <f t="array" ref="D11">IFERROR(INDEX(DOCUMENTOS!$D:$D,MATCH($B11,DOCUMENTOS!$A:$A,0)),"")</f>
        <v>Medição</v>
      </c>
      <c r="E11" s="11" t="str">
        <f t="array" ref="E11">IFERROR(INDEX(DOCUMENTOS!$E:$E,MATCH($B11,DOCUMENTOS!$A:$A,0)),"")</f>
        <v>Boletim de Medição</v>
      </c>
      <c r="F11" s="11" t="str">
        <f t="array" ref="F11">IFERROR(INDEX(DOCUMENTOS!$G:$G,MATCH($B11,DOCUMENTOS!$A:$A,0)),"")</f>
        <v>0572838</v>
      </c>
      <c r="G11" s="11" t="str">
        <f t="array" ref="G11">IFERROR(INDEX(DOCUMENTOS!$H:$H,MATCH($B11,DOCUMENTOS!$A:$A,0)),"")</f>
        <v>23854.003175/2026-71</v>
      </c>
      <c r="H11" s="11" t="s">
        <v>68</v>
      </c>
      <c r="I11" s="11" t="str">
        <f t="array" ref="I11">IFERROR(INDEX('BANCO DE PERGUNTAS'!$B:$B,MATCH($H11,'BANCO DE PERGUNTAS'!$A:$A,0)),"")</f>
        <v>Identificação</v>
      </c>
      <c r="J11" s="11">
        <f t="array" ref="J11">IFERROR(INDEX('BANCO DE PERGUNTAS'!$H:$H,MATCH($H11,'BANCO DE PERGUNTAS'!$A:$A,0)),"")</f>
        <v>1</v>
      </c>
      <c r="K11" s="11" t="str">
        <f t="array" ref="K11">IFERROR(INDEX('BANCO DE PERGUNTAS'!$D:$D,MATCH($H11,'BANCO DE PERGUNTAS'!$A:$A,0)),"")</f>
        <v>Qual é o número ou identificação do documento?</v>
      </c>
      <c r="L11" s="11" t="str">
        <f t="array" ref="L11">IFERROR(INDEX('BANCO DE PERGUNTAS'!$E:$E,MATCH($H11,'BANCO DE PERGUNTAS'!$A:$A,0)),"")</f>
        <v>Com base exclusivamente no documento fornecido, responda: Qual é o número ou identificação do documento? Caso a informação não conste no documento, declare explicitamente 'não consta no documento'.</v>
      </c>
      <c r="M11" s="11"/>
      <c r="N11" s="11"/>
      <c r="O11" s="11"/>
      <c r="P11" s="11"/>
      <c r="Q11" s="11"/>
      <c r="R11" s="11"/>
      <c r="S11" s="11"/>
      <c r="T11" s="11"/>
      <c r="U11" s="11"/>
      <c r="V11" s="11"/>
      <c r="W11" s="11"/>
      <c r="X11" s="11"/>
      <c r="Y11" s="11"/>
      <c r="Z11" s="11"/>
    </row>
    <row r="12" ht="15.75" customHeight="1">
      <c r="A12" s="14" t="s">
        <v>1025</v>
      </c>
      <c r="B12" s="14">
        <v>3.0</v>
      </c>
      <c r="C12" s="14" t="str">
        <f t="array" ref="C12">IFERROR(INDEX(DOCUMENTOS!$B:$B,MATCH($B12,DOCUMENTOS!$A:$A,0)),"")</f>
        <v>Grupo 4 - Informação Financeira</v>
      </c>
      <c r="D12" s="14" t="str">
        <f t="array" ref="D12">IFERROR(INDEX(DOCUMENTOS!$D:$D,MATCH($B12,DOCUMENTOS!$A:$A,0)),"")</f>
        <v>Medição</v>
      </c>
      <c r="E12" s="14" t="str">
        <f t="array" ref="E12">IFERROR(INDEX(DOCUMENTOS!$E:$E,MATCH($B12,DOCUMENTOS!$A:$A,0)),"")</f>
        <v>Boletim de Medição</v>
      </c>
      <c r="F12" s="14" t="str">
        <f t="array" ref="F12">IFERROR(INDEX(DOCUMENTOS!$G:$G,MATCH($B12,DOCUMENTOS!$A:$A,0)),"")</f>
        <v>0572838</v>
      </c>
      <c r="G12" s="14" t="str">
        <f t="array" ref="G12">IFERROR(INDEX(DOCUMENTOS!$H:$H,MATCH($B12,DOCUMENTOS!$A:$A,0)),"")</f>
        <v>23854.003175/2026-71</v>
      </c>
      <c r="H12" s="14" t="s">
        <v>90</v>
      </c>
      <c r="I12" s="14" t="str">
        <f t="array" ref="I12">IFERROR(INDEX('BANCO DE PERGUNTAS'!$B:$B,MATCH($H12,'BANCO DE PERGUNTAS'!$A:$A,0)),"")</f>
        <v>Identificação</v>
      </c>
      <c r="J12" s="14">
        <f t="array" ref="J12">IFERROR(INDEX('BANCO DE PERGUNTAS'!$H:$H,MATCH($H12,'BANCO DE PERGUNTAS'!$A:$A,0)),"")</f>
        <v>1</v>
      </c>
      <c r="K12" s="14" t="str">
        <f t="array" ref="K12">IFERROR(INDEX('BANCO DE PERGUNTAS'!$D:$D,MATCH($H12,'BANCO DE PERGUNTAS'!$A:$A,0)),"")</f>
        <v>Qual é o número do processo relacionado?</v>
      </c>
      <c r="L12" s="14" t="str">
        <f t="array" ref="L12">IFERROR(INDEX('BANCO DE PERGUNTAS'!$E:$E,MATCH($H12,'BANCO DE PERGUNTAS'!$A:$A,0)),"")</f>
        <v>Com base exclusivamente no documento fornecido, responda: Qual é o número do processo relacionado? Caso a informação não conste no documento, declare explicitamente 'não consta no documento'.</v>
      </c>
      <c r="M12" s="14"/>
      <c r="N12" s="14"/>
      <c r="O12" s="14"/>
      <c r="P12" s="14"/>
      <c r="Q12" s="14"/>
      <c r="R12" s="14"/>
      <c r="S12" s="14"/>
      <c r="T12" s="14"/>
      <c r="U12" s="14"/>
      <c r="V12" s="14"/>
      <c r="W12" s="14"/>
      <c r="X12" s="14"/>
      <c r="Y12" s="14"/>
      <c r="Z12" s="14"/>
    </row>
    <row r="13" ht="15.75" customHeight="1">
      <c r="A13" s="11" t="s">
        <v>1026</v>
      </c>
      <c r="B13" s="11">
        <v>4.0</v>
      </c>
      <c r="C13" s="11" t="str">
        <f t="array" ref="C13">IFERROR(INDEX(DOCUMENTOS!$B:$B,MATCH($B13,DOCUMENTOS!$A:$A,0)),"")</f>
        <v>Grupo 4 - Informação Financeira</v>
      </c>
      <c r="D13" s="11" t="str">
        <f t="array" ref="D13">IFERROR(INDEX(DOCUMENTOS!$D:$D,MATCH($B13,DOCUMENTOS!$A:$A,0)),"")</f>
        <v>Nota Fiscal</v>
      </c>
      <c r="E13" s="11" t="str">
        <f t="array" ref="E13">IFERROR(INDEX(DOCUMENTOS!$E:$E,MATCH($B13,DOCUMENTOS!$A:$A,0)),"")</f>
        <v>Nota Fiscal nº 119.235 - Março/26</v>
      </c>
      <c r="F13" s="11" t="str">
        <f t="array" ref="F13">IFERROR(INDEX(DOCUMENTOS!$G:$G,MATCH($B13,DOCUMENTOS!$A:$A,0)),"")</f>
        <v>0574135</v>
      </c>
      <c r="G13" s="11" t="str">
        <f t="array" ref="G13">IFERROR(INDEX(DOCUMENTOS!$H:$H,MATCH($B13,DOCUMENTOS!$A:$A,0)),"")</f>
        <v>23854.003175/2026-71</v>
      </c>
      <c r="H13" s="11" t="s">
        <v>33</v>
      </c>
      <c r="I13" s="11" t="str">
        <f t="array" ref="I13">IFERROR(INDEX('BANCO DE PERGUNTAS'!$B:$B,MATCH($H13,'BANCO DE PERGUNTAS'!$A:$A,0)),"")</f>
        <v>Identificação</v>
      </c>
      <c r="J13" s="11">
        <f t="array" ref="J13">IFERROR(INDEX('BANCO DE PERGUNTAS'!$H:$H,MATCH($H13,'BANCO DE PERGUNTAS'!$A:$A,0)),"")</f>
        <v>1</v>
      </c>
      <c r="K13" s="11" t="str">
        <f t="array" ref="K13">IFERROR(INDEX('BANCO DE PERGUNTAS'!$D:$D,MATCH($H13,'BANCO DE PERGUNTAS'!$A:$A,0)),"")</f>
        <v>Qual é o objeto principal deste documento?</v>
      </c>
      <c r="L13" s="11" t="str">
        <f t="array" ref="L13">IFERROR(INDEX('BANCO DE PERGUNTAS'!$E:$E,MATCH($H13,'BANCO DE PERGUNTAS'!$A:$A,0)),"")</f>
        <v>Com base exclusivamente no documento fornecido, responda: Qual é o objeto principal deste documento? Caso a informação não conste no documento, declare explicitamente 'não consta no documento'.</v>
      </c>
      <c r="M13" s="11"/>
      <c r="N13" s="11"/>
      <c r="O13" s="11"/>
      <c r="P13" s="11"/>
      <c r="Q13" s="11"/>
      <c r="R13" s="11"/>
      <c r="S13" s="11"/>
      <c r="T13" s="11"/>
      <c r="U13" s="11"/>
      <c r="V13" s="11"/>
      <c r="W13" s="11"/>
      <c r="X13" s="11"/>
      <c r="Y13" s="11"/>
      <c r="Z13" s="11"/>
    </row>
    <row r="14" ht="15.75" customHeight="1">
      <c r="A14" s="14" t="s">
        <v>1035</v>
      </c>
      <c r="B14" s="14">
        <v>4.0</v>
      </c>
      <c r="C14" s="14" t="str">
        <f t="array" ref="C14">IFERROR(INDEX(DOCUMENTOS!$B:$B,MATCH($B14,DOCUMENTOS!$A:$A,0)),"")</f>
        <v>Grupo 4 - Informação Financeira</v>
      </c>
      <c r="D14" s="14" t="str">
        <f t="array" ref="D14">IFERROR(INDEX(DOCUMENTOS!$D:$D,MATCH($B14,DOCUMENTOS!$A:$A,0)),"")</f>
        <v>Nota Fiscal</v>
      </c>
      <c r="E14" s="14" t="str">
        <f t="array" ref="E14">IFERROR(INDEX(DOCUMENTOS!$E:$E,MATCH($B14,DOCUMENTOS!$A:$A,0)),"")</f>
        <v>Nota Fiscal nº 119.235 - Março/26</v>
      </c>
      <c r="F14" s="14" t="str">
        <f t="array" ref="F14">IFERROR(INDEX(DOCUMENTOS!$G:$G,MATCH($B14,DOCUMENTOS!$A:$A,0)),"")</f>
        <v>0574135</v>
      </c>
      <c r="G14" s="14" t="str">
        <f t="array" ref="G14">IFERROR(INDEX(DOCUMENTOS!$H:$H,MATCH($B14,DOCUMENTOS!$A:$A,0)),"")</f>
        <v>23854.003175/2026-71</v>
      </c>
      <c r="H14" s="14" t="s">
        <v>68</v>
      </c>
      <c r="I14" s="14" t="str">
        <f t="array" ref="I14">IFERROR(INDEX('BANCO DE PERGUNTAS'!$B:$B,MATCH($H14,'BANCO DE PERGUNTAS'!$A:$A,0)),"")</f>
        <v>Identificação</v>
      </c>
      <c r="J14" s="14">
        <f t="array" ref="J14">IFERROR(INDEX('BANCO DE PERGUNTAS'!$H:$H,MATCH($H14,'BANCO DE PERGUNTAS'!$A:$A,0)),"")</f>
        <v>1</v>
      </c>
      <c r="K14" s="14" t="str">
        <f t="array" ref="K14">IFERROR(INDEX('BANCO DE PERGUNTAS'!$D:$D,MATCH($H14,'BANCO DE PERGUNTAS'!$A:$A,0)),"")</f>
        <v>Qual é o número ou identificação do documento?</v>
      </c>
      <c r="L14" s="14" t="str">
        <f t="array" ref="L14">IFERROR(INDEX('BANCO DE PERGUNTAS'!$E:$E,MATCH($H14,'BANCO DE PERGUNTAS'!$A:$A,0)),"")</f>
        <v>Com base exclusivamente no documento fornecido, responda: Qual é o número ou identificação do documento? Caso a informação não conste no documento, declare explicitamente 'não consta no documento'.</v>
      </c>
      <c r="M14" s="14"/>
      <c r="N14" s="14"/>
      <c r="O14" s="14"/>
      <c r="P14" s="14"/>
      <c r="Q14" s="14"/>
      <c r="R14" s="14"/>
      <c r="S14" s="14"/>
      <c r="T14" s="14"/>
      <c r="U14" s="14"/>
      <c r="V14" s="14"/>
      <c r="W14" s="14"/>
      <c r="X14" s="14"/>
      <c r="Y14" s="14"/>
      <c r="Z14" s="14"/>
    </row>
    <row r="15" ht="15.75" customHeight="1">
      <c r="A15" s="11" t="s">
        <v>1037</v>
      </c>
      <c r="B15" s="11">
        <v>4.0</v>
      </c>
      <c r="C15" s="11" t="str">
        <f t="array" ref="C15">IFERROR(INDEX(DOCUMENTOS!$B:$B,MATCH($B15,DOCUMENTOS!$A:$A,0)),"")</f>
        <v>Grupo 4 - Informação Financeira</v>
      </c>
      <c r="D15" s="11" t="str">
        <f t="array" ref="D15">IFERROR(INDEX(DOCUMENTOS!$D:$D,MATCH($B15,DOCUMENTOS!$A:$A,0)),"")</f>
        <v>Nota Fiscal</v>
      </c>
      <c r="E15" s="11" t="str">
        <f t="array" ref="E15">IFERROR(INDEX(DOCUMENTOS!$E:$E,MATCH($B15,DOCUMENTOS!$A:$A,0)),"")</f>
        <v>Nota Fiscal nº 119.235 - Março/26</v>
      </c>
      <c r="F15" s="11" t="str">
        <f t="array" ref="F15">IFERROR(INDEX(DOCUMENTOS!$G:$G,MATCH($B15,DOCUMENTOS!$A:$A,0)),"")</f>
        <v>0574135</v>
      </c>
      <c r="G15" s="11" t="str">
        <f t="array" ref="G15">IFERROR(INDEX(DOCUMENTOS!$H:$H,MATCH($B15,DOCUMENTOS!$A:$A,0)),"")</f>
        <v>23854.003175/2026-71</v>
      </c>
      <c r="H15" s="11" t="s">
        <v>90</v>
      </c>
      <c r="I15" s="11" t="str">
        <f t="array" ref="I15">IFERROR(INDEX('BANCO DE PERGUNTAS'!$B:$B,MATCH($H15,'BANCO DE PERGUNTAS'!$A:$A,0)),"")</f>
        <v>Identificação</v>
      </c>
      <c r="J15" s="11">
        <f t="array" ref="J15">IFERROR(INDEX('BANCO DE PERGUNTAS'!$H:$H,MATCH($H15,'BANCO DE PERGUNTAS'!$A:$A,0)),"")</f>
        <v>1</v>
      </c>
      <c r="K15" s="11" t="str">
        <f t="array" ref="K15">IFERROR(INDEX('BANCO DE PERGUNTAS'!$D:$D,MATCH($H15,'BANCO DE PERGUNTAS'!$A:$A,0)),"")</f>
        <v>Qual é o número do processo relacionado?</v>
      </c>
      <c r="L15" s="11" t="str">
        <f t="array" ref="L15">IFERROR(INDEX('BANCO DE PERGUNTAS'!$E:$E,MATCH($H15,'BANCO DE PERGUNTAS'!$A:$A,0)),"")</f>
        <v>Com base exclusivamente no documento fornecido, responda: Qual é o número do processo relacionado? Caso a informação não conste no documento, declare explicitamente 'não consta no documento'.</v>
      </c>
      <c r="M15" s="11"/>
      <c r="N15" s="11"/>
      <c r="O15" s="11"/>
      <c r="P15" s="11"/>
      <c r="Q15" s="11"/>
      <c r="R15" s="11"/>
      <c r="S15" s="11"/>
      <c r="T15" s="11"/>
      <c r="U15" s="11"/>
      <c r="V15" s="11"/>
      <c r="W15" s="11"/>
      <c r="X15" s="11"/>
      <c r="Y15" s="11"/>
      <c r="Z15" s="11"/>
    </row>
    <row r="16" ht="15.75" customHeight="1">
      <c r="A16" s="14" t="s">
        <v>1038</v>
      </c>
      <c r="B16" s="14">
        <v>5.0</v>
      </c>
      <c r="C16" s="14" t="str">
        <f t="array" ref="C16">IFERROR(INDEX(DOCUMENTOS!$B:$B,MATCH($B16,DOCUMENTOS!$A:$A,0)),"")</f>
        <v>Grupo 4 - Informação Financeira</v>
      </c>
      <c r="D16" s="14" t="str">
        <f t="array" ref="D16">IFERROR(INDEX(DOCUMENTOS!$D:$D,MATCH($B16,DOCUMENTOS!$A:$A,0)),"")</f>
        <v>Nota de Empenho</v>
      </c>
      <c r="E16" s="14" t="str">
        <f t="array" ref="E16">IFERROR(INDEX(DOCUMENTOS!$E:$E,MATCH($B16,DOCUMENTOS!$A:$A,0)),"")</f>
        <v>Empenho 2026NE000070 - Reforço</v>
      </c>
      <c r="F16" s="14" t="str">
        <f t="array" ref="F16">IFERROR(INDEX(DOCUMENTOS!$G:$G,MATCH($B16,DOCUMENTOS!$A:$A,0)),"")</f>
        <v>0601218</v>
      </c>
      <c r="G16" s="14" t="str">
        <f t="array" ref="G16">IFERROR(INDEX(DOCUMENTOS!$H:$H,MATCH($B16,DOCUMENTOS!$A:$A,0)),"")</f>
        <v>23854.008489/2024-06</v>
      </c>
      <c r="H16" s="14" t="s">
        <v>33</v>
      </c>
      <c r="I16" s="14" t="str">
        <f t="array" ref="I16">IFERROR(INDEX('BANCO DE PERGUNTAS'!$B:$B,MATCH($H16,'BANCO DE PERGUNTAS'!$A:$A,0)),"")</f>
        <v>Identificação</v>
      </c>
      <c r="J16" s="14">
        <f t="array" ref="J16">IFERROR(INDEX('BANCO DE PERGUNTAS'!$H:$H,MATCH($H16,'BANCO DE PERGUNTAS'!$A:$A,0)),"")</f>
        <v>1</v>
      </c>
      <c r="K16" s="14" t="str">
        <f t="array" ref="K16">IFERROR(INDEX('BANCO DE PERGUNTAS'!$D:$D,MATCH($H16,'BANCO DE PERGUNTAS'!$A:$A,0)),"")</f>
        <v>Qual é o objeto principal deste documento?</v>
      </c>
      <c r="L16" s="14" t="str">
        <f t="array" ref="L16">IFERROR(INDEX('BANCO DE PERGUNTAS'!$E:$E,MATCH($H16,'BANCO DE PERGUNTAS'!$A:$A,0)),"")</f>
        <v>Com base exclusivamente no documento fornecido, responda: Qual é o objeto principal deste documento? Caso a informação não conste no documento, declare explicitamente 'não consta no documento'.</v>
      </c>
      <c r="M16" s="14"/>
      <c r="N16" s="14"/>
      <c r="O16" s="14"/>
      <c r="P16" s="14"/>
      <c r="Q16" s="14"/>
      <c r="R16" s="14"/>
      <c r="S16" s="14"/>
      <c r="T16" s="14"/>
      <c r="U16" s="14"/>
      <c r="V16" s="14"/>
      <c r="W16" s="14"/>
      <c r="X16" s="14"/>
      <c r="Y16" s="14"/>
      <c r="Z16" s="14"/>
    </row>
    <row r="17" ht="15.75" customHeight="1">
      <c r="A17" s="11" t="s">
        <v>1039</v>
      </c>
      <c r="B17" s="11">
        <v>5.0</v>
      </c>
      <c r="C17" s="11" t="str">
        <f t="array" ref="C17">IFERROR(INDEX(DOCUMENTOS!$B:$B,MATCH($B17,DOCUMENTOS!$A:$A,0)),"")</f>
        <v>Grupo 4 - Informação Financeira</v>
      </c>
      <c r="D17" s="11" t="str">
        <f t="array" ref="D17">IFERROR(INDEX(DOCUMENTOS!$D:$D,MATCH($B17,DOCUMENTOS!$A:$A,0)),"")</f>
        <v>Nota de Empenho</v>
      </c>
      <c r="E17" s="11" t="str">
        <f t="array" ref="E17">IFERROR(INDEX(DOCUMENTOS!$E:$E,MATCH($B17,DOCUMENTOS!$A:$A,0)),"")</f>
        <v>Empenho 2026NE000070 - Reforço</v>
      </c>
      <c r="F17" s="11" t="str">
        <f t="array" ref="F17">IFERROR(INDEX(DOCUMENTOS!$G:$G,MATCH($B17,DOCUMENTOS!$A:$A,0)),"")</f>
        <v>0601218</v>
      </c>
      <c r="G17" s="11" t="str">
        <f t="array" ref="G17">IFERROR(INDEX(DOCUMENTOS!$H:$H,MATCH($B17,DOCUMENTOS!$A:$A,0)),"")</f>
        <v>23854.008489/2024-06</v>
      </c>
      <c r="H17" s="11" t="s">
        <v>68</v>
      </c>
      <c r="I17" s="11" t="str">
        <f t="array" ref="I17">IFERROR(INDEX('BANCO DE PERGUNTAS'!$B:$B,MATCH($H17,'BANCO DE PERGUNTAS'!$A:$A,0)),"")</f>
        <v>Identificação</v>
      </c>
      <c r="J17" s="11">
        <f t="array" ref="J17">IFERROR(INDEX('BANCO DE PERGUNTAS'!$H:$H,MATCH($H17,'BANCO DE PERGUNTAS'!$A:$A,0)),"")</f>
        <v>1</v>
      </c>
      <c r="K17" s="11" t="str">
        <f t="array" ref="K17">IFERROR(INDEX('BANCO DE PERGUNTAS'!$D:$D,MATCH($H17,'BANCO DE PERGUNTAS'!$A:$A,0)),"")</f>
        <v>Qual é o número ou identificação do documento?</v>
      </c>
      <c r="L17" s="11" t="str">
        <f t="array" ref="L17">IFERROR(INDEX('BANCO DE PERGUNTAS'!$E:$E,MATCH($H17,'BANCO DE PERGUNTAS'!$A:$A,0)),"")</f>
        <v>Com base exclusivamente no documento fornecido, responda: Qual é o número ou identificação do documento? Caso a informação não conste no documento, declare explicitamente 'não consta no documento'.</v>
      </c>
      <c r="M17" s="11"/>
      <c r="N17" s="11"/>
      <c r="O17" s="11"/>
      <c r="P17" s="11"/>
      <c r="Q17" s="11"/>
      <c r="R17" s="11"/>
      <c r="S17" s="11"/>
      <c r="T17" s="11"/>
      <c r="U17" s="11"/>
      <c r="V17" s="11"/>
      <c r="W17" s="11"/>
      <c r="X17" s="11"/>
      <c r="Y17" s="11"/>
      <c r="Z17" s="11"/>
    </row>
    <row r="18" ht="15.75" customHeight="1">
      <c r="A18" s="14" t="s">
        <v>1040</v>
      </c>
      <c r="B18" s="14">
        <v>5.0</v>
      </c>
      <c r="C18" s="14" t="str">
        <f t="array" ref="C18">IFERROR(INDEX(DOCUMENTOS!$B:$B,MATCH($B18,DOCUMENTOS!$A:$A,0)),"")</f>
        <v>Grupo 4 - Informação Financeira</v>
      </c>
      <c r="D18" s="14" t="str">
        <f t="array" ref="D18">IFERROR(INDEX(DOCUMENTOS!$D:$D,MATCH($B18,DOCUMENTOS!$A:$A,0)),"")</f>
        <v>Nota de Empenho</v>
      </c>
      <c r="E18" s="14" t="str">
        <f t="array" ref="E18">IFERROR(INDEX(DOCUMENTOS!$E:$E,MATCH($B18,DOCUMENTOS!$A:$A,0)),"")</f>
        <v>Empenho 2026NE000070 - Reforço</v>
      </c>
      <c r="F18" s="14" t="str">
        <f t="array" ref="F18">IFERROR(INDEX(DOCUMENTOS!$G:$G,MATCH($B18,DOCUMENTOS!$A:$A,0)),"")</f>
        <v>0601218</v>
      </c>
      <c r="G18" s="14" t="str">
        <f t="array" ref="G18">IFERROR(INDEX(DOCUMENTOS!$H:$H,MATCH($B18,DOCUMENTOS!$A:$A,0)),"")</f>
        <v>23854.008489/2024-06</v>
      </c>
      <c r="H18" s="14" t="s">
        <v>90</v>
      </c>
      <c r="I18" s="14" t="str">
        <f t="array" ref="I18">IFERROR(INDEX('BANCO DE PERGUNTAS'!$B:$B,MATCH($H18,'BANCO DE PERGUNTAS'!$A:$A,0)),"")</f>
        <v>Identificação</v>
      </c>
      <c r="J18" s="14">
        <f t="array" ref="J18">IFERROR(INDEX('BANCO DE PERGUNTAS'!$H:$H,MATCH($H18,'BANCO DE PERGUNTAS'!$A:$A,0)),"")</f>
        <v>1</v>
      </c>
      <c r="K18" s="14" t="str">
        <f t="array" ref="K18">IFERROR(INDEX('BANCO DE PERGUNTAS'!$D:$D,MATCH($H18,'BANCO DE PERGUNTAS'!$A:$A,0)),"")</f>
        <v>Qual é o número do processo relacionado?</v>
      </c>
      <c r="L18" s="14" t="str">
        <f t="array" ref="L18">IFERROR(INDEX('BANCO DE PERGUNTAS'!$E:$E,MATCH($H18,'BANCO DE PERGUNTAS'!$A:$A,0)),"")</f>
        <v>Com base exclusivamente no documento fornecido, responda: Qual é o número do processo relacionado? Caso a informação não conste no documento, declare explicitamente 'não consta no documento'.</v>
      </c>
      <c r="M18" s="14"/>
      <c r="N18" s="14"/>
      <c r="O18" s="14"/>
      <c r="P18" s="14"/>
      <c r="Q18" s="14"/>
      <c r="R18" s="14"/>
      <c r="S18" s="14"/>
      <c r="T18" s="14"/>
      <c r="U18" s="14"/>
      <c r="V18" s="14"/>
      <c r="W18" s="14"/>
      <c r="X18" s="14"/>
      <c r="Y18" s="14"/>
      <c r="Z18" s="14"/>
    </row>
    <row r="19" ht="15.75" customHeight="1">
      <c r="A19" s="11" t="s">
        <v>1047</v>
      </c>
      <c r="B19" s="11">
        <v>6.0</v>
      </c>
      <c r="C19" s="11" t="str">
        <f t="array" ref="C19">IFERROR(INDEX(DOCUMENTOS!$B:$B,MATCH($B19,DOCUMENTOS!$A:$A,0)),"")</f>
        <v>Grupo 4 - Informação Financeira</v>
      </c>
      <c r="D19" s="11" t="str">
        <f t="array" ref="D19">IFERROR(INDEX(DOCUMENTOS!$D:$D,MATCH($B19,DOCUMENTOS!$A:$A,0)),"")</f>
        <v>Ordem Bancária</v>
      </c>
      <c r="E19" s="11" t="str">
        <f t="array" ref="E19">IFERROR(INDEX(DOCUMENTOS!$E:$E,MATCH($B19,DOCUMENTOS!$A:$A,0)),"")</f>
        <v>Ordem Bancária 2026OB000456</v>
      </c>
      <c r="F19" s="11" t="str">
        <f t="array" ref="F19">IFERROR(INDEX(DOCUMENTOS!$G:$G,MATCH($B19,DOCUMENTOS!$A:$A,0)),"")</f>
        <v>0604691</v>
      </c>
      <c r="G19" s="11" t="str">
        <f t="array" ref="G19">IFERROR(INDEX(DOCUMENTOS!$H:$H,MATCH($B19,DOCUMENTOS!$A:$A,0)),"")</f>
        <v>23854.003091/2026-37</v>
      </c>
      <c r="H19" s="11" t="s">
        <v>33</v>
      </c>
      <c r="I19" s="11" t="str">
        <f t="array" ref="I19">IFERROR(INDEX('BANCO DE PERGUNTAS'!$B:$B,MATCH($H19,'BANCO DE PERGUNTAS'!$A:$A,0)),"")</f>
        <v>Identificação</v>
      </c>
      <c r="J19" s="11">
        <f t="array" ref="J19">IFERROR(INDEX('BANCO DE PERGUNTAS'!$H:$H,MATCH($H19,'BANCO DE PERGUNTAS'!$A:$A,0)),"")</f>
        <v>1</v>
      </c>
      <c r="K19" s="11" t="str">
        <f t="array" ref="K19">IFERROR(INDEX('BANCO DE PERGUNTAS'!$D:$D,MATCH($H19,'BANCO DE PERGUNTAS'!$A:$A,0)),"")</f>
        <v>Qual é o objeto principal deste documento?</v>
      </c>
      <c r="L19" s="11" t="str">
        <f t="array" ref="L19">IFERROR(INDEX('BANCO DE PERGUNTAS'!$E:$E,MATCH($H19,'BANCO DE PERGUNTAS'!$A:$A,0)),"")</f>
        <v>Com base exclusivamente no documento fornecido, responda: Qual é o objeto principal deste documento? Caso a informação não conste no documento, declare explicitamente 'não consta no documento'.</v>
      </c>
      <c r="M19" s="11"/>
      <c r="N19" s="11"/>
      <c r="O19" s="11"/>
      <c r="P19" s="11"/>
      <c r="Q19" s="11"/>
      <c r="R19" s="11"/>
      <c r="S19" s="11"/>
      <c r="T19" s="11"/>
      <c r="U19" s="11"/>
      <c r="V19" s="11"/>
      <c r="W19" s="11"/>
      <c r="X19" s="11"/>
      <c r="Y19" s="11"/>
      <c r="Z19" s="11"/>
    </row>
    <row r="20" ht="15.75" customHeight="1">
      <c r="A20" s="14" t="s">
        <v>1049</v>
      </c>
      <c r="B20" s="14">
        <v>6.0</v>
      </c>
      <c r="C20" s="14" t="str">
        <f t="array" ref="C20">IFERROR(INDEX(DOCUMENTOS!$B:$B,MATCH($B20,DOCUMENTOS!$A:$A,0)),"")</f>
        <v>Grupo 4 - Informação Financeira</v>
      </c>
      <c r="D20" s="14" t="str">
        <f t="array" ref="D20">IFERROR(INDEX(DOCUMENTOS!$D:$D,MATCH($B20,DOCUMENTOS!$A:$A,0)),"")</f>
        <v>Ordem Bancária</v>
      </c>
      <c r="E20" s="14" t="str">
        <f t="array" ref="E20">IFERROR(INDEX(DOCUMENTOS!$E:$E,MATCH($B20,DOCUMENTOS!$A:$A,0)),"")</f>
        <v>Ordem Bancária 2026OB000456</v>
      </c>
      <c r="F20" s="14" t="str">
        <f t="array" ref="F20">IFERROR(INDEX(DOCUMENTOS!$G:$G,MATCH($B20,DOCUMENTOS!$A:$A,0)),"")</f>
        <v>0604691</v>
      </c>
      <c r="G20" s="14" t="str">
        <f t="array" ref="G20">IFERROR(INDEX(DOCUMENTOS!$H:$H,MATCH($B20,DOCUMENTOS!$A:$A,0)),"")</f>
        <v>23854.003091/2026-37</v>
      </c>
      <c r="H20" s="14" t="s">
        <v>68</v>
      </c>
      <c r="I20" s="14" t="str">
        <f t="array" ref="I20">IFERROR(INDEX('BANCO DE PERGUNTAS'!$B:$B,MATCH($H20,'BANCO DE PERGUNTAS'!$A:$A,0)),"")</f>
        <v>Identificação</v>
      </c>
      <c r="J20" s="14">
        <f t="array" ref="J20">IFERROR(INDEX('BANCO DE PERGUNTAS'!$H:$H,MATCH($H20,'BANCO DE PERGUNTAS'!$A:$A,0)),"")</f>
        <v>1</v>
      </c>
      <c r="K20" s="14" t="str">
        <f t="array" ref="K20">IFERROR(INDEX('BANCO DE PERGUNTAS'!$D:$D,MATCH($H20,'BANCO DE PERGUNTAS'!$A:$A,0)),"")</f>
        <v>Qual é o número ou identificação do documento?</v>
      </c>
      <c r="L20" s="14" t="str">
        <f t="array" ref="L20">IFERROR(INDEX('BANCO DE PERGUNTAS'!$E:$E,MATCH($H20,'BANCO DE PERGUNTAS'!$A:$A,0)),"")</f>
        <v>Com base exclusivamente no documento fornecido, responda: Qual é o número ou identificação do documento? Caso a informação não conste no documento, declare explicitamente 'não consta no documento'.</v>
      </c>
      <c r="M20" s="14"/>
      <c r="N20" s="14"/>
      <c r="O20" s="14"/>
      <c r="P20" s="14"/>
      <c r="Q20" s="14"/>
      <c r="R20" s="14"/>
      <c r="S20" s="14"/>
      <c r="T20" s="14"/>
      <c r="U20" s="14"/>
      <c r="V20" s="14"/>
      <c r="W20" s="14"/>
      <c r="X20" s="14"/>
      <c r="Y20" s="14"/>
      <c r="Z20" s="14"/>
    </row>
    <row r="21" ht="15.75" customHeight="1">
      <c r="A21" s="11" t="s">
        <v>1051</v>
      </c>
      <c r="B21" s="11">
        <v>6.0</v>
      </c>
      <c r="C21" s="11" t="str">
        <f t="array" ref="C21">IFERROR(INDEX(DOCUMENTOS!$B:$B,MATCH($B21,DOCUMENTOS!$A:$A,0)),"")</f>
        <v>Grupo 4 - Informação Financeira</v>
      </c>
      <c r="D21" s="11" t="str">
        <f t="array" ref="D21">IFERROR(INDEX(DOCUMENTOS!$D:$D,MATCH($B21,DOCUMENTOS!$A:$A,0)),"")</f>
        <v>Ordem Bancária</v>
      </c>
      <c r="E21" s="11" t="str">
        <f t="array" ref="E21">IFERROR(INDEX(DOCUMENTOS!$E:$E,MATCH($B21,DOCUMENTOS!$A:$A,0)),"")</f>
        <v>Ordem Bancária 2026OB000456</v>
      </c>
      <c r="F21" s="11" t="str">
        <f t="array" ref="F21">IFERROR(INDEX(DOCUMENTOS!$G:$G,MATCH($B21,DOCUMENTOS!$A:$A,0)),"")</f>
        <v>0604691</v>
      </c>
      <c r="G21" s="11" t="str">
        <f t="array" ref="G21">IFERROR(INDEX(DOCUMENTOS!$H:$H,MATCH($B21,DOCUMENTOS!$A:$A,0)),"")</f>
        <v>23854.003091/2026-37</v>
      </c>
      <c r="H21" s="11" t="s">
        <v>90</v>
      </c>
      <c r="I21" s="11" t="str">
        <f t="array" ref="I21">IFERROR(INDEX('BANCO DE PERGUNTAS'!$B:$B,MATCH($H21,'BANCO DE PERGUNTAS'!$A:$A,0)),"")</f>
        <v>Identificação</v>
      </c>
      <c r="J21" s="11">
        <f t="array" ref="J21">IFERROR(INDEX('BANCO DE PERGUNTAS'!$H:$H,MATCH($H21,'BANCO DE PERGUNTAS'!$A:$A,0)),"")</f>
        <v>1</v>
      </c>
      <c r="K21" s="11" t="str">
        <f t="array" ref="K21">IFERROR(INDEX('BANCO DE PERGUNTAS'!$D:$D,MATCH($H21,'BANCO DE PERGUNTAS'!$A:$A,0)),"")</f>
        <v>Qual é o número do processo relacionado?</v>
      </c>
      <c r="L21" s="11" t="str">
        <f t="array" ref="L21">IFERROR(INDEX('BANCO DE PERGUNTAS'!$E:$E,MATCH($H21,'BANCO DE PERGUNTAS'!$A:$A,0)),"")</f>
        <v>Com base exclusivamente no documento fornecido, responda: Qual é o número do processo relacionado? Caso a informação não conste no documento, declare explicitamente 'não consta no documento'.</v>
      </c>
      <c r="M21" s="11"/>
      <c r="N21" s="11"/>
      <c r="O21" s="11"/>
      <c r="P21" s="11"/>
      <c r="Q21" s="11"/>
      <c r="R21" s="11"/>
      <c r="S21" s="11"/>
      <c r="T21" s="11"/>
      <c r="U21" s="11"/>
      <c r="V21" s="11"/>
      <c r="W21" s="11"/>
      <c r="X21" s="11"/>
      <c r="Y21" s="11"/>
      <c r="Z21" s="11"/>
    </row>
    <row r="22" ht="15.75" customHeight="1">
      <c r="A22" s="14" t="s">
        <v>1053</v>
      </c>
      <c r="B22" s="14">
        <v>7.0</v>
      </c>
      <c r="C22" s="14" t="str">
        <f t="array" ref="C22">IFERROR(INDEX(DOCUMENTOS!$B:$B,MATCH($B22,DOCUMENTOS!$A:$A,0)),"")</f>
        <v/>
      </c>
      <c r="D22" s="14" t="str">
        <f t="array" ref="D22">IFERROR(INDEX(DOCUMENTOS!$D:$D,MATCH($B22,DOCUMENTOS!$A:$A,0)),"")</f>
        <v/>
      </c>
      <c r="E22" s="14" t="str">
        <f t="array" ref="E22">IFERROR(INDEX(DOCUMENTOS!$E:$E,MATCH($B22,DOCUMENTOS!$A:$A,0)),"")</f>
        <v/>
      </c>
      <c r="F22" s="14" t="str">
        <f t="array" ref="F22">IFERROR(INDEX(DOCUMENTOS!$G:$G,MATCH($B22,DOCUMENTOS!$A:$A,0)),"")</f>
        <v/>
      </c>
      <c r="G22" s="14" t="str">
        <f t="array" ref="G22">IFERROR(INDEX(DOCUMENTOS!$H:$H,MATCH($B22,DOCUMENTOS!$A:$A,0)),"")</f>
        <v/>
      </c>
      <c r="H22" s="14" t="s">
        <v>33</v>
      </c>
      <c r="I22" s="14" t="str">
        <f t="array" ref="I22">IFERROR(INDEX('BANCO DE PERGUNTAS'!$B:$B,MATCH($H22,'BANCO DE PERGUNTAS'!$A:$A,0)),"")</f>
        <v>Identificação</v>
      </c>
      <c r="J22" s="14">
        <f t="array" ref="J22">IFERROR(INDEX('BANCO DE PERGUNTAS'!$H:$H,MATCH($H22,'BANCO DE PERGUNTAS'!$A:$A,0)),"")</f>
        <v>1</v>
      </c>
      <c r="K22" s="14" t="str">
        <f t="array" ref="K22">IFERROR(INDEX('BANCO DE PERGUNTAS'!$D:$D,MATCH($H22,'BANCO DE PERGUNTAS'!$A:$A,0)),"")</f>
        <v>Qual é o objeto principal deste documento?</v>
      </c>
      <c r="L22" s="14" t="str">
        <f t="array" ref="L22">IFERROR(INDEX('BANCO DE PERGUNTAS'!$E:$E,MATCH($H22,'BANCO DE PERGUNTAS'!$A:$A,0)),"")</f>
        <v>Com base exclusivamente no documento fornecido, responda: Qual é o objeto principal deste documento? Caso a informação não conste no documento, declare explicitamente 'não consta no documento'.</v>
      </c>
      <c r="M22" s="14"/>
      <c r="N22" s="14"/>
      <c r="O22" s="14"/>
      <c r="P22" s="14"/>
      <c r="Q22" s="14"/>
      <c r="R22" s="14"/>
      <c r="S22" s="14"/>
      <c r="T22" s="14"/>
      <c r="U22" s="14"/>
      <c r="V22" s="14"/>
      <c r="W22" s="14"/>
      <c r="X22" s="14"/>
      <c r="Y22" s="14"/>
      <c r="Z22" s="14"/>
    </row>
    <row r="23" ht="15.75" customHeight="1">
      <c r="A23" s="11" t="s">
        <v>1058</v>
      </c>
      <c r="B23" s="11">
        <v>7.0</v>
      </c>
      <c r="C23" s="11" t="str">
        <f t="array" ref="C23">IFERROR(INDEX(DOCUMENTOS!$B:$B,MATCH($B23,DOCUMENTOS!$A:$A,0)),"")</f>
        <v/>
      </c>
      <c r="D23" s="11" t="str">
        <f t="array" ref="D23">IFERROR(INDEX(DOCUMENTOS!$D:$D,MATCH($B23,DOCUMENTOS!$A:$A,0)),"")</f>
        <v/>
      </c>
      <c r="E23" s="11" t="str">
        <f t="array" ref="E23">IFERROR(INDEX(DOCUMENTOS!$E:$E,MATCH($B23,DOCUMENTOS!$A:$A,0)),"")</f>
        <v/>
      </c>
      <c r="F23" s="11" t="str">
        <f t="array" ref="F23">IFERROR(INDEX(DOCUMENTOS!$G:$G,MATCH($B23,DOCUMENTOS!$A:$A,0)),"")</f>
        <v/>
      </c>
      <c r="G23" s="11" t="str">
        <f t="array" ref="G23">IFERROR(INDEX(DOCUMENTOS!$H:$H,MATCH($B23,DOCUMENTOS!$A:$A,0)),"")</f>
        <v/>
      </c>
      <c r="H23" s="11" t="s">
        <v>68</v>
      </c>
      <c r="I23" s="11" t="str">
        <f t="array" ref="I23">IFERROR(INDEX('BANCO DE PERGUNTAS'!$B:$B,MATCH($H23,'BANCO DE PERGUNTAS'!$A:$A,0)),"")</f>
        <v>Identificação</v>
      </c>
      <c r="J23" s="11">
        <f t="array" ref="J23">IFERROR(INDEX('BANCO DE PERGUNTAS'!$H:$H,MATCH($H23,'BANCO DE PERGUNTAS'!$A:$A,0)),"")</f>
        <v>1</v>
      </c>
      <c r="K23" s="11" t="str">
        <f t="array" ref="K23">IFERROR(INDEX('BANCO DE PERGUNTAS'!$D:$D,MATCH($H23,'BANCO DE PERGUNTAS'!$A:$A,0)),"")</f>
        <v>Qual é o número ou identificação do documento?</v>
      </c>
      <c r="L23" s="11" t="str">
        <f t="array" ref="L23">IFERROR(INDEX('BANCO DE PERGUNTAS'!$E:$E,MATCH($H23,'BANCO DE PERGUNTAS'!$A:$A,0)),"")</f>
        <v>Com base exclusivamente no documento fornecido, responda: Qual é o número ou identificação do documento? Caso a informação não conste no documento, declare explicitamente 'não consta no documento'.</v>
      </c>
      <c r="M23" s="11"/>
      <c r="N23" s="11"/>
      <c r="O23" s="11"/>
      <c r="P23" s="11"/>
      <c r="Q23" s="11"/>
      <c r="R23" s="11"/>
      <c r="S23" s="11"/>
      <c r="T23" s="11"/>
      <c r="U23" s="11"/>
      <c r="V23" s="11"/>
      <c r="W23" s="11"/>
      <c r="X23" s="11"/>
      <c r="Y23" s="11"/>
      <c r="Z23" s="11"/>
    </row>
    <row r="24" ht="15.75" customHeight="1">
      <c r="A24" s="14" t="s">
        <v>1061</v>
      </c>
      <c r="B24" s="14">
        <v>7.0</v>
      </c>
      <c r="C24" s="14" t="str">
        <f t="array" ref="C24">IFERROR(INDEX(DOCUMENTOS!$B:$B,MATCH($B24,DOCUMENTOS!$A:$A,0)),"")</f>
        <v/>
      </c>
      <c r="D24" s="14" t="str">
        <f t="array" ref="D24">IFERROR(INDEX(DOCUMENTOS!$D:$D,MATCH($B24,DOCUMENTOS!$A:$A,0)),"")</f>
        <v/>
      </c>
      <c r="E24" s="14" t="str">
        <f t="array" ref="E24">IFERROR(INDEX(DOCUMENTOS!$E:$E,MATCH($B24,DOCUMENTOS!$A:$A,0)),"")</f>
        <v/>
      </c>
      <c r="F24" s="14" t="str">
        <f t="array" ref="F24">IFERROR(INDEX(DOCUMENTOS!$G:$G,MATCH($B24,DOCUMENTOS!$A:$A,0)),"")</f>
        <v/>
      </c>
      <c r="G24" s="14" t="str">
        <f t="array" ref="G24">IFERROR(INDEX(DOCUMENTOS!$H:$H,MATCH($B24,DOCUMENTOS!$A:$A,0)),"")</f>
        <v/>
      </c>
      <c r="H24" s="14" t="s">
        <v>90</v>
      </c>
      <c r="I24" s="14" t="str">
        <f t="array" ref="I24">IFERROR(INDEX('BANCO DE PERGUNTAS'!$B:$B,MATCH($H24,'BANCO DE PERGUNTAS'!$A:$A,0)),"")</f>
        <v>Identificação</v>
      </c>
      <c r="J24" s="14">
        <f t="array" ref="J24">IFERROR(INDEX('BANCO DE PERGUNTAS'!$H:$H,MATCH($H24,'BANCO DE PERGUNTAS'!$A:$A,0)),"")</f>
        <v>1</v>
      </c>
      <c r="K24" s="14" t="str">
        <f t="array" ref="K24">IFERROR(INDEX('BANCO DE PERGUNTAS'!$D:$D,MATCH($H24,'BANCO DE PERGUNTAS'!$A:$A,0)),"")</f>
        <v>Qual é o número do processo relacionado?</v>
      </c>
      <c r="L24" s="14" t="str">
        <f t="array" ref="L24">IFERROR(INDEX('BANCO DE PERGUNTAS'!$E:$E,MATCH($H24,'BANCO DE PERGUNTAS'!$A:$A,0)),"")</f>
        <v>Com base exclusivamente no documento fornecido, responda: Qual é o número do processo relacionado? Caso a informação não conste no documento, declare explicitamente 'não consta no documento'.</v>
      </c>
      <c r="M24" s="14"/>
      <c r="N24" s="14"/>
      <c r="O24" s="14"/>
      <c r="P24" s="14"/>
      <c r="Q24" s="14"/>
      <c r="R24" s="14"/>
      <c r="S24" s="14"/>
      <c r="T24" s="14"/>
      <c r="U24" s="14"/>
      <c r="V24" s="14"/>
      <c r="W24" s="14"/>
      <c r="X24" s="14"/>
      <c r="Y24" s="14"/>
      <c r="Z24" s="14"/>
    </row>
    <row r="25" ht="15.75" customHeight="1">
      <c r="A25" s="11" t="s">
        <v>1063</v>
      </c>
      <c r="B25" s="11">
        <v>8.0</v>
      </c>
      <c r="C25" s="11" t="str">
        <f t="array" ref="C25">IFERROR(INDEX(DOCUMENTOS!$B:$B,MATCH($B25,DOCUMENTOS!$A:$A,0)),"")</f>
        <v/>
      </c>
      <c r="D25" s="11" t="str">
        <f t="array" ref="D25">IFERROR(INDEX(DOCUMENTOS!$D:$D,MATCH($B25,DOCUMENTOS!$A:$A,0)),"")</f>
        <v/>
      </c>
      <c r="E25" s="11" t="str">
        <f t="array" ref="E25">IFERROR(INDEX(DOCUMENTOS!$E:$E,MATCH($B25,DOCUMENTOS!$A:$A,0)),"")</f>
        <v/>
      </c>
      <c r="F25" s="11" t="str">
        <f t="array" ref="F25">IFERROR(INDEX(DOCUMENTOS!$G:$G,MATCH($B25,DOCUMENTOS!$A:$A,0)),"")</f>
        <v/>
      </c>
      <c r="G25" s="11" t="str">
        <f t="array" ref="G25">IFERROR(INDEX(DOCUMENTOS!$H:$H,MATCH($B25,DOCUMENTOS!$A:$A,0)),"")</f>
        <v/>
      </c>
      <c r="H25" s="11" t="s">
        <v>33</v>
      </c>
      <c r="I25" s="11" t="str">
        <f t="array" ref="I25">IFERROR(INDEX('BANCO DE PERGUNTAS'!$B:$B,MATCH($H25,'BANCO DE PERGUNTAS'!$A:$A,0)),"")</f>
        <v>Identificação</v>
      </c>
      <c r="J25" s="11">
        <f t="array" ref="J25">IFERROR(INDEX('BANCO DE PERGUNTAS'!$H:$H,MATCH($H25,'BANCO DE PERGUNTAS'!$A:$A,0)),"")</f>
        <v>1</v>
      </c>
      <c r="K25" s="11" t="str">
        <f t="array" ref="K25">IFERROR(INDEX('BANCO DE PERGUNTAS'!$D:$D,MATCH($H25,'BANCO DE PERGUNTAS'!$A:$A,0)),"")</f>
        <v>Qual é o objeto principal deste documento?</v>
      </c>
      <c r="L25" s="11" t="str">
        <f t="array" ref="L25">IFERROR(INDEX('BANCO DE PERGUNTAS'!$E:$E,MATCH($H25,'BANCO DE PERGUNTAS'!$A:$A,0)),"")</f>
        <v>Com base exclusivamente no documento fornecido, responda: Qual é o objeto principal deste documento? Caso a informação não conste no documento, declare explicitamente 'não consta no documento'.</v>
      </c>
      <c r="M25" s="11"/>
      <c r="N25" s="11"/>
      <c r="O25" s="11"/>
      <c r="P25" s="11"/>
      <c r="Q25" s="11"/>
      <c r="R25" s="11"/>
      <c r="S25" s="11"/>
      <c r="T25" s="11"/>
      <c r="U25" s="11"/>
      <c r="V25" s="11"/>
      <c r="W25" s="11"/>
      <c r="X25" s="11"/>
      <c r="Y25" s="11"/>
      <c r="Z25" s="11"/>
    </row>
    <row r="26" ht="15.75" customHeight="1">
      <c r="A26" s="14" t="s">
        <v>1064</v>
      </c>
      <c r="B26" s="14">
        <v>8.0</v>
      </c>
      <c r="C26" s="14" t="str">
        <f t="array" ref="C26">IFERROR(INDEX(DOCUMENTOS!$B:$B,MATCH($B26,DOCUMENTOS!$A:$A,0)),"")</f>
        <v/>
      </c>
      <c r="D26" s="14" t="str">
        <f t="array" ref="D26">IFERROR(INDEX(DOCUMENTOS!$D:$D,MATCH($B26,DOCUMENTOS!$A:$A,0)),"")</f>
        <v/>
      </c>
      <c r="E26" s="14" t="str">
        <f t="array" ref="E26">IFERROR(INDEX(DOCUMENTOS!$E:$E,MATCH($B26,DOCUMENTOS!$A:$A,0)),"")</f>
        <v/>
      </c>
      <c r="F26" s="14" t="str">
        <f t="array" ref="F26">IFERROR(INDEX(DOCUMENTOS!$G:$G,MATCH($B26,DOCUMENTOS!$A:$A,0)),"")</f>
        <v/>
      </c>
      <c r="G26" s="14" t="str">
        <f t="array" ref="G26">IFERROR(INDEX(DOCUMENTOS!$H:$H,MATCH($B26,DOCUMENTOS!$A:$A,0)),"")</f>
        <v/>
      </c>
      <c r="H26" s="14" t="s">
        <v>68</v>
      </c>
      <c r="I26" s="14" t="str">
        <f t="array" ref="I26">IFERROR(INDEX('BANCO DE PERGUNTAS'!$B:$B,MATCH($H26,'BANCO DE PERGUNTAS'!$A:$A,0)),"")</f>
        <v>Identificação</v>
      </c>
      <c r="J26" s="14">
        <f t="array" ref="J26">IFERROR(INDEX('BANCO DE PERGUNTAS'!$H:$H,MATCH($H26,'BANCO DE PERGUNTAS'!$A:$A,0)),"")</f>
        <v>1</v>
      </c>
      <c r="K26" s="14" t="str">
        <f t="array" ref="K26">IFERROR(INDEX('BANCO DE PERGUNTAS'!$D:$D,MATCH($H26,'BANCO DE PERGUNTAS'!$A:$A,0)),"")</f>
        <v>Qual é o número ou identificação do documento?</v>
      </c>
      <c r="L26" s="14" t="str">
        <f t="array" ref="L26">IFERROR(INDEX('BANCO DE PERGUNTAS'!$E:$E,MATCH($H26,'BANCO DE PERGUNTAS'!$A:$A,0)),"")</f>
        <v>Com base exclusivamente no documento fornecido, responda: Qual é o número ou identificação do documento? Caso a informação não conste no documento, declare explicitamente 'não consta no documento'.</v>
      </c>
      <c r="M26" s="14"/>
      <c r="N26" s="14"/>
      <c r="O26" s="14"/>
      <c r="P26" s="14"/>
      <c r="Q26" s="14"/>
      <c r="R26" s="14"/>
      <c r="S26" s="14"/>
      <c r="T26" s="14"/>
      <c r="U26" s="14"/>
      <c r="V26" s="14"/>
      <c r="W26" s="14"/>
      <c r="X26" s="14"/>
      <c r="Y26" s="14"/>
      <c r="Z26" s="14"/>
    </row>
    <row r="27" ht="15.75" customHeight="1">
      <c r="A27" s="11" t="s">
        <v>1066</v>
      </c>
      <c r="B27" s="11">
        <v>8.0</v>
      </c>
      <c r="C27" s="11" t="str">
        <f t="array" ref="C27">IFERROR(INDEX(DOCUMENTOS!$B:$B,MATCH($B27,DOCUMENTOS!$A:$A,0)),"")</f>
        <v/>
      </c>
      <c r="D27" s="11" t="str">
        <f t="array" ref="D27">IFERROR(INDEX(DOCUMENTOS!$D:$D,MATCH($B27,DOCUMENTOS!$A:$A,0)),"")</f>
        <v/>
      </c>
      <c r="E27" s="11" t="str">
        <f t="array" ref="E27">IFERROR(INDEX(DOCUMENTOS!$E:$E,MATCH($B27,DOCUMENTOS!$A:$A,0)),"")</f>
        <v/>
      </c>
      <c r="F27" s="11" t="str">
        <f t="array" ref="F27">IFERROR(INDEX(DOCUMENTOS!$G:$G,MATCH($B27,DOCUMENTOS!$A:$A,0)),"")</f>
        <v/>
      </c>
      <c r="G27" s="11" t="str">
        <f t="array" ref="G27">IFERROR(INDEX(DOCUMENTOS!$H:$H,MATCH($B27,DOCUMENTOS!$A:$A,0)),"")</f>
        <v/>
      </c>
      <c r="H27" s="11" t="s">
        <v>90</v>
      </c>
      <c r="I27" s="11" t="str">
        <f t="array" ref="I27">IFERROR(INDEX('BANCO DE PERGUNTAS'!$B:$B,MATCH($H27,'BANCO DE PERGUNTAS'!$A:$A,0)),"")</f>
        <v>Identificação</v>
      </c>
      <c r="J27" s="11">
        <f t="array" ref="J27">IFERROR(INDEX('BANCO DE PERGUNTAS'!$H:$H,MATCH($H27,'BANCO DE PERGUNTAS'!$A:$A,0)),"")</f>
        <v>1</v>
      </c>
      <c r="K27" s="11" t="str">
        <f t="array" ref="K27">IFERROR(INDEX('BANCO DE PERGUNTAS'!$D:$D,MATCH($H27,'BANCO DE PERGUNTAS'!$A:$A,0)),"")</f>
        <v>Qual é o número do processo relacionado?</v>
      </c>
      <c r="L27" s="11" t="str">
        <f t="array" ref="L27">IFERROR(INDEX('BANCO DE PERGUNTAS'!$E:$E,MATCH($H27,'BANCO DE PERGUNTAS'!$A:$A,0)),"")</f>
        <v>Com base exclusivamente no documento fornecido, responda: Qual é o número do processo relacionado? Caso a informação não conste no documento, declare explicitamente 'não consta no documento'.</v>
      </c>
      <c r="M27" s="11"/>
      <c r="N27" s="11"/>
      <c r="O27" s="11"/>
      <c r="P27" s="11"/>
      <c r="Q27" s="11"/>
      <c r="R27" s="11"/>
      <c r="S27" s="11"/>
      <c r="T27" s="11"/>
      <c r="U27" s="11"/>
      <c r="V27" s="11"/>
      <c r="W27" s="11"/>
      <c r="X27" s="11"/>
      <c r="Y27" s="11"/>
      <c r="Z27" s="11"/>
    </row>
    <row r="28" ht="15.75" customHeight="1">
      <c r="A28" s="14" t="s">
        <v>1071</v>
      </c>
      <c r="B28" s="14">
        <v>9.0</v>
      </c>
      <c r="C28" s="14" t="str">
        <f t="array" ref="C28">IFERROR(INDEX(DOCUMENTOS!$B:$B,MATCH($B28,DOCUMENTOS!$A:$A,0)),"")</f>
        <v/>
      </c>
      <c r="D28" s="14" t="str">
        <f t="array" ref="D28">IFERROR(INDEX(DOCUMENTOS!$D:$D,MATCH($B28,DOCUMENTOS!$A:$A,0)),"")</f>
        <v/>
      </c>
      <c r="E28" s="14" t="str">
        <f t="array" ref="E28">IFERROR(INDEX(DOCUMENTOS!$E:$E,MATCH($B28,DOCUMENTOS!$A:$A,0)),"")</f>
        <v/>
      </c>
      <c r="F28" s="14" t="str">
        <f t="array" ref="F28">IFERROR(INDEX(DOCUMENTOS!$G:$G,MATCH($B28,DOCUMENTOS!$A:$A,0)),"")</f>
        <v/>
      </c>
      <c r="G28" s="14" t="str">
        <f t="array" ref="G28">IFERROR(INDEX(DOCUMENTOS!$H:$H,MATCH($B28,DOCUMENTOS!$A:$A,0)),"")</f>
        <v/>
      </c>
      <c r="H28" s="14" t="s">
        <v>33</v>
      </c>
      <c r="I28" s="14" t="str">
        <f t="array" ref="I28">IFERROR(INDEX('BANCO DE PERGUNTAS'!$B:$B,MATCH($H28,'BANCO DE PERGUNTAS'!$A:$A,0)),"")</f>
        <v>Identificação</v>
      </c>
      <c r="J28" s="14">
        <f t="array" ref="J28">IFERROR(INDEX('BANCO DE PERGUNTAS'!$H:$H,MATCH($H28,'BANCO DE PERGUNTAS'!$A:$A,0)),"")</f>
        <v>1</v>
      </c>
      <c r="K28" s="14" t="str">
        <f t="array" ref="K28">IFERROR(INDEX('BANCO DE PERGUNTAS'!$D:$D,MATCH($H28,'BANCO DE PERGUNTAS'!$A:$A,0)),"")</f>
        <v>Qual é o objeto principal deste documento?</v>
      </c>
      <c r="L28" s="14" t="str">
        <f t="array" ref="L28">IFERROR(INDEX('BANCO DE PERGUNTAS'!$E:$E,MATCH($H28,'BANCO DE PERGUNTAS'!$A:$A,0)),"")</f>
        <v>Com base exclusivamente no documento fornecido, responda: Qual é o objeto principal deste documento? Caso a informação não conste no documento, declare explicitamente 'não consta no documento'.</v>
      </c>
      <c r="M28" s="14"/>
      <c r="N28" s="14"/>
      <c r="O28" s="14"/>
      <c r="P28" s="14"/>
      <c r="Q28" s="14"/>
      <c r="R28" s="14"/>
      <c r="S28" s="14"/>
      <c r="T28" s="14"/>
      <c r="U28" s="14"/>
      <c r="V28" s="14"/>
      <c r="W28" s="14"/>
      <c r="X28" s="14"/>
      <c r="Y28" s="14"/>
      <c r="Z28" s="14"/>
    </row>
    <row r="29" ht="15.75" customHeight="1">
      <c r="A29" s="11" t="s">
        <v>1075</v>
      </c>
      <c r="B29" s="11">
        <v>9.0</v>
      </c>
      <c r="C29" s="11" t="str">
        <f t="array" ref="C29">IFERROR(INDEX(DOCUMENTOS!$B:$B,MATCH($B29,DOCUMENTOS!$A:$A,0)),"")</f>
        <v/>
      </c>
      <c r="D29" s="11" t="str">
        <f t="array" ref="D29">IFERROR(INDEX(DOCUMENTOS!$D:$D,MATCH($B29,DOCUMENTOS!$A:$A,0)),"")</f>
        <v/>
      </c>
      <c r="E29" s="11" t="str">
        <f t="array" ref="E29">IFERROR(INDEX(DOCUMENTOS!$E:$E,MATCH($B29,DOCUMENTOS!$A:$A,0)),"")</f>
        <v/>
      </c>
      <c r="F29" s="11" t="str">
        <f t="array" ref="F29">IFERROR(INDEX(DOCUMENTOS!$G:$G,MATCH($B29,DOCUMENTOS!$A:$A,0)),"")</f>
        <v/>
      </c>
      <c r="G29" s="11" t="str">
        <f t="array" ref="G29">IFERROR(INDEX(DOCUMENTOS!$H:$H,MATCH($B29,DOCUMENTOS!$A:$A,0)),"")</f>
        <v/>
      </c>
      <c r="H29" s="11" t="s">
        <v>68</v>
      </c>
      <c r="I29" s="11" t="str">
        <f t="array" ref="I29">IFERROR(INDEX('BANCO DE PERGUNTAS'!$B:$B,MATCH($H29,'BANCO DE PERGUNTAS'!$A:$A,0)),"")</f>
        <v>Identificação</v>
      </c>
      <c r="J29" s="11">
        <f t="array" ref="J29">IFERROR(INDEX('BANCO DE PERGUNTAS'!$H:$H,MATCH($H29,'BANCO DE PERGUNTAS'!$A:$A,0)),"")</f>
        <v>1</v>
      </c>
      <c r="K29" s="11" t="str">
        <f t="array" ref="K29">IFERROR(INDEX('BANCO DE PERGUNTAS'!$D:$D,MATCH($H29,'BANCO DE PERGUNTAS'!$A:$A,0)),"")</f>
        <v>Qual é o número ou identificação do documento?</v>
      </c>
      <c r="L29" s="11" t="str">
        <f t="array" ref="L29">IFERROR(INDEX('BANCO DE PERGUNTAS'!$E:$E,MATCH($H29,'BANCO DE PERGUNTAS'!$A:$A,0)),"")</f>
        <v>Com base exclusivamente no documento fornecido, responda: Qual é o número ou identificação do documento? Caso a informação não conste no documento, declare explicitamente 'não consta no documento'.</v>
      </c>
      <c r="M29" s="11"/>
      <c r="N29" s="11"/>
      <c r="O29" s="11"/>
      <c r="P29" s="11"/>
      <c r="Q29" s="11"/>
      <c r="R29" s="11"/>
      <c r="S29" s="11"/>
      <c r="T29" s="11"/>
      <c r="U29" s="11"/>
      <c r="V29" s="11"/>
      <c r="W29" s="11"/>
      <c r="X29" s="11"/>
      <c r="Y29" s="11"/>
      <c r="Z29" s="11"/>
    </row>
    <row r="30" ht="15.75" customHeight="1">
      <c r="A30" s="14" t="s">
        <v>1076</v>
      </c>
      <c r="B30" s="14">
        <v>9.0</v>
      </c>
      <c r="C30" s="14" t="str">
        <f t="array" ref="C30">IFERROR(INDEX(DOCUMENTOS!$B:$B,MATCH($B30,DOCUMENTOS!$A:$A,0)),"")</f>
        <v/>
      </c>
      <c r="D30" s="14" t="str">
        <f t="array" ref="D30">IFERROR(INDEX(DOCUMENTOS!$D:$D,MATCH($B30,DOCUMENTOS!$A:$A,0)),"")</f>
        <v/>
      </c>
      <c r="E30" s="14" t="str">
        <f t="array" ref="E30">IFERROR(INDEX(DOCUMENTOS!$E:$E,MATCH($B30,DOCUMENTOS!$A:$A,0)),"")</f>
        <v/>
      </c>
      <c r="F30" s="14" t="str">
        <f t="array" ref="F30">IFERROR(INDEX(DOCUMENTOS!$G:$G,MATCH($B30,DOCUMENTOS!$A:$A,0)),"")</f>
        <v/>
      </c>
      <c r="G30" s="14" t="str">
        <f t="array" ref="G30">IFERROR(INDEX(DOCUMENTOS!$H:$H,MATCH($B30,DOCUMENTOS!$A:$A,0)),"")</f>
        <v/>
      </c>
      <c r="H30" s="14" t="s">
        <v>90</v>
      </c>
      <c r="I30" s="14" t="str">
        <f t="array" ref="I30">IFERROR(INDEX('BANCO DE PERGUNTAS'!$B:$B,MATCH($H30,'BANCO DE PERGUNTAS'!$A:$A,0)),"")</f>
        <v>Identificação</v>
      </c>
      <c r="J30" s="14">
        <f t="array" ref="J30">IFERROR(INDEX('BANCO DE PERGUNTAS'!$H:$H,MATCH($H30,'BANCO DE PERGUNTAS'!$A:$A,0)),"")</f>
        <v>1</v>
      </c>
      <c r="K30" s="14" t="str">
        <f t="array" ref="K30">IFERROR(INDEX('BANCO DE PERGUNTAS'!$D:$D,MATCH($H30,'BANCO DE PERGUNTAS'!$A:$A,0)),"")</f>
        <v>Qual é o número do processo relacionado?</v>
      </c>
      <c r="L30" s="14" t="str">
        <f t="array" ref="L30">IFERROR(INDEX('BANCO DE PERGUNTAS'!$E:$E,MATCH($H30,'BANCO DE PERGUNTAS'!$A:$A,0)),"")</f>
        <v>Com base exclusivamente no documento fornecido, responda: Qual é o número do processo relacionado? Caso a informação não conste no documento, declare explicitamente 'não consta no documento'.</v>
      </c>
      <c r="M30" s="14"/>
      <c r="N30" s="14"/>
      <c r="O30" s="14"/>
      <c r="P30" s="14"/>
      <c r="Q30" s="14"/>
      <c r="R30" s="14"/>
      <c r="S30" s="14"/>
      <c r="T30" s="14"/>
      <c r="U30" s="14"/>
      <c r="V30" s="14"/>
      <c r="W30" s="14"/>
      <c r="X30" s="14"/>
      <c r="Y30" s="14"/>
      <c r="Z30" s="14"/>
    </row>
    <row r="31" ht="15.75" customHeight="1">
      <c r="A31" s="11" t="s">
        <v>1077</v>
      </c>
      <c r="B31" s="11">
        <v>10.0</v>
      </c>
      <c r="C31" s="11" t="str">
        <f t="array" ref="C31">IFERROR(INDEX(DOCUMENTOS!$B:$B,MATCH($B31,DOCUMENTOS!$A:$A,0)),"")</f>
        <v/>
      </c>
      <c r="D31" s="11" t="str">
        <f t="array" ref="D31">IFERROR(INDEX(DOCUMENTOS!$D:$D,MATCH($B31,DOCUMENTOS!$A:$A,0)),"")</f>
        <v/>
      </c>
      <c r="E31" s="11" t="str">
        <f t="array" ref="E31">IFERROR(INDEX(DOCUMENTOS!$E:$E,MATCH($B31,DOCUMENTOS!$A:$A,0)),"")</f>
        <v/>
      </c>
      <c r="F31" s="11" t="str">
        <f t="array" ref="F31">IFERROR(INDEX(DOCUMENTOS!$G:$G,MATCH($B31,DOCUMENTOS!$A:$A,0)),"")</f>
        <v/>
      </c>
      <c r="G31" s="11" t="str">
        <f t="array" ref="G31">IFERROR(INDEX(DOCUMENTOS!$H:$H,MATCH($B31,DOCUMENTOS!$A:$A,0)),"")</f>
        <v/>
      </c>
      <c r="H31" s="11" t="s">
        <v>33</v>
      </c>
      <c r="I31" s="11" t="str">
        <f t="array" ref="I31">IFERROR(INDEX('BANCO DE PERGUNTAS'!$B:$B,MATCH($H31,'BANCO DE PERGUNTAS'!$A:$A,0)),"")</f>
        <v>Identificação</v>
      </c>
      <c r="J31" s="11">
        <f t="array" ref="J31">IFERROR(INDEX('BANCO DE PERGUNTAS'!$H:$H,MATCH($H31,'BANCO DE PERGUNTAS'!$A:$A,0)),"")</f>
        <v>1</v>
      </c>
      <c r="K31" s="11" t="str">
        <f t="array" ref="K31">IFERROR(INDEX('BANCO DE PERGUNTAS'!$D:$D,MATCH($H31,'BANCO DE PERGUNTAS'!$A:$A,0)),"")</f>
        <v>Qual é o objeto principal deste documento?</v>
      </c>
      <c r="L31" s="11" t="str">
        <f t="array" ref="L31">IFERROR(INDEX('BANCO DE PERGUNTAS'!$E:$E,MATCH($H31,'BANCO DE PERGUNTAS'!$A:$A,0)),"")</f>
        <v>Com base exclusivamente no documento fornecido, responda: Qual é o objeto principal deste documento? Caso a informação não conste no documento, declare explicitamente 'não consta no documento'.</v>
      </c>
      <c r="M31" s="11"/>
      <c r="N31" s="11"/>
      <c r="O31" s="11"/>
      <c r="P31" s="11"/>
      <c r="Q31" s="11"/>
      <c r="R31" s="11"/>
      <c r="S31" s="11"/>
      <c r="T31" s="11"/>
      <c r="U31" s="11"/>
      <c r="V31" s="11"/>
      <c r="W31" s="11"/>
      <c r="X31" s="11"/>
      <c r="Y31" s="11"/>
      <c r="Z31" s="11"/>
    </row>
    <row r="32" ht="15.75" customHeight="1">
      <c r="A32" s="14" t="s">
        <v>1078</v>
      </c>
      <c r="B32" s="14">
        <v>10.0</v>
      </c>
      <c r="C32" s="14" t="str">
        <f t="array" ref="C32">IFERROR(INDEX(DOCUMENTOS!$B:$B,MATCH($B32,DOCUMENTOS!$A:$A,0)),"")</f>
        <v/>
      </c>
      <c r="D32" s="14" t="str">
        <f t="array" ref="D32">IFERROR(INDEX(DOCUMENTOS!$D:$D,MATCH($B32,DOCUMENTOS!$A:$A,0)),"")</f>
        <v/>
      </c>
      <c r="E32" s="14" t="str">
        <f t="array" ref="E32">IFERROR(INDEX(DOCUMENTOS!$E:$E,MATCH($B32,DOCUMENTOS!$A:$A,0)),"")</f>
        <v/>
      </c>
      <c r="F32" s="14" t="str">
        <f t="array" ref="F32">IFERROR(INDEX(DOCUMENTOS!$G:$G,MATCH($B32,DOCUMENTOS!$A:$A,0)),"")</f>
        <v/>
      </c>
      <c r="G32" s="14" t="str">
        <f t="array" ref="G32">IFERROR(INDEX(DOCUMENTOS!$H:$H,MATCH($B32,DOCUMENTOS!$A:$A,0)),"")</f>
        <v/>
      </c>
      <c r="H32" s="14" t="s">
        <v>68</v>
      </c>
      <c r="I32" s="14" t="str">
        <f t="array" ref="I32">IFERROR(INDEX('BANCO DE PERGUNTAS'!$B:$B,MATCH($H32,'BANCO DE PERGUNTAS'!$A:$A,0)),"")</f>
        <v>Identificação</v>
      </c>
      <c r="J32" s="14">
        <f t="array" ref="J32">IFERROR(INDEX('BANCO DE PERGUNTAS'!$H:$H,MATCH($H32,'BANCO DE PERGUNTAS'!$A:$A,0)),"")</f>
        <v>1</v>
      </c>
      <c r="K32" s="14" t="str">
        <f t="array" ref="K32">IFERROR(INDEX('BANCO DE PERGUNTAS'!$D:$D,MATCH($H32,'BANCO DE PERGUNTAS'!$A:$A,0)),"")</f>
        <v>Qual é o número ou identificação do documento?</v>
      </c>
      <c r="L32" s="14" t="str">
        <f t="array" ref="L32">IFERROR(INDEX('BANCO DE PERGUNTAS'!$E:$E,MATCH($H32,'BANCO DE PERGUNTAS'!$A:$A,0)),"")</f>
        <v>Com base exclusivamente no documento fornecido, responda: Qual é o número ou identificação do documento? Caso a informação não conste no documento, declare explicitamente 'não consta no documento'.</v>
      </c>
      <c r="M32" s="14"/>
      <c r="N32" s="14"/>
      <c r="O32" s="14"/>
      <c r="P32" s="14"/>
      <c r="Q32" s="14"/>
      <c r="R32" s="14"/>
      <c r="S32" s="14"/>
      <c r="T32" s="14"/>
      <c r="U32" s="14"/>
      <c r="V32" s="14"/>
      <c r="W32" s="14"/>
      <c r="X32" s="14"/>
      <c r="Y32" s="14"/>
      <c r="Z32" s="14"/>
    </row>
    <row r="33" ht="15.75" customHeight="1">
      <c r="A33" s="11" t="s">
        <v>1085</v>
      </c>
      <c r="B33" s="11">
        <v>10.0</v>
      </c>
      <c r="C33" s="11" t="str">
        <f t="array" ref="C33">IFERROR(INDEX(DOCUMENTOS!$B:$B,MATCH($B33,DOCUMENTOS!$A:$A,0)),"")</f>
        <v/>
      </c>
      <c r="D33" s="11" t="str">
        <f t="array" ref="D33">IFERROR(INDEX(DOCUMENTOS!$D:$D,MATCH($B33,DOCUMENTOS!$A:$A,0)),"")</f>
        <v/>
      </c>
      <c r="E33" s="11" t="str">
        <f t="array" ref="E33">IFERROR(INDEX(DOCUMENTOS!$E:$E,MATCH($B33,DOCUMENTOS!$A:$A,0)),"")</f>
        <v/>
      </c>
      <c r="F33" s="11" t="str">
        <f t="array" ref="F33">IFERROR(INDEX(DOCUMENTOS!$G:$G,MATCH($B33,DOCUMENTOS!$A:$A,0)),"")</f>
        <v/>
      </c>
      <c r="G33" s="11" t="str">
        <f t="array" ref="G33">IFERROR(INDEX(DOCUMENTOS!$H:$H,MATCH($B33,DOCUMENTOS!$A:$A,0)),"")</f>
        <v/>
      </c>
      <c r="H33" s="11" t="s">
        <v>90</v>
      </c>
      <c r="I33" s="11" t="str">
        <f t="array" ref="I33">IFERROR(INDEX('BANCO DE PERGUNTAS'!$B:$B,MATCH($H33,'BANCO DE PERGUNTAS'!$A:$A,0)),"")</f>
        <v>Identificação</v>
      </c>
      <c r="J33" s="11">
        <f t="array" ref="J33">IFERROR(INDEX('BANCO DE PERGUNTAS'!$H:$H,MATCH($H33,'BANCO DE PERGUNTAS'!$A:$A,0)),"")</f>
        <v>1</v>
      </c>
      <c r="K33" s="11" t="str">
        <f t="array" ref="K33">IFERROR(INDEX('BANCO DE PERGUNTAS'!$D:$D,MATCH($H33,'BANCO DE PERGUNTAS'!$A:$A,0)),"")</f>
        <v>Qual é o número do processo relacionado?</v>
      </c>
      <c r="L33" s="11" t="str">
        <f t="array" ref="L33">IFERROR(INDEX('BANCO DE PERGUNTAS'!$E:$E,MATCH($H33,'BANCO DE PERGUNTAS'!$A:$A,0)),"")</f>
        <v>Com base exclusivamente no documento fornecido, responda: Qual é o número do processo relacionado? Caso a informação não conste no documento, declare explicitamente 'não consta no documento'.</v>
      </c>
      <c r="M33" s="11"/>
      <c r="N33" s="11"/>
      <c r="O33" s="11"/>
      <c r="P33" s="11"/>
      <c r="Q33" s="11"/>
      <c r="R33" s="11"/>
      <c r="S33" s="11"/>
      <c r="T33" s="11"/>
      <c r="U33" s="11"/>
      <c r="V33" s="11"/>
      <c r="W33" s="11"/>
      <c r="X33" s="11"/>
      <c r="Y33" s="11"/>
      <c r="Z33" s="11"/>
    </row>
    <row r="34" ht="15.75" customHeight="1">
      <c r="A34" s="14" t="s">
        <v>1086</v>
      </c>
      <c r="B34" s="14">
        <v>11.0</v>
      </c>
      <c r="C34" s="14" t="str">
        <f t="array" ref="C34">IFERROR(INDEX(DOCUMENTOS!$B:$B,MATCH($B34,DOCUMENTOS!$A:$A,0)),"")</f>
        <v/>
      </c>
      <c r="D34" s="14" t="str">
        <f t="array" ref="D34">IFERROR(INDEX(DOCUMENTOS!$D:$D,MATCH($B34,DOCUMENTOS!$A:$A,0)),"")</f>
        <v/>
      </c>
      <c r="E34" s="14" t="str">
        <f t="array" ref="E34">IFERROR(INDEX(DOCUMENTOS!$E:$E,MATCH($B34,DOCUMENTOS!$A:$A,0)),"")</f>
        <v/>
      </c>
      <c r="F34" s="14" t="str">
        <f t="array" ref="F34">IFERROR(INDEX(DOCUMENTOS!$G:$G,MATCH($B34,DOCUMENTOS!$A:$A,0)),"")</f>
        <v/>
      </c>
      <c r="G34" s="14" t="str">
        <f t="array" ref="G34">IFERROR(INDEX(DOCUMENTOS!$H:$H,MATCH($B34,DOCUMENTOS!$A:$A,0)),"")</f>
        <v/>
      </c>
      <c r="H34" s="14" t="s">
        <v>33</v>
      </c>
      <c r="I34" s="14" t="str">
        <f t="array" ref="I34">IFERROR(INDEX('BANCO DE PERGUNTAS'!$B:$B,MATCH($H34,'BANCO DE PERGUNTAS'!$A:$A,0)),"")</f>
        <v>Identificação</v>
      </c>
      <c r="J34" s="14">
        <f t="array" ref="J34">IFERROR(INDEX('BANCO DE PERGUNTAS'!$H:$H,MATCH($H34,'BANCO DE PERGUNTAS'!$A:$A,0)),"")</f>
        <v>1</v>
      </c>
      <c r="K34" s="14" t="str">
        <f t="array" ref="K34">IFERROR(INDEX('BANCO DE PERGUNTAS'!$D:$D,MATCH($H34,'BANCO DE PERGUNTAS'!$A:$A,0)),"")</f>
        <v>Qual é o objeto principal deste documento?</v>
      </c>
      <c r="L34" s="14" t="str">
        <f t="array" ref="L34">IFERROR(INDEX('BANCO DE PERGUNTAS'!$E:$E,MATCH($H34,'BANCO DE PERGUNTAS'!$A:$A,0)),"")</f>
        <v>Com base exclusivamente no documento fornecido, responda: Qual é o objeto principal deste documento? Caso a informação não conste no documento, declare explicitamente 'não consta no documento'.</v>
      </c>
      <c r="M34" s="14"/>
      <c r="N34" s="14"/>
      <c r="O34" s="14"/>
      <c r="P34" s="14"/>
      <c r="Q34" s="14"/>
      <c r="R34" s="14"/>
      <c r="S34" s="14"/>
      <c r="T34" s="14"/>
      <c r="U34" s="14"/>
      <c r="V34" s="14"/>
      <c r="W34" s="14"/>
      <c r="X34" s="14"/>
      <c r="Y34" s="14"/>
      <c r="Z34" s="14"/>
    </row>
    <row r="35" ht="15.75" customHeight="1">
      <c r="A35" s="11" t="s">
        <v>1087</v>
      </c>
      <c r="B35" s="11">
        <v>11.0</v>
      </c>
      <c r="C35" s="11" t="str">
        <f t="array" ref="C35">IFERROR(INDEX(DOCUMENTOS!$B:$B,MATCH($B35,DOCUMENTOS!$A:$A,0)),"")</f>
        <v/>
      </c>
      <c r="D35" s="11" t="str">
        <f t="array" ref="D35">IFERROR(INDEX(DOCUMENTOS!$D:$D,MATCH($B35,DOCUMENTOS!$A:$A,0)),"")</f>
        <v/>
      </c>
      <c r="E35" s="11" t="str">
        <f t="array" ref="E35">IFERROR(INDEX(DOCUMENTOS!$E:$E,MATCH($B35,DOCUMENTOS!$A:$A,0)),"")</f>
        <v/>
      </c>
      <c r="F35" s="11" t="str">
        <f t="array" ref="F35">IFERROR(INDEX(DOCUMENTOS!$G:$G,MATCH($B35,DOCUMENTOS!$A:$A,0)),"")</f>
        <v/>
      </c>
      <c r="G35" s="11" t="str">
        <f t="array" ref="G35">IFERROR(INDEX(DOCUMENTOS!$H:$H,MATCH($B35,DOCUMENTOS!$A:$A,0)),"")</f>
        <v/>
      </c>
      <c r="H35" s="11" t="s">
        <v>68</v>
      </c>
      <c r="I35" s="11" t="str">
        <f t="array" ref="I35">IFERROR(INDEX('BANCO DE PERGUNTAS'!$B:$B,MATCH($H35,'BANCO DE PERGUNTAS'!$A:$A,0)),"")</f>
        <v>Identificação</v>
      </c>
      <c r="J35" s="11">
        <f t="array" ref="J35">IFERROR(INDEX('BANCO DE PERGUNTAS'!$H:$H,MATCH($H35,'BANCO DE PERGUNTAS'!$A:$A,0)),"")</f>
        <v>1</v>
      </c>
      <c r="K35" s="11" t="str">
        <f t="array" ref="K35">IFERROR(INDEX('BANCO DE PERGUNTAS'!$D:$D,MATCH($H35,'BANCO DE PERGUNTAS'!$A:$A,0)),"")</f>
        <v>Qual é o número ou identificação do documento?</v>
      </c>
      <c r="L35" s="11" t="str">
        <f t="array" ref="L35">IFERROR(INDEX('BANCO DE PERGUNTAS'!$E:$E,MATCH($H35,'BANCO DE PERGUNTAS'!$A:$A,0)),"")</f>
        <v>Com base exclusivamente no documento fornecido, responda: Qual é o número ou identificação do documento? Caso a informação não conste no documento, declare explicitamente 'não consta no documento'.</v>
      </c>
      <c r="M35" s="11"/>
      <c r="N35" s="11"/>
      <c r="O35" s="11"/>
      <c r="P35" s="11"/>
      <c r="Q35" s="11"/>
      <c r="R35" s="11"/>
      <c r="S35" s="11"/>
      <c r="T35" s="11"/>
      <c r="U35" s="11"/>
      <c r="V35" s="11"/>
      <c r="W35" s="11"/>
      <c r="X35" s="11"/>
      <c r="Y35" s="11"/>
      <c r="Z35" s="11"/>
    </row>
    <row r="36" ht="15.75" customHeight="1">
      <c r="A36" s="14" t="s">
        <v>1092</v>
      </c>
      <c r="B36" s="14">
        <v>11.0</v>
      </c>
      <c r="C36" s="14" t="str">
        <f t="array" ref="C36">IFERROR(INDEX(DOCUMENTOS!$B:$B,MATCH($B36,DOCUMENTOS!$A:$A,0)),"")</f>
        <v/>
      </c>
      <c r="D36" s="14" t="str">
        <f t="array" ref="D36">IFERROR(INDEX(DOCUMENTOS!$D:$D,MATCH($B36,DOCUMENTOS!$A:$A,0)),"")</f>
        <v/>
      </c>
      <c r="E36" s="14" t="str">
        <f t="array" ref="E36">IFERROR(INDEX(DOCUMENTOS!$E:$E,MATCH($B36,DOCUMENTOS!$A:$A,0)),"")</f>
        <v/>
      </c>
      <c r="F36" s="14" t="str">
        <f t="array" ref="F36">IFERROR(INDEX(DOCUMENTOS!$G:$G,MATCH($B36,DOCUMENTOS!$A:$A,0)),"")</f>
        <v/>
      </c>
      <c r="G36" s="14" t="str">
        <f t="array" ref="G36">IFERROR(INDEX(DOCUMENTOS!$H:$H,MATCH($B36,DOCUMENTOS!$A:$A,0)),"")</f>
        <v/>
      </c>
      <c r="H36" s="14" t="s">
        <v>90</v>
      </c>
      <c r="I36" s="14" t="str">
        <f t="array" ref="I36">IFERROR(INDEX('BANCO DE PERGUNTAS'!$B:$B,MATCH($H36,'BANCO DE PERGUNTAS'!$A:$A,0)),"")</f>
        <v>Identificação</v>
      </c>
      <c r="J36" s="14">
        <f t="array" ref="J36">IFERROR(INDEX('BANCO DE PERGUNTAS'!$H:$H,MATCH($H36,'BANCO DE PERGUNTAS'!$A:$A,0)),"")</f>
        <v>1</v>
      </c>
      <c r="K36" s="14" t="str">
        <f t="array" ref="K36">IFERROR(INDEX('BANCO DE PERGUNTAS'!$D:$D,MATCH($H36,'BANCO DE PERGUNTAS'!$A:$A,0)),"")</f>
        <v>Qual é o número do processo relacionado?</v>
      </c>
      <c r="L36" s="14" t="str">
        <f t="array" ref="L36">IFERROR(INDEX('BANCO DE PERGUNTAS'!$E:$E,MATCH($H36,'BANCO DE PERGUNTAS'!$A:$A,0)),"")</f>
        <v>Com base exclusivamente no documento fornecido, responda: Qual é o número do processo relacionado? Caso a informação não conste no documento, declare explicitamente 'não consta no documento'.</v>
      </c>
      <c r="M36" s="14"/>
      <c r="N36" s="14"/>
      <c r="O36" s="14"/>
      <c r="P36" s="14"/>
      <c r="Q36" s="14"/>
      <c r="R36" s="14"/>
      <c r="S36" s="14"/>
      <c r="T36" s="14"/>
      <c r="U36" s="14"/>
      <c r="V36" s="14"/>
      <c r="W36" s="14"/>
      <c r="X36" s="14"/>
      <c r="Y36" s="14"/>
      <c r="Z36" s="14"/>
    </row>
    <row r="37" ht="15.75" customHeight="1">
      <c r="A37" s="11" t="s">
        <v>1097</v>
      </c>
      <c r="B37" s="11">
        <v>12.0</v>
      </c>
      <c r="C37" s="11" t="str">
        <f t="array" ref="C37">IFERROR(INDEX(DOCUMENTOS!$B:$B,MATCH($B37,DOCUMENTOS!$A:$A,0)),"")</f>
        <v/>
      </c>
      <c r="D37" s="11" t="str">
        <f t="array" ref="D37">IFERROR(INDEX(DOCUMENTOS!$D:$D,MATCH($B37,DOCUMENTOS!$A:$A,0)),"")</f>
        <v/>
      </c>
      <c r="E37" s="11" t="str">
        <f t="array" ref="E37">IFERROR(INDEX(DOCUMENTOS!$E:$E,MATCH($B37,DOCUMENTOS!$A:$A,0)),"")</f>
        <v/>
      </c>
      <c r="F37" s="11" t="str">
        <f t="array" ref="F37">IFERROR(INDEX(DOCUMENTOS!$G:$G,MATCH($B37,DOCUMENTOS!$A:$A,0)),"")</f>
        <v/>
      </c>
      <c r="G37" s="11" t="str">
        <f t="array" ref="G37">IFERROR(INDEX(DOCUMENTOS!$H:$H,MATCH($B37,DOCUMENTOS!$A:$A,0)),"")</f>
        <v/>
      </c>
      <c r="H37" s="11" t="s">
        <v>33</v>
      </c>
      <c r="I37" s="11" t="str">
        <f t="array" ref="I37">IFERROR(INDEX('BANCO DE PERGUNTAS'!$B:$B,MATCH($H37,'BANCO DE PERGUNTAS'!$A:$A,0)),"")</f>
        <v>Identificação</v>
      </c>
      <c r="J37" s="11">
        <f t="array" ref="J37">IFERROR(INDEX('BANCO DE PERGUNTAS'!$H:$H,MATCH($H37,'BANCO DE PERGUNTAS'!$A:$A,0)),"")</f>
        <v>1</v>
      </c>
      <c r="K37" s="11" t="str">
        <f t="array" ref="K37">IFERROR(INDEX('BANCO DE PERGUNTAS'!$D:$D,MATCH($H37,'BANCO DE PERGUNTAS'!$A:$A,0)),"")</f>
        <v>Qual é o objeto principal deste documento?</v>
      </c>
      <c r="L37" s="11" t="str">
        <f t="array" ref="L37">IFERROR(INDEX('BANCO DE PERGUNTAS'!$E:$E,MATCH($H37,'BANCO DE PERGUNTAS'!$A:$A,0)),"")</f>
        <v>Com base exclusivamente no documento fornecido, responda: Qual é o objeto principal deste documento? Caso a informação não conste no documento, declare explicitamente 'não consta no documento'.</v>
      </c>
      <c r="M37" s="11"/>
      <c r="N37" s="11"/>
      <c r="O37" s="11"/>
      <c r="P37" s="11"/>
      <c r="Q37" s="11"/>
      <c r="R37" s="11"/>
      <c r="S37" s="11"/>
      <c r="T37" s="11"/>
      <c r="U37" s="11"/>
      <c r="V37" s="11"/>
      <c r="W37" s="11"/>
      <c r="X37" s="11"/>
      <c r="Y37" s="11"/>
      <c r="Z37" s="11"/>
    </row>
    <row r="38" ht="15.75" customHeight="1">
      <c r="A38" s="14" t="s">
        <v>1098</v>
      </c>
      <c r="B38" s="14">
        <v>12.0</v>
      </c>
      <c r="C38" s="14" t="str">
        <f t="array" ref="C38">IFERROR(INDEX(DOCUMENTOS!$B:$B,MATCH($B38,DOCUMENTOS!$A:$A,0)),"")</f>
        <v/>
      </c>
      <c r="D38" s="14" t="str">
        <f t="array" ref="D38">IFERROR(INDEX(DOCUMENTOS!$D:$D,MATCH($B38,DOCUMENTOS!$A:$A,0)),"")</f>
        <v/>
      </c>
      <c r="E38" s="14" t="str">
        <f t="array" ref="E38">IFERROR(INDEX(DOCUMENTOS!$E:$E,MATCH($B38,DOCUMENTOS!$A:$A,0)),"")</f>
        <v/>
      </c>
      <c r="F38" s="14" t="str">
        <f t="array" ref="F38">IFERROR(INDEX(DOCUMENTOS!$G:$G,MATCH($B38,DOCUMENTOS!$A:$A,0)),"")</f>
        <v/>
      </c>
      <c r="G38" s="14" t="str">
        <f t="array" ref="G38">IFERROR(INDEX(DOCUMENTOS!$H:$H,MATCH($B38,DOCUMENTOS!$A:$A,0)),"")</f>
        <v/>
      </c>
      <c r="H38" s="14" t="s">
        <v>68</v>
      </c>
      <c r="I38" s="14" t="str">
        <f t="array" ref="I38">IFERROR(INDEX('BANCO DE PERGUNTAS'!$B:$B,MATCH($H38,'BANCO DE PERGUNTAS'!$A:$A,0)),"")</f>
        <v>Identificação</v>
      </c>
      <c r="J38" s="14">
        <f t="array" ref="J38">IFERROR(INDEX('BANCO DE PERGUNTAS'!$H:$H,MATCH($H38,'BANCO DE PERGUNTAS'!$A:$A,0)),"")</f>
        <v>1</v>
      </c>
      <c r="K38" s="14" t="str">
        <f t="array" ref="K38">IFERROR(INDEX('BANCO DE PERGUNTAS'!$D:$D,MATCH($H38,'BANCO DE PERGUNTAS'!$A:$A,0)),"")</f>
        <v>Qual é o número ou identificação do documento?</v>
      </c>
      <c r="L38" s="14" t="str">
        <f t="array" ref="L38">IFERROR(INDEX('BANCO DE PERGUNTAS'!$E:$E,MATCH($H38,'BANCO DE PERGUNTAS'!$A:$A,0)),"")</f>
        <v>Com base exclusivamente no documento fornecido, responda: Qual é o número ou identificação do documento? Caso a informação não conste no documento, declare explicitamente 'não consta no documento'.</v>
      </c>
      <c r="M38" s="14"/>
      <c r="N38" s="14"/>
      <c r="O38" s="14"/>
      <c r="P38" s="14"/>
      <c r="Q38" s="14"/>
      <c r="R38" s="14"/>
      <c r="S38" s="14"/>
      <c r="T38" s="14"/>
      <c r="U38" s="14"/>
      <c r="V38" s="14"/>
      <c r="W38" s="14"/>
      <c r="X38" s="14"/>
      <c r="Y38" s="14"/>
      <c r="Z38" s="14"/>
    </row>
    <row r="39" ht="15.75" customHeight="1">
      <c r="A39" s="11" t="s">
        <v>1101</v>
      </c>
      <c r="B39" s="11">
        <v>12.0</v>
      </c>
      <c r="C39" s="11" t="str">
        <f t="array" ref="C39">IFERROR(INDEX(DOCUMENTOS!$B:$B,MATCH($B39,DOCUMENTOS!$A:$A,0)),"")</f>
        <v/>
      </c>
      <c r="D39" s="11" t="str">
        <f t="array" ref="D39">IFERROR(INDEX(DOCUMENTOS!$D:$D,MATCH($B39,DOCUMENTOS!$A:$A,0)),"")</f>
        <v/>
      </c>
      <c r="E39" s="11" t="str">
        <f t="array" ref="E39">IFERROR(INDEX(DOCUMENTOS!$E:$E,MATCH($B39,DOCUMENTOS!$A:$A,0)),"")</f>
        <v/>
      </c>
      <c r="F39" s="11" t="str">
        <f t="array" ref="F39">IFERROR(INDEX(DOCUMENTOS!$G:$G,MATCH($B39,DOCUMENTOS!$A:$A,0)),"")</f>
        <v/>
      </c>
      <c r="G39" s="11" t="str">
        <f t="array" ref="G39">IFERROR(INDEX(DOCUMENTOS!$H:$H,MATCH($B39,DOCUMENTOS!$A:$A,0)),"")</f>
        <v/>
      </c>
      <c r="H39" s="11" t="s">
        <v>90</v>
      </c>
      <c r="I39" s="11" t="str">
        <f t="array" ref="I39">IFERROR(INDEX('BANCO DE PERGUNTAS'!$B:$B,MATCH($H39,'BANCO DE PERGUNTAS'!$A:$A,0)),"")</f>
        <v>Identificação</v>
      </c>
      <c r="J39" s="11">
        <f t="array" ref="J39">IFERROR(INDEX('BANCO DE PERGUNTAS'!$H:$H,MATCH($H39,'BANCO DE PERGUNTAS'!$A:$A,0)),"")</f>
        <v>1</v>
      </c>
      <c r="K39" s="11" t="str">
        <f t="array" ref="K39">IFERROR(INDEX('BANCO DE PERGUNTAS'!$D:$D,MATCH($H39,'BANCO DE PERGUNTAS'!$A:$A,0)),"")</f>
        <v>Qual é o número do processo relacionado?</v>
      </c>
      <c r="L39" s="11" t="str">
        <f t="array" ref="L39">IFERROR(INDEX('BANCO DE PERGUNTAS'!$E:$E,MATCH($H39,'BANCO DE PERGUNTAS'!$A:$A,0)),"")</f>
        <v>Com base exclusivamente no documento fornecido, responda: Qual é o número do processo relacionado? Caso a informação não conste no documento, declare explicitamente 'não consta no documento'.</v>
      </c>
      <c r="M39" s="11"/>
      <c r="N39" s="11"/>
      <c r="O39" s="11"/>
      <c r="P39" s="11"/>
      <c r="Q39" s="11"/>
      <c r="R39" s="11"/>
      <c r="S39" s="11"/>
      <c r="T39" s="11"/>
      <c r="U39" s="11"/>
      <c r="V39" s="11"/>
      <c r="W39" s="11"/>
      <c r="X39" s="11"/>
      <c r="Y39" s="11"/>
      <c r="Z39" s="11"/>
    </row>
    <row r="40" ht="15.75" customHeight="1">
      <c r="A40" s="14" t="s">
        <v>1103</v>
      </c>
      <c r="B40" s="14">
        <v>13.0</v>
      </c>
      <c r="C40" s="14" t="str">
        <f t="array" ref="C40">IFERROR(INDEX(DOCUMENTOS!$B:$B,MATCH($B40,DOCUMENTOS!$A:$A,0)),"")</f>
        <v/>
      </c>
      <c r="D40" s="14" t="str">
        <f t="array" ref="D40">IFERROR(INDEX(DOCUMENTOS!$D:$D,MATCH($B40,DOCUMENTOS!$A:$A,0)),"")</f>
        <v/>
      </c>
      <c r="E40" s="14" t="str">
        <f t="array" ref="E40">IFERROR(INDEX(DOCUMENTOS!$E:$E,MATCH($B40,DOCUMENTOS!$A:$A,0)),"")</f>
        <v/>
      </c>
      <c r="F40" s="14" t="str">
        <f t="array" ref="F40">IFERROR(INDEX(DOCUMENTOS!$G:$G,MATCH($B40,DOCUMENTOS!$A:$A,0)),"")</f>
        <v/>
      </c>
      <c r="G40" s="14" t="str">
        <f t="array" ref="G40">IFERROR(INDEX(DOCUMENTOS!$H:$H,MATCH($B40,DOCUMENTOS!$A:$A,0)),"")</f>
        <v/>
      </c>
      <c r="H40" s="14" t="s">
        <v>33</v>
      </c>
      <c r="I40" s="14" t="str">
        <f t="array" ref="I40">IFERROR(INDEX('BANCO DE PERGUNTAS'!$B:$B,MATCH($H40,'BANCO DE PERGUNTAS'!$A:$A,0)),"")</f>
        <v>Identificação</v>
      </c>
      <c r="J40" s="14">
        <f t="array" ref="J40">IFERROR(INDEX('BANCO DE PERGUNTAS'!$H:$H,MATCH($H40,'BANCO DE PERGUNTAS'!$A:$A,0)),"")</f>
        <v>1</v>
      </c>
      <c r="K40" s="14" t="str">
        <f t="array" ref="K40">IFERROR(INDEX('BANCO DE PERGUNTAS'!$D:$D,MATCH($H40,'BANCO DE PERGUNTAS'!$A:$A,0)),"")</f>
        <v>Qual é o objeto principal deste documento?</v>
      </c>
      <c r="L40" s="14" t="str">
        <f t="array" ref="L40">IFERROR(INDEX('BANCO DE PERGUNTAS'!$E:$E,MATCH($H40,'BANCO DE PERGUNTAS'!$A:$A,0)),"")</f>
        <v>Com base exclusivamente no documento fornecido, responda: Qual é o objeto principal deste documento? Caso a informação não conste no documento, declare explicitamente 'não consta no documento'.</v>
      </c>
      <c r="M40" s="14"/>
      <c r="N40" s="14"/>
      <c r="O40" s="14"/>
      <c r="P40" s="14"/>
      <c r="Q40" s="14"/>
      <c r="R40" s="14"/>
      <c r="S40" s="14"/>
      <c r="T40" s="14"/>
      <c r="U40" s="14"/>
      <c r="V40" s="14"/>
      <c r="W40" s="14"/>
      <c r="X40" s="14"/>
      <c r="Y40" s="14"/>
      <c r="Z40" s="14"/>
    </row>
    <row r="41" ht="15.75" customHeight="1">
      <c r="A41" s="11" t="s">
        <v>1109</v>
      </c>
      <c r="B41" s="11">
        <v>13.0</v>
      </c>
      <c r="C41" s="11" t="str">
        <f t="array" ref="C41">IFERROR(INDEX(DOCUMENTOS!$B:$B,MATCH($B41,DOCUMENTOS!$A:$A,0)),"")</f>
        <v/>
      </c>
      <c r="D41" s="11" t="str">
        <f t="array" ref="D41">IFERROR(INDEX(DOCUMENTOS!$D:$D,MATCH($B41,DOCUMENTOS!$A:$A,0)),"")</f>
        <v/>
      </c>
      <c r="E41" s="11" t="str">
        <f t="array" ref="E41">IFERROR(INDEX(DOCUMENTOS!$E:$E,MATCH($B41,DOCUMENTOS!$A:$A,0)),"")</f>
        <v/>
      </c>
      <c r="F41" s="11" t="str">
        <f t="array" ref="F41">IFERROR(INDEX(DOCUMENTOS!$G:$G,MATCH($B41,DOCUMENTOS!$A:$A,0)),"")</f>
        <v/>
      </c>
      <c r="G41" s="11" t="str">
        <f t="array" ref="G41">IFERROR(INDEX(DOCUMENTOS!$H:$H,MATCH($B41,DOCUMENTOS!$A:$A,0)),"")</f>
        <v/>
      </c>
      <c r="H41" s="11" t="s">
        <v>68</v>
      </c>
      <c r="I41" s="11" t="str">
        <f t="array" ref="I41">IFERROR(INDEX('BANCO DE PERGUNTAS'!$B:$B,MATCH($H41,'BANCO DE PERGUNTAS'!$A:$A,0)),"")</f>
        <v>Identificação</v>
      </c>
      <c r="J41" s="11">
        <f t="array" ref="J41">IFERROR(INDEX('BANCO DE PERGUNTAS'!$H:$H,MATCH($H41,'BANCO DE PERGUNTAS'!$A:$A,0)),"")</f>
        <v>1</v>
      </c>
      <c r="K41" s="11" t="str">
        <f t="array" ref="K41">IFERROR(INDEX('BANCO DE PERGUNTAS'!$D:$D,MATCH($H41,'BANCO DE PERGUNTAS'!$A:$A,0)),"")</f>
        <v>Qual é o número ou identificação do documento?</v>
      </c>
      <c r="L41" s="11" t="str">
        <f t="array" ref="L41">IFERROR(INDEX('BANCO DE PERGUNTAS'!$E:$E,MATCH($H41,'BANCO DE PERGUNTAS'!$A:$A,0)),"")</f>
        <v>Com base exclusivamente no documento fornecido, responda: Qual é o número ou identificação do documento? Caso a informação não conste no documento, declare explicitamente 'não consta no documento'.</v>
      </c>
      <c r="M41" s="11"/>
      <c r="N41" s="11"/>
      <c r="O41" s="11"/>
      <c r="P41" s="11"/>
      <c r="Q41" s="11"/>
      <c r="R41" s="11"/>
      <c r="S41" s="11"/>
      <c r="T41" s="11"/>
      <c r="U41" s="11"/>
      <c r="V41" s="11"/>
      <c r="W41" s="11"/>
      <c r="X41" s="11"/>
      <c r="Y41" s="11"/>
      <c r="Z41" s="11"/>
    </row>
    <row r="42" ht="15.75" customHeight="1">
      <c r="A42" s="14" t="s">
        <v>1111</v>
      </c>
      <c r="B42" s="14">
        <v>13.0</v>
      </c>
      <c r="C42" s="14" t="str">
        <f t="array" ref="C42">IFERROR(INDEX(DOCUMENTOS!$B:$B,MATCH($B42,DOCUMENTOS!$A:$A,0)),"")</f>
        <v/>
      </c>
      <c r="D42" s="14" t="str">
        <f t="array" ref="D42">IFERROR(INDEX(DOCUMENTOS!$D:$D,MATCH($B42,DOCUMENTOS!$A:$A,0)),"")</f>
        <v/>
      </c>
      <c r="E42" s="14" t="str">
        <f t="array" ref="E42">IFERROR(INDEX(DOCUMENTOS!$E:$E,MATCH($B42,DOCUMENTOS!$A:$A,0)),"")</f>
        <v/>
      </c>
      <c r="F42" s="14" t="str">
        <f t="array" ref="F42">IFERROR(INDEX(DOCUMENTOS!$G:$G,MATCH($B42,DOCUMENTOS!$A:$A,0)),"")</f>
        <v/>
      </c>
      <c r="G42" s="14" t="str">
        <f t="array" ref="G42">IFERROR(INDEX(DOCUMENTOS!$H:$H,MATCH($B42,DOCUMENTOS!$A:$A,0)),"")</f>
        <v/>
      </c>
      <c r="H42" s="14" t="s">
        <v>90</v>
      </c>
      <c r="I42" s="14" t="str">
        <f t="array" ref="I42">IFERROR(INDEX('BANCO DE PERGUNTAS'!$B:$B,MATCH($H42,'BANCO DE PERGUNTAS'!$A:$A,0)),"")</f>
        <v>Identificação</v>
      </c>
      <c r="J42" s="14">
        <f t="array" ref="J42">IFERROR(INDEX('BANCO DE PERGUNTAS'!$H:$H,MATCH($H42,'BANCO DE PERGUNTAS'!$A:$A,0)),"")</f>
        <v>1</v>
      </c>
      <c r="K42" s="14" t="str">
        <f t="array" ref="K42">IFERROR(INDEX('BANCO DE PERGUNTAS'!$D:$D,MATCH($H42,'BANCO DE PERGUNTAS'!$A:$A,0)),"")</f>
        <v>Qual é o número do processo relacionado?</v>
      </c>
      <c r="L42" s="14" t="str">
        <f t="array" ref="L42">IFERROR(INDEX('BANCO DE PERGUNTAS'!$E:$E,MATCH($H42,'BANCO DE PERGUNTAS'!$A:$A,0)),"")</f>
        <v>Com base exclusivamente no documento fornecido, responda: Qual é o número do processo relacionado? Caso a informação não conste no documento, declare explicitamente 'não consta no documento'.</v>
      </c>
      <c r="M42" s="14"/>
      <c r="N42" s="14"/>
      <c r="O42" s="14"/>
      <c r="P42" s="14"/>
      <c r="Q42" s="14"/>
      <c r="R42" s="14"/>
      <c r="S42" s="14"/>
      <c r="T42" s="14"/>
      <c r="U42" s="14"/>
      <c r="V42" s="14"/>
      <c r="W42" s="14"/>
      <c r="X42" s="14"/>
      <c r="Y42" s="14"/>
      <c r="Z42" s="14"/>
    </row>
    <row r="43" ht="15.75" customHeight="1">
      <c r="A43" s="11" t="s">
        <v>1113</v>
      </c>
      <c r="B43" s="11">
        <v>14.0</v>
      </c>
      <c r="C43" s="11" t="str">
        <f t="array" ref="C43">IFERROR(INDEX(DOCUMENTOS!$B:$B,MATCH($B43,DOCUMENTOS!$A:$A,0)),"")</f>
        <v/>
      </c>
      <c r="D43" s="11" t="str">
        <f t="array" ref="D43">IFERROR(INDEX(DOCUMENTOS!$D:$D,MATCH($B43,DOCUMENTOS!$A:$A,0)),"")</f>
        <v/>
      </c>
      <c r="E43" s="11" t="str">
        <f t="array" ref="E43">IFERROR(INDEX(DOCUMENTOS!$E:$E,MATCH($B43,DOCUMENTOS!$A:$A,0)),"")</f>
        <v/>
      </c>
      <c r="F43" s="11" t="str">
        <f t="array" ref="F43">IFERROR(INDEX(DOCUMENTOS!$G:$G,MATCH($B43,DOCUMENTOS!$A:$A,0)),"")</f>
        <v/>
      </c>
      <c r="G43" s="11" t="str">
        <f t="array" ref="G43">IFERROR(INDEX(DOCUMENTOS!$H:$H,MATCH($B43,DOCUMENTOS!$A:$A,0)),"")</f>
        <v/>
      </c>
      <c r="H43" s="11" t="s">
        <v>33</v>
      </c>
      <c r="I43" s="11" t="str">
        <f t="array" ref="I43">IFERROR(INDEX('BANCO DE PERGUNTAS'!$B:$B,MATCH($H43,'BANCO DE PERGUNTAS'!$A:$A,0)),"")</f>
        <v>Identificação</v>
      </c>
      <c r="J43" s="11">
        <f t="array" ref="J43">IFERROR(INDEX('BANCO DE PERGUNTAS'!$H:$H,MATCH($H43,'BANCO DE PERGUNTAS'!$A:$A,0)),"")</f>
        <v>1</v>
      </c>
      <c r="K43" s="11" t="str">
        <f t="array" ref="K43">IFERROR(INDEX('BANCO DE PERGUNTAS'!$D:$D,MATCH($H43,'BANCO DE PERGUNTAS'!$A:$A,0)),"")</f>
        <v>Qual é o objeto principal deste documento?</v>
      </c>
      <c r="L43" s="11" t="str">
        <f t="array" ref="L43">IFERROR(INDEX('BANCO DE PERGUNTAS'!$E:$E,MATCH($H43,'BANCO DE PERGUNTAS'!$A:$A,0)),"")</f>
        <v>Com base exclusivamente no documento fornecido, responda: Qual é o objeto principal deste documento? Caso a informação não conste no documento, declare explicitamente 'não consta no documento'.</v>
      </c>
      <c r="M43" s="11"/>
      <c r="N43" s="11"/>
      <c r="O43" s="11"/>
      <c r="P43" s="11"/>
      <c r="Q43" s="11"/>
      <c r="R43" s="11"/>
      <c r="S43" s="11"/>
      <c r="T43" s="11"/>
      <c r="U43" s="11"/>
      <c r="V43" s="11"/>
      <c r="W43" s="11"/>
      <c r="X43" s="11"/>
      <c r="Y43" s="11"/>
      <c r="Z43" s="11"/>
    </row>
    <row r="44" ht="15.75" customHeight="1">
      <c r="A44" s="14" t="s">
        <v>1114</v>
      </c>
      <c r="B44" s="14">
        <v>14.0</v>
      </c>
      <c r="C44" s="14" t="str">
        <f t="array" ref="C44">IFERROR(INDEX(DOCUMENTOS!$B:$B,MATCH($B44,DOCUMENTOS!$A:$A,0)),"")</f>
        <v/>
      </c>
      <c r="D44" s="14" t="str">
        <f t="array" ref="D44">IFERROR(INDEX(DOCUMENTOS!$D:$D,MATCH($B44,DOCUMENTOS!$A:$A,0)),"")</f>
        <v/>
      </c>
      <c r="E44" s="14" t="str">
        <f t="array" ref="E44">IFERROR(INDEX(DOCUMENTOS!$E:$E,MATCH($B44,DOCUMENTOS!$A:$A,0)),"")</f>
        <v/>
      </c>
      <c r="F44" s="14" t="str">
        <f t="array" ref="F44">IFERROR(INDEX(DOCUMENTOS!$G:$G,MATCH($B44,DOCUMENTOS!$A:$A,0)),"")</f>
        <v/>
      </c>
      <c r="G44" s="14" t="str">
        <f t="array" ref="G44">IFERROR(INDEX(DOCUMENTOS!$H:$H,MATCH($B44,DOCUMENTOS!$A:$A,0)),"")</f>
        <v/>
      </c>
      <c r="H44" s="14" t="s">
        <v>68</v>
      </c>
      <c r="I44" s="14" t="str">
        <f t="array" ref="I44">IFERROR(INDEX('BANCO DE PERGUNTAS'!$B:$B,MATCH($H44,'BANCO DE PERGUNTAS'!$A:$A,0)),"")</f>
        <v>Identificação</v>
      </c>
      <c r="J44" s="14">
        <f t="array" ref="J44">IFERROR(INDEX('BANCO DE PERGUNTAS'!$H:$H,MATCH($H44,'BANCO DE PERGUNTAS'!$A:$A,0)),"")</f>
        <v>1</v>
      </c>
      <c r="K44" s="14" t="str">
        <f t="array" ref="K44">IFERROR(INDEX('BANCO DE PERGUNTAS'!$D:$D,MATCH($H44,'BANCO DE PERGUNTAS'!$A:$A,0)),"")</f>
        <v>Qual é o número ou identificação do documento?</v>
      </c>
      <c r="L44" s="14" t="str">
        <f t="array" ref="L44">IFERROR(INDEX('BANCO DE PERGUNTAS'!$E:$E,MATCH($H44,'BANCO DE PERGUNTAS'!$A:$A,0)),"")</f>
        <v>Com base exclusivamente no documento fornecido, responda: Qual é o número ou identificação do documento? Caso a informação não conste no documento, declare explicitamente 'não consta no documento'.</v>
      </c>
      <c r="M44" s="14"/>
      <c r="N44" s="14"/>
      <c r="O44" s="14"/>
      <c r="P44" s="14"/>
      <c r="Q44" s="14"/>
      <c r="R44" s="14"/>
      <c r="S44" s="14"/>
      <c r="T44" s="14"/>
      <c r="U44" s="14"/>
      <c r="V44" s="14"/>
      <c r="W44" s="14"/>
      <c r="X44" s="14"/>
      <c r="Y44" s="14"/>
      <c r="Z44" s="14"/>
    </row>
    <row r="45" ht="15.75" customHeight="1">
      <c r="A45" s="11" t="s">
        <v>1115</v>
      </c>
      <c r="B45" s="11">
        <v>14.0</v>
      </c>
      <c r="C45" s="11" t="str">
        <f t="array" ref="C45">IFERROR(INDEX(DOCUMENTOS!$B:$B,MATCH($B45,DOCUMENTOS!$A:$A,0)),"")</f>
        <v/>
      </c>
      <c r="D45" s="11" t="str">
        <f t="array" ref="D45">IFERROR(INDEX(DOCUMENTOS!$D:$D,MATCH($B45,DOCUMENTOS!$A:$A,0)),"")</f>
        <v/>
      </c>
      <c r="E45" s="11" t="str">
        <f t="array" ref="E45">IFERROR(INDEX(DOCUMENTOS!$E:$E,MATCH($B45,DOCUMENTOS!$A:$A,0)),"")</f>
        <v/>
      </c>
      <c r="F45" s="11" t="str">
        <f t="array" ref="F45">IFERROR(INDEX(DOCUMENTOS!$G:$G,MATCH($B45,DOCUMENTOS!$A:$A,0)),"")</f>
        <v/>
      </c>
      <c r="G45" s="11" t="str">
        <f t="array" ref="G45">IFERROR(INDEX(DOCUMENTOS!$H:$H,MATCH($B45,DOCUMENTOS!$A:$A,0)),"")</f>
        <v/>
      </c>
      <c r="H45" s="11" t="s">
        <v>90</v>
      </c>
      <c r="I45" s="11" t="str">
        <f t="array" ref="I45">IFERROR(INDEX('BANCO DE PERGUNTAS'!$B:$B,MATCH($H45,'BANCO DE PERGUNTAS'!$A:$A,0)),"")</f>
        <v>Identificação</v>
      </c>
      <c r="J45" s="11">
        <f t="array" ref="J45">IFERROR(INDEX('BANCO DE PERGUNTAS'!$H:$H,MATCH($H45,'BANCO DE PERGUNTAS'!$A:$A,0)),"")</f>
        <v>1</v>
      </c>
      <c r="K45" s="11" t="str">
        <f t="array" ref="K45">IFERROR(INDEX('BANCO DE PERGUNTAS'!$D:$D,MATCH($H45,'BANCO DE PERGUNTAS'!$A:$A,0)),"")</f>
        <v>Qual é o número do processo relacionado?</v>
      </c>
      <c r="L45" s="11" t="str">
        <f t="array" ref="L45">IFERROR(INDEX('BANCO DE PERGUNTAS'!$E:$E,MATCH($H45,'BANCO DE PERGUNTAS'!$A:$A,0)),"")</f>
        <v>Com base exclusivamente no documento fornecido, responda: Qual é o número do processo relacionado? Caso a informação não conste no documento, declare explicitamente 'não consta no documento'.</v>
      </c>
      <c r="M45" s="11"/>
      <c r="N45" s="11"/>
      <c r="O45" s="11"/>
      <c r="P45" s="11"/>
      <c r="Q45" s="11"/>
      <c r="R45" s="11"/>
      <c r="S45" s="11"/>
      <c r="T45" s="11"/>
      <c r="U45" s="11"/>
      <c r="V45" s="11"/>
      <c r="W45" s="11"/>
      <c r="X45" s="11"/>
      <c r="Y45" s="11"/>
      <c r="Z45" s="11"/>
    </row>
    <row r="46" ht="15.75" customHeight="1">
      <c r="A46" s="14" t="s">
        <v>1116</v>
      </c>
      <c r="B46" s="14">
        <v>15.0</v>
      </c>
      <c r="C46" s="14" t="str">
        <f t="array" ref="C46">IFERROR(INDEX(DOCUMENTOS!$B:$B,MATCH($B46,DOCUMENTOS!$A:$A,0)),"")</f>
        <v/>
      </c>
      <c r="D46" s="14" t="str">
        <f t="array" ref="D46">IFERROR(INDEX(DOCUMENTOS!$D:$D,MATCH($B46,DOCUMENTOS!$A:$A,0)),"")</f>
        <v/>
      </c>
      <c r="E46" s="14" t="str">
        <f t="array" ref="E46">IFERROR(INDEX(DOCUMENTOS!$E:$E,MATCH($B46,DOCUMENTOS!$A:$A,0)),"")</f>
        <v/>
      </c>
      <c r="F46" s="14" t="str">
        <f t="array" ref="F46">IFERROR(INDEX(DOCUMENTOS!$G:$G,MATCH($B46,DOCUMENTOS!$A:$A,0)),"")</f>
        <v/>
      </c>
      <c r="G46" s="14" t="str">
        <f t="array" ref="G46">IFERROR(INDEX(DOCUMENTOS!$H:$H,MATCH($B46,DOCUMENTOS!$A:$A,0)),"")</f>
        <v/>
      </c>
      <c r="H46" s="14" t="s">
        <v>33</v>
      </c>
      <c r="I46" s="14" t="str">
        <f t="array" ref="I46">IFERROR(INDEX('BANCO DE PERGUNTAS'!$B:$B,MATCH($H46,'BANCO DE PERGUNTAS'!$A:$A,0)),"")</f>
        <v>Identificação</v>
      </c>
      <c r="J46" s="14">
        <f t="array" ref="J46">IFERROR(INDEX('BANCO DE PERGUNTAS'!$H:$H,MATCH($H46,'BANCO DE PERGUNTAS'!$A:$A,0)),"")</f>
        <v>1</v>
      </c>
      <c r="K46" s="14" t="str">
        <f t="array" ref="K46">IFERROR(INDEX('BANCO DE PERGUNTAS'!$D:$D,MATCH($H46,'BANCO DE PERGUNTAS'!$A:$A,0)),"")</f>
        <v>Qual é o objeto principal deste documento?</v>
      </c>
      <c r="L46" s="14" t="str">
        <f t="array" ref="L46">IFERROR(INDEX('BANCO DE PERGUNTAS'!$E:$E,MATCH($H46,'BANCO DE PERGUNTAS'!$A:$A,0)),"")</f>
        <v>Com base exclusivamente no documento fornecido, responda: Qual é o objeto principal deste documento? Caso a informação não conste no documento, declare explicitamente 'não consta no documento'.</v>
      </c>
      <c r="M46" s="14"/>
      <c r="N46" s="14"/>
      <c r="O46" s="14"/>
      <c r="P46" s="14"/>
      <c r="Q46" s="14"/>
      <c r="R46" s="14"/>
      <c r="S46" s="14"/>
      <c r="T46" s="14"/>
      <c r="U46" s="14"/>
      <c r="V46" s="14"/>
      <c r="W46" s="14"/>
      <c r="X46" s="14"/>
      <c r="Y46" s="14"/>
      <c r="Z46" s="14"/>
    </row>
    <row r="47" ht="15.75" customHeight="1">
      <c r="A47" s="11" t="s">
        <v>1121</v>
      </c>
      <c r="B47" s="11">
        <v>15.0</v>
      </c>
      <c r="C47" s="11" t="str">
        <f t="array" ref="C47">IFERROR(INDEX(DOCUMENTOS!$B:$B,MATCH($B47,DOCUMENTOS!$A:$A,0)),"")</f>
        <v/>
      </c>
      <c r="D47" s="11" t="str">
        <f t="array" ref="D47">IFERROR(INDEX(DOCUMENTOS!$D:$D,MATCH($B47,DOCUMENTOS!$A:$A,0)),"")</f>
        <v/>
      </c>
      <c r="E47" s="11" t="str">
        <f t="array" ref="E47">IFERROR(INDEX(DOCUMENTOS!$E:$E,MATCH($B47,DOCUMENTOS!$A:$A,0)),"")</f>
        <v/>
      </c>
      <c r="F47" s="11" t="str">
        <f t="array" ref="F47">IFERROR(INDEX(DOCUMENTOS!$G:$G,MATCH($B47,DOCUMENTOS!$A:$A,0)),"")</f>
        <v/>
      </c>
      <c r="G47" s="11" t="str">
        <f t="array" ref="G47">IFERROR(INDEX(DOCUMENTOS!$H:$H,MATCH($B47,DOCUMENTOS!$A:$A,0)),"")</f>
        <v/>
      </c>
      <c r="H47" s="11" t="s">
        <v>68</v>
      </c>
      <c r="I47" s="11" t="str">
        <f t="array" ref="I47">IFERROR(INDEX('BANCO DE PERGUNTAS'!$B:$B,MATCH($H47,'BANCO DE PERGUNTAS'!$A:$A,0)),"")</f>
        <v>Identificação</v>
      </c>
      <c r="J47" s="11">
        <f t="array" ref="J47">IFERROR(INDEX('BANCO DE PERGUNTAS'!$H:$H,MATCH($H47,'BANCO DE PERGUNTAS'!$A:$A,0)),"")</f>
        <v>1</v>
      </c>
      <c r="K47" s="11" t="str">
        <f t="array" ref="K47">IFERROR(INDEX('BANCO DE PERGUNTAS'!$D:$D,MATCH($H47,'BANCO DE PERGUNTAS'!$A:$A,0)),"")</f>
        <v>Qual é o número ou identificação do documento?</v>
      </c>
      <c r="L47" s="11" t="str">
        <f t="array" ref="L47">IFERROR(INDEX('BANCO DE PERGUNTAS'!$E:$E,MATCH($H47,'BANCO DE PERGUNTAS'!$A:$A,0)),"")</f>
        <v>Com base exclusivamente no documento fornecido, responda: Qual é o número ou identificação do documento? Caso a informação não conste no documento, declare explicitamente 'não consta no documento'.</v>
      </c>
      <c r="M47" s="11"/>
      <c r="N47" s="11"/>
      <c r="O47" s="11"/>
      <c r="P47" s="11"/>
      <c r="Q47" s="11"/>
      <c r="R47" s="11"/>
      <c r="S47" s="11"/>
      <c r="T47" s="11"/>
      <c r="U47" s="11"/>
      <c r="V47" s="11"/>
      <c r="W47" s="11"/>
      <c r="X47" s="11"/>
      <c r="Y47" s="11"/>
      <c r="Z47" s="11"/>
    </row>
    <row r="48" ht="15.75" customHeight="1">
      <c r="A48" s="14" t="s">
        <v>882</v>
      </c>
      <c r="B48" s="14">
        <v>15.0</v>
      </c>
      <c r="C48" s="14" t="str">
        <f t="array" ref="C48">IFERROR(INDEX(DOCUMENTOS!$B:$B,MATCH($B48,DOCUMENTOS!$A:$A,0)),"")</f>
        <v/>
      </c>
      <c r="D48" s="14" t="str">
        <f t="array" ref="D48">IFERROR(INDEX(DOCUMENTOS!$D:$D,MATCH($B48,DOCUMENTOS!$A:$A,0)),"")</f>
        <v/>
      </c>
      <c r="E48" s="14" t="str">
        <f t="array" ref="E48">IFERROR(INDEX(DOCUMENTOS!$E:$E,MATCH($B48,DOCUMENTOS!$A:$A,0)),"")</f>
        <v/>
      </c>
      <c r="F48" s="14" t="str">
        <f t="array" ref="F48">IFERROR(INDEX(DOCUMENTOS!$G:$G,MATCH($B48,DOCUMENTOS!$A:$A,0)),"")</f>
        <v/>
      </c>
      <c r="G48" s="14" t="str">
        <f t="array" ref="G48">IFERROR(INDEX(DOCUMENTOS!$H:$H,MATCH($B48,DOCUMENTOS!$A:$A,0)),"")</f>
        <v/>
      </c>
      <c r="H48" s="14" t="s">
        <v>90</v>
      </c>
      <c r="I48" s="14" t="str">
        <f t="array" ref="I48">IFERROR(INDEX('BANCO DE PERGUNTAS'!$B:$B,MATCH($H48,'BANCO DE PERGUNTAS'!$A:$A,0)),"")</f>
        <v>Identificação</v>
      </c>
      <c r="J48" s="14">
        <f t="array" ref="J48">IFERROR(INDEX('BANCO DE PERGUNTAS'!$H:$H,MATCH($H48,'BANCO DE PERGUNTAS'!$A:$A,0)),"")</f>
        <v>1</v>
      </c>
      <c r="K48" s="14" t="str">
        <f t="array" ref="K48">IFERROR(INDEX('BANCO DE PERGUNTAS'!$D:$D,MATCH($H48,'BANCO DE PERGUNTAS'!$A:$A,0)),"")</f>
        <v>Qual é o número do processo relacionado?</v>
      </c>
      <c r="L48" s="14" t="str">
        <f t="array" ref="L48">IFERROR(INDEX('BANCO DE PERGUNTAS'!$E:$E,MATCH($H48,'BANCO DE PERGUNTAS'!$A:$A,0)),"")</f>
        <v>Com base exclusivamente no documento fornecido, responda: Qual é o número do processo relacionado? Caso a informação não conste no documento, declare explicitamente 'não consta no documento'.</v>
      </c>
      <c r="M48" s="14"/>
      <c r="N48" s="14"/>
      <c r="O48" s="14"/>
      <c r="P48" s="14"/>
      <c r="Q48" s="14"/>
      <c r="R48" s="14"/>
      <c r="S48" s="14"/>
      <c r="T48" s="14"/>
      <c r="U48" s="14"/>
      <c r="V48" s="14"/>
      <c r="W48" s="14"/>
      <c r="X48" s="14"/>
      <c r="Y48" s="14"/>
      <c r="Z48" s="14"/>
    </row>
    <row r="49" ht="15.75" customHeight="1">
      <c r="A49" s="11" t="s">
        <v>1122</v>
      </c>
      <c r="B49" s="11">
        <v>16.0</v>
      </c>
      <c r="C49" s="11" t="str">
        <f t="array" ref="C49">IFERROR(INDEX(DOCUMENTOS!$B:$B,MATCH($B49,DOCUMENTOS!$A:$A,0)),"")</f>
        <v/>
      </c>
      <c r="D49" s="11" t="str">
        <f t="array" ref="D49">IFERROR(INDEX(DOCUMENTOS!$D:$D,MATCH($B49,DOCUMENTOS!$A:$A,0)),"")</f>
        <v/>
      </c>
      <c r="E49" s="11" t="str">
        <f t="array" ref="E49">IFERROR(INDEX(DOCUMENTOS!$E:$E,MATCH($B49,DOCUMENTOS!$A:$A,0)),"")</f>
        <v/>
      </c>
      <c r="F49" s="11" t="str">
        <f t="array" ref="F49">IFERROR(INDEX(DOCUMENTOS!$G:$G,MATCH($B49,DOCUMENTOS!$A:$A,0)),"")</f>
        <v/>
      </c>
      <c r="G49" s="11" t="str">
        <f t="array" ref="G49">IFERROR(INDEX(DOCUMENTOS!$H:$H,MATCH($B49,DOCUMENTOS!$A:$A,0)),"")</f>
        <v/>
      </c>
      <c r="H49" s="11" t="s">
        <v>33</v>
      </c>
      <c r="I49" s="11" t="str">
        <f t="array" ref="I49">IFERROR(INDEX('BANCO DE PERGUNTAS'!$B:$B,MATCH($H49,'BANCO DE PERGUNTAS'!$A:$A,0)),"")</f>
        <v>Identificação</v>
      </c>
      <c r="J49" s="11">
        <f t="array" ref="J49">IFERROR(INDEX('BANCO DE PERGUNTAS'!$H:$H,MATCH($H49,'BANCO DE PERGUNTAS'!$A:$A,0)),"")</f>
        <v>1</v>
      </c>
      <c r="K49" s="11" t="str">
        <f t="array" ref="K49">IFERROR(INDEX('BANCO DE PERGUNTAS'!$D:$D,MATCH($H49,'BANCO DE PERGUNTAS'!$A:$A,0)),"")</f>
        <v>Qual é o objeto principal deste documento?</v>
      </c>
      <c r="L49" s="11" t="str">
        <f t="array" ref="L49">IFERROR(INDEX('BANCO DE PERGUNTAS'!$E:$E,MATCH($H49,'BANCO DE PERGUNTAS'!$A:$A,0)),"")</f>
        <v>Com base exclusivamente no documento fornecido, responda: Qual é o objeto principal deste documento? Caso a informação não conste no documento, declare explicitamente 'não consta no documento'.</v>
      </c>
      <c r="M49" s="11"/>
      <c r="N49" s="11"/>
      <c r="O49" s="11"/>
      <c r="P49" s="11"/>
      <c r="Q49" s="11"/>
      <c r="R49" s="11"/>
      <c r="S49" s="11"/>
      <c r="T49" s="11"/>
      <c r="U49" s="11"/>
      <c r="V49" s="11"/>
      <c r="W49" s="11"/>
      <c r="X49" s="11"/>
      <c r="Y49" s="11"/>
      <c r="Z49" s="11"/>
    </row>
    <row r="50" ht="15.75" customHeight="1">
      <c r="A50" s="14" t="s">
        <v>1124</v>
      </c>
      <c r="B50" s="14">
        <v>16.0</v>
      </c>
      <c r="C50" s="14" t="str">
        <f t="array" ref="C50">IFERROR(INDEX(DOCUMENTOS!$B:$B,MATCH($B50,DOCUMENTOS!$A:$A,0)),"")</f>
        <v/>
      </c>
      <c r="D50" s="14" t="str">
        <f t="array" ref="D50">IFERROR(INDEX(DOCUMENTOS!$D:$D,MATCH($B50,DOCUMENTOS!$A:$A,0)),"")</f>
        <v/>
      </c>
      <c r="E50" s="14" t="str">
        <f t="array" ref="E50">IFERROR(INDEX(DOCUMENTOS!$E:$E,MATCH($B50,DOCUMENTOS!$A:$A,0)),"")</f>
        <v/>
      </c>
      <c r="F50" s="14" t="str">
        <f t="array" ref="F50">IFERROR(INDEX(DOCUMENTOS!$G:$G,MATCH($B50,DOCUMENTOS!$A:$A,0)),"")</f>
        <v/>
      </c>
      <c r="G50" s="14" t="str">
        <f t="array" ref="G50">IFERROR(INDEX(DOCUMENTOS!$H:$H,MATCH($B50,DOCUMENTOS!$A:$A,0)),"")</f>
        <v/>
      </c>
      <c r="H50" s="14" t="s">
        <v>68</v>
      </c>
      <c r="I50" s="14" t="str">
        <f t="array" ref="I50">IFERROR(INDEX('BANCO DE PERGUNTAS'!$B:$B,MATCH($H50,'BANCO DE PERGUNTAS'!$A:$A,0)),"")</f>
        <v>Identificação</v>
      </c>
      <c r="J50" s="14">
        <f t="array" ref="J50">IFERROR(INDEX('BANCO DE PERGUNTAS'!$H:$H,MATCH($H50,'BANCO DE PERGUNTAS'!$A:$A,0)),"")</f>
        <v>1</v>
      </c>
      <c r="K50" s="14" t="str">
        <f t="array" ref="K50">IFERROR(INDEX('BANCO DE PERGUNTAS'!$D:$D,MATCH($H50,'BANCO DE PERGUNTAS'!$A:$A,0)),"")</f>
        <v>Qual é o número ou identificação do documento?</v>
      </c>
      <c r="L50" s="14" t="str">
        <f t="array" ref="L50">IFERROR(INDEX('BANCO DE PERGUNTAS'!$E:$E,MATCH($H50,'BANCO DE PERGUNTAS'!$A:$A,0)),"")</f>
        <v>Com base exclusivamente no documento fornecido, responda: Qual é o número ou identificação do documento? Caso a informação não conste no documento, declare explicitamente 'não consta no documento'.</v>
      </c>
      <c r="M50" s="14"/>
      <c r="N50" s="14"/>
      <c r="O50" s="14"/>
      <c r="P50" s="14"/>
      <c r="Q50" s="14"/>
      <c r="R50" s="14"/>
      <c r="S50" s="14"/>
      <c r="T50" s="14"/>
      <c r="U50" s="14"/>
      <c r="V50" s="14"/>
      <c r="W50" s="14"/>
      <c r="X50" s="14"/>
      <c r="Y50" s="14"/>
      <c r="Z50" s="14"/>
    </row>
    <row r="51" ht="15.75" customHeight="1">
      <c r="A51" s="11" t="s">
        <v>1130</v>
      </c>
      <c r="B51" s="11">
        <v>16.0</v>
      </c>
      <c r="C51" s="11" t="str">
        <f t="array" ref="C51">IFERROR(INDEX(DOCUMENTOS!$B:$B,MATCH($B51,DOCUMENTOS!$A:$A,0)),"")</f>
        <v/>
      </c>
      <c r="D51" s="11" t="str">
        <f t="array" ref="D51">IFERROR(INDEX(DOCUMENTOS!$D:$D,MATCH($B51,DOCUMENTOS!$A:$A,0)),"")</f>
        <v/>
      </c>
      <c r="E51" s="11" t="str">
        <f t="array" ref="E51">IFERROR(INDEX(DOCUMENTOS!$E:$E,MATCH($B51,DOCUMENTOS!$A:$A,0)),"")</f>
        <v/>
      </c>
      <c r="F51" s="11" t="str">
        <f t="array" ref="F51">IFERROR(INDEX(DOCUMENTOS!$G:$G,MATCH($B51,DOCUMENTOS!$A:$A,0)),"")</f>
        <v/>
      </c>
      <c r="G51" s="11" t="str">
        <f t="array" ref="G51">IFERROR(INDEX(DOCUMENTOS!$H:$H,MATCH($B51,DOCUMENTOS!$A:$A,0)),"")</f>
        <v/>
      </c>
      <c r="H51" s="11" t="s">
        <v>90</v>
      </c>
      <c r="I51" s="11" t="str">
        <f t="array" ref="I51">IFERROR(INDEX('BANCO DE PERGUNTAS'!$B:$B,MATCH($H51,'BANCO DE PERGUNTAS'!$A:$A,0)),"")</f>
        <v>Identificação</v>
      </c>
      <c r="J51" s="11">
        <f t="array" ref="J51">IFERROR(INDEX('BANCO DE PERGUNTAS'!$H:$H,MATCH($H51,'BANCO DE PERGUNTAS'!$A:$A,0)),"")</f>
        <v>1</v>
      </c>
      <c r="K51" s="11" t="str">
        <f t="array" ref="K51">IFERROR(INDEX('BANCO DE PERGUNTAS'!$D:$D,MATCH($H51,'BANCO DE PERGUNTAS'!$A:$A,0)),"")</f>
        <v>Qual é o número do processo relacionado?</v>
      </c>
      <c r="L51" s="11" t="str">
        <f t="array" ref="L51">IFERROR(INDEX('BANCO DE PERGUNTAS'!$E:$E,MATCH($H51,'BANCO DE PERGUNTAS'!$A:$A,0)),"")</f>
        <v>Com base exclusivamente no documento fornecido, responda: Qual é o número do processo relacionado? Caso a informação não conste no documento, declare explicitamente 'não consta no documento'.</v>
      </c>
      <c r="M51" s="11"/>
      <c r="N51" s="11"/>
      <c r="O51" s="11"/>
      <c r="P51" s="11"/>
      <c r="Q51" s="11"/>
      <c r="R51" s="11"/>
      <c r="S51" s="11"/>
      <c r="T51" s="11"/>
      <c r="U51" s="11"/>
      <c r="V51" s="11"/>
      <c r="W51" s="11"/>
      <c r="X51" s="11"/>
      <c r="Y51" s="11"/>
      <c r="Z51" s="11"/>
    </row>
    <row r="52" ht="15.75" customHeight="1">
      <c r="A52" s="14" t="s">
        <v>1131</v>
      </c>
      <c r="B52" s="14">
        <v>17.0</v>
      </c>
      <c r="C52" s="14" t="str">
        <f t="array" ref="C52">IFERROR(INDEX(DOCUMENTOS!$B:$B,MATCH($B52,DOCUMENTOS!$A:$A,0)),"")</f>
        <v/>
      </c>
      <c r="D52" s="14" t="str">
        <f t="array" ref="D52">IFERROR(INDEX(DOCUMENTOS!$D:$D,MATCH($B52,DOCUMENTOS!$A:$A,0)),"")</f>
        <v/>
      </c>
      <c r="E52" s="14" t="str">
        <f t="array" ref="E52">IFERROR(INDEX(DOCUMENTOS!$E:$E,MATCH($B52,DOCUMENTOS!$A:$A,0)),"")</f>
        <v/>
      </c>
      <c r="F52" s="14" t="str">
        <f t="array" ref="F52">IFERROR(INDEX(DOCUMENTOS!$G:$G,MATCH($B52,DOCUMENTOS!$A:$A,0)),"")</f>
        <v/>
      </c>
      <c r="G52" s="14" t="str">
        <f t="array" ref="G52">IFERROR(INDEX(DOCUMENTOS!$H:$H,MATCH($B52,DOCUMENTOS!$A:$A,0)),"")</f>
        <v/>
      </c>
      <c r="H52" s="14" t="s">
        <v>33</v>
      </c>
      <c r="I52" s="14" t="str">
        <f t="array" ref="I52">IFERROR(INDEX('BANCO DE PERGUNTAS'!$B:$B,MATCH($H52,'BANCO DE PERGUNTAS'!$A:$A,0)),"")</f>
        <v>Identificação</v>
      </c>
      <c r="J52" s="14">
        <f t="array" ref="J52">IFERROR(INDEX('BANCO DE PERGUNTAS'!$H:$H,MATCH($H52,'BANCO DE PERGUNTAS'!$A:$A,0)),"")</f>
        <v>1</v>
      </c>
      <c r="K52" s="14" t="str">
        <f t="array" ref="K52">IFERROR(INDEX('BANCO DE PERGUNTAS'!$D:$D,MATCH($H52,'BANCO DE PERGUNTAS'!$A:$A,0)),"")</f>
        <v>Qual é o objeto principal deste documento?</v>
      </c>
      <c r="L52" s="14" t="str">
        <f t="array" ref="L52">IFERROR(INDEX('BANCO DE PERGUNTAS'!$E:$E,MATCH($H52,'BANCO DE PERGUNTAS'!$A:$A,0)),"")</f>
        <v>Com base exclusivamente no documento fornecido, responda: Qual é o objeto principal deste documento? Caso a informação não conste no documento, declare explicitamente 'não consta no documento'.</v>
      </c>
      <c r="M52" s="14"/>
      <c r="N52" s="14"/>
      <c r="O52" s="14"/>
      <c r="P52" s="14"/>
      <c r="Q52" s="14"/>
      <c r="R52" s="14"/>
      <c r="S52" s="14"/>
      <c r="T52" s="14"/>
      <c r="U52" s="14"/>
      <c r="V52" s="14"/>
      <c r="W52" s="14"/>
      <c r="X52" s="14"/>
      <c r="Y52" s="14"/>
      <c r="Z52" s="14"/>
    </row>
    <row r="53" ht="15.75" customHeight="1">
      <c r="A53" s="11" t="s">
        <v>1138</v>
      </c>
      <c r="B53" s="11">
        <v>17.0</v>
      </c>
      <c r="C53" s="11" t="str">
        <f t="array" ref="C53">IFERROR(INDEX(DOCUMENTOS!$B:$B,MATCH($B53,DOCUMENTOS!$A:$A,0)),"")</f>
        <v/>
      </c>
      <c r="D53" s="11" t="str">
        <f t="array" ref="D53">IFERROR(INDEX(DOCUMENTOS!$D:$D,MATCH($B53,DOCUMENTOS!$A:$A,0)),"")</f>
        <v/>
      </c>
      <c r="E53" s="11" t="str">
        <f t="array" ref="E53">IFERROR(INDEX(DOCUMENTOS!$E:$E,MATCH($B53,DOCUMENTOS!$A:$A,0)),"")</f>
        <v/>
      </c>
      <c r="F53" s="11" t="str">
        <f t="array" ref="F53">IFERROR(INDEX(DOCUMENTOS!$G:$G,MATCH($B53,DOCUMENTOS!$A:$A,0)),"")</f>
        <v/>
      </c>
      <c r="G53" s="11" t="str">
        <f t="array" ref="G53">IFERROR(INDEX(DOCUMENTOS!$H:$H,MATCH($B53,DOCUMENTOS!$A:$A,0)),"")</f>
        <v/>
      </c>
      <c r="H53" s="11" t="s">
        <v>68</v>
      </c>
      <c r="I53" s="11" t="str">
        <f t="array" ref="I53">IFERROR(INDEX('BANCO DE PERGUNTAS'!$B:$B,MATCH($H53,'BANCO DE PERGUNTAS'!$A:$A,0)),"")</f>
        <v>Identificação</v>
      </c>
      <c r="J53" s="11">
        <f t="array" ref="J53">IFERROR(INDEX('BANCO DE PERGUNTAS'!$H:$H,MATCH($H53,'BANCO DE PERGUNTAS'!$A:$A,0)),"")</f>
        <v>1</v>
      </c>
      <c r="K53" s="11" t="str">
        <f t="array" ref="K53">IFERROR(INDEX('BANCO DE PERGUNTAS'!$D:$D,MATCH($H53,'BANCO DE PERGUNTAS'!$A:$A,0)),"")</f>
        <v>Qual é o número ou identificação do documento?</v>
      </c>
      <c r="L53" s="11" t="str">
        <f t="array" ref="L53">IFERROR(INDEX('BANCO DE PERGUNTAS'!$E:$E,MATCH($H53,'BANCO DE PERGUNTAS'!$A:$A,0)),"")</f>
        <v>Com base exclusivamente no documento fornecido, responda: Qual é o número ou identificação do documento? Caso a informação não conste no documento, declare explicitamente 'não consta no documento'.</v>
      </c>
      <c r="M53" s="11"/>
      <c r="N53" s="11"/>
      <c r="O53" s="11"/>
      <c r="P53" s="11"/>
      <c r="Q53" s="11"/>
      <c r="R53" s="11"/>
      <c r="S53" s="11"/>
      <c r="T53" s="11"/>
      <c r="U53" s="11"/>
      <c r="V53" s="11"/>
      <c r="W53" s="11"/>
      <c r="X53" s="11"/>
      <c r="Y53" s="11"/>
      <c r="Z53" s="11"/>
    </row>
    <row r="54" ht="15.75" customHeight="1">
      <c r="A54" s="14" t="s">
        <v>1139</v>
      </c>
      <c r="B54" s="14">
        <v>17.0</v>
      </c>
      <c r="C54" s="14" t="str">
        <f t="array" ref="C54">IFERROR(INDEX(DOCUMENTOS!$B:$B,MATCH($B54,DOCUMENTOS!$A:$A,0)),"")</f>
        <v/>
      </c>
      <c r="D54" s="14" t="str">
        <f t="array" ref="D54">IFERROR(INDEX(DOCUMENTOS!$D:$D,MATCH($B54,DOCUMENTOS!$A:$A,0)),"")</f>
        <v/>
      </c>
      <c r="E54" s="14" t="str">
        <f t="array" ref="E54">IFERROR(INDEX(DOCUMENTOS!$E:$E,MATCH($B54,DOCUMENTOS!$A:$A,0)),"")</f>
        <v/>
      </c>
      <c r="F54" s="14" t="str">
        <f t="array" ref="F54">IFERROR(INDEX(DOCUMENTOS!$G:$G,MATCH($B54,DOCUMENTOS!$A:$A,0)),"")</f>
        <v/>
      </c>
      <c r="G54" s="14" t="str">
        <f t="array" ref="G54">IFERROR(INDEX(DOCUMENTOS!$H:$H,MATCH($B54,DOCUMENTOS!$A:$A,0)),"")</f>
        <v/>
      </c>
      <c r="H54" s="14" t="s">
        <v>90</v>
      </c>
      <c r="I54" s="14" t="str">
        <f t="array" ref="I54">IFERROR(INDEX('BANCO DE PERGUNTAS'!$B:$B,MATCH($H54,'BANCO DE PERGUNTAS'!$A:$A,0)),"")</f>
        <v>Identificação</v>
      </c>
      <c r="J54" s="14">
        <f t="array" ref="J54">IFERROR(INDEX('BANCO DE PERGUNTAS'!$H:$H,MATCH($H54,'BANCO DE PERGUNTAS'!$A:$A,0)),"")</f>
        <v>1</v>
      </c>
      <c r="K54" s="14" t="str">
        <f t="array" ref="K54">IFERROR(INDEX('BANCO DE PERGUNTAS'!$D:$D,MATCH($H54,'BANCO DE PERGUNTAS'!$A:$A,0)),"")</f>
        <v>Qual é o número do processo relacionado?</v>
      </c>
      <c r="L54" s="14" t="str">
        <f t="array" ref="L54">IFERROR(INDEX('BANCO DE PERGUNTAS'!$E:$E,MATCH($H54,'BANCO DE PERGUNTAS'!$A:$A,0)),"")</f>
        <v>Com base exclusivamente no documento fornecido, responda: Qual é o número do processo relacionado? Caso a informação não conste no documento, declare explicitamente 'não consta no documento'.</v>
      </c>
      <c r="M54" s="14"/>
      <c r="N54" s="14"/>
      <c r="O54" s="14"/>
      <c r="P54" s="14"/>
      <c r="Q54" s="14"/>
      <c r="R54" s="14"/>
      <c r="S54" s="14"/>
      <c r="T54" s="14"/>
      <c r="U54" s="14"/>
      <c r="V54" s="14"/>
      <c r="W54" s="14"/>
      <c r="X54" s="14"/>
      <c r="Y54" s="14"/>
      <c r="Z54" s="14"/>
    </row>
    <row r="55" ht="15.75" customHeight="1">
      <c r="A55" s="11" t="s">
        <v>1140</v>
      </c>
      <c r="B55" s="11">
        <v>18.0</v>
      </c>
      <c r="C55" s="11" t="str">
        <f t="array" ref="C55">IFERROR(INDEX(DOCUMENTOS!$B:$B,MATCH($B55,DOCUMENTOS!$A:$A,0)),"")</f>
        <v/>
      </c>
      <c r="D55" s="11" t="str">
        <f t="array" ref="D55">IFERROR(INDEX(DOCUMENTOS!$D:$D,MATCH($B55,DOCUMENTOS!$A:$A,0)),"")</f>
        <v/>
      </c>
      <c r="E55" s="11" t="str">
        <f t="array" ref="E55">IFERROR(INDEX(DOCUMENTOS!$E:$E,MATCH($B55,DOCUMENTOS!$A:$A,0)),"")</f>
        <v/>
      </c>
      <c r="F55" s="11" t="str">
        <f t="array" ref="F55">IFERROR(INDEX(DOCUMENTOS!$G:$G,MATCH($B55,DOCUMENTOS!$A:$A,0)),"")</f>
        <v/>
      </c>
      <c r="G55" s="11" t="str">
        <f t="array" ref="G55">IFERROR(INDEX(DOCUMENTOS!$H:$H,MATCH($B55,DOCUMENTOS!$A:$A,0)),"")</f>
        <v/>
      </c>
      <c r="H55" s="11" t="s">
        <v>33</v>
      </c>
      <c r="I55" s="11" t="str">
        <f t="array" ref="I55">IFERROR(INDEX('BANCO DE PERGUNTAS'!$B:$B,MATCH($H55,'BANCO DE PERGUNTAS'!$A:$A,0)),"")</f>
        <v>Identificação</v>
      </c>
      <c r="J55" s="11">
        <f t="array" ref="J55">IFERROR(INDEX('BANCO DE PERGUNTAS'!$H:$H,MATCH($H55,'BANCO DE PERGUNTAS'!$A:$A,0)),"")</f>
        <v>1</v>
      </c>
      <c r="K55" s="11" t="str">
        <f t="array" ref="K55">IFERROR(INDEX('BANCO DE PERGUNTAS'!$D:$D,MATCH($H55,'BANCO DE PERGUNTAS'!$A:$A,0)),"")</f>
        <v>Qual é o objeto principal deste documento?</v>
      </c>
      <c r="L55" s="11" t="str">
        <f t="array" ref="L55">IFERROR(INDEX('BANCO DE PERGUNTAS'!$E:$E,MATCH($H55,'BANCO DE PERGUNTAS'!$A:$A,0)),"")</f>
        <v>Com base exclusivamente no documento fornecido, responda: Qual é o objeto principal deste documento? Caso a informação não conste no documento, declare explicitamente 'não consta no documento'.</v>
      </c>
      <c r="M55" s="11"/>
      <c r="N55" s="11"/>
      <c r="O55" s="11"/>
      <c r="P55" s="11"/>
      <c r="Q55" s="11"/>
      <c r="R55" s="11"/>
      <c r="S55" s="11"/>
      <c r="T55" s="11"/>
      <c r="U55" s="11"/>
      <c r="V55" s="11"/>
      <c r="W55" s="11"/>
      <c r="X55" s="11"/>
      <c r="Y55" s="11"/>
      <c r="Z55" s="11"/>
    </row>
    <row r="56" ht="15.75" customHeight="1">
      <c r="A56" s="14" t="s">
        <v>1141</v>
      </c>
      <c r="B56" s="14">
        <v>18.0</v>
      </c>
      <c r="C56" s="14" t="str">
        <f t="array" ref="C56">IFERROR(INDEX(DOCUMENTOS!$B:$B,MATCH($B56,DOCUMENTOS!$A:$A,0)),"")</f>
        <v/>
      </c>
      <c r="D56" s="14" t="str">
        <f t="array" ref="D56">IFERROR(INDEX(DOCUMENTOS!$D:$D,MATCH($B56,DOCUMENTOS!$A:$A,0)),"")</f>
        <v/>
      </c>
      <c r="E56" s="14" t="str">
        <f t="array" ref="E56">IFERROR(INDEX(DOCUMENTOS!$E:$E,MATCH($B56,DOCUMENTOS!$A:$A,0)),"")</f>
        <v/>
      </c>
      <c r="F56" s="14" t="str">
        <f t="array" ref="F56">IFERROR(INDEX(DOCUMENTOS!$G:$G,MATCH($B56,DOCUMENTOS!$A:$A,0)),"")</f>
        <v/>
      </c>
      <c r="G56" s="14" t="str">
        <f t="array" ref="G56">IFERROR(INDEX(DOCUMENTOS!$H:$H,MATCH($B56,DOCUMENTOS!$A:$A,0)),"")</f>
        <v/>
      </c>
      <c r="H56" s="14" t="s">
        <v>68</v>
      </c>
      <c r="I56" s="14" t="str">
        <f t="array" ref="I56">IFERROR(INDEX('BANCO DE PERGUNTAS'!$B:$B,MATCH($H56,'BANCO DE PERGUNTAS'!$A:$A,0)),"")</f>
        <v>Identificação</v>
      </c>
      <c r="J56" s="14">
        <f t="array" ref="J56">IFERROR(INDEX('BANCO DE PERGUNTAS'!$H:$H,MATCH($H56,'BANCO DE PERGUNTAS'!$A:$A,0)),"")</f>
        <v>1</v>
      </c>
      <c r="K56" s="14" t="str">
        <f t="array" ref="K56">IFERROR(INDEX('BANCO DE PERGUNTAS'!$D:$D,MATCH($H56,'BANCO DE PERGUNTAS'!$A:$A,0)),"")</f>
        <v>Qual é o número ou identificação do documento?</v>
      </c>
      <c r="L56" s="14" t="str">
        <f t="array" ref="L56">IFERROR(INDEX('BANCO DE PERGUNTAS'!$E:$E,MATCH($H56,'BANCO DE PERGUNTAS'!$A:$A,0)),"")</f>
        <v>Com base exclusivamente no documento fornecido, responda: Qual é o número ou identificação do documento? Caso a informação não conste no documento, declare explicitamente 'não consta no documento'.</v>
      </c>
      <c r="M56" s="14"/>
      <c r="N56" s="14"/>
      <c r="O56" s="14"/>
      <c r="P56" s="14"/>
      <c r="Q56" s="14"/>
      <c r="R56" s="14"/>
      <c r="S56" s="14"/>
      <c r="T56" s="14"/>
      <c r="U56" s="14"/>
      <c r="V56" s="14"/>
      <c r="W56" s="14"/>
      <c r="X56" s="14"/>
      <c r="Y56" s="14"/>
      <c r="Z56" s="14"/>
    </row>
    <row r="57" ht="15.75" customHeight="1">
      <c r="A57" s="11" t="s">
        <v>1142</v>
      </c>
      <c r="B57" s="11">
        <v>18.0</v>
      </c>
      <c r="C57" s="11" t="str">
        <f t="array" ref="C57">IFERROR(INDEX(DOCUMENTOS!$B:$B,MATCH($B57,DOCUMENTOS!$A:$A,0)),"")</f>
        <v/>
      </c>
      <c r="D57" s="11" t="str">
        <f t="array" ref="D57">IFERROR(INDEX(DOCUMENTOS!$D:$D,MATCH($B57,DOCUMENTOS!$A:$A,0)),"")</f>
        <v/>
      </c>
      <c r="E57" s="11" t="str">
        <f t="array" ref="E57">IFERROR(INDEX(DOCUMENTOS!$E:$E,MATCH($B57,DOCUMENTOS!$A:$A,0)),"")</f>
        <v/>
      </c>
      <c r="F57" s="11" t="str">
        <f t="array" ref="F57">IFERROR(INDEX(DOCUMENTOS!$G:$G,MATCH($B57,DOCUMENTOS!$A:$A,0)),"")</f>
        <v/>
      </c>
      <c r="G57" s="11" t="str">
        <f t="array" ref="G57">IFERROR(INDEX(DOCUMENTOS!$H:$H,MATCH($B57,DOCUMENTOS!$A:$A,0)),"")</f>
        <v/>
      </c>
      <c r="H57" s="11" t="s">
        <v>90</v>
      </c>
      <c r="I57" s="11" t="str">
        <f t="array" ref="I57">IFERROR(INDEX('BANCO DE PERGUNTAS'!$B:$B,MATCH($H57,'BANCO DE PERGUNTAS'!$A:$A,0)),"")</f>
        <v>Identificação</v>
      </c>
      <c r="J57" s="11">
        <f t="array" ref="J57">IFERROR(INDEX('BANCO DE PERGUNTAS'!$H:$H,MATCH($H57,'BANCO DE PERGUNTAS'!$A:$A,0)),"")</f>
        <v>1</v>
      </c>
      <c r="K57" s="11" t="str">
        <f t="array" ref="K57">IFERROR(INDEX('BANCO DE PERGUNTAS'!$D:$D,MATCH($H57,'BANCO DE PERGUNTAS'!$A:$A,0)),"")</f>
        <v>Qual é o número do processo relacionado?</v>
      </c>
      <c r="L57" s="11" t="str">
        <f t="array" ref="L57">IFERROR(INDEX('BANCO DE PERGUNTAS'!$E:$E,MATCH($H57,'BANCO DE PERGUNTAS'!$A:$A,0)),"")</f>
        <v>Com base exclusivamente no documento fornecido, responda: Qual é o número do processo relacionado? Caso a informação não conste no documento, declare explicitamente 'não consta no documento'.</v>
      </c>
      <c r="M57" s="11"/>
      <c r="N57" s="11"/>
      <c r="O57" s="11"/>
      <c r="P57" s="11"/>
      <c r="Q57" s="11"/>
      <c r="R57" s="11"/>
      <c r="S57" s="11"/>
      <c r="T57" s="11"/>
      <c r="U57" s="11"/>
      <c r="V57" s="11"/>
      <c r="W57" s="11"/>
      <c r="X57" s="11"/>
      <c r="Y57" s="11"/>
      <c r="Z57" s="11"/>
    </row>
    <row r="58" ht="15.75" customHeight="1">
      <c r="A58" s="14" t="s">
        <v>1149</v>
      </c>
      <c r="B58" s="14">
        <v>19.0</v>
      </c>
      <c r="C58" s="14" t="str">
        <f t="array" ref="C58">IFERROR(INDEX(DOCUMENTOS!$B:$B,MATCH($B58,DOCUMENTOS!$A:$A,0)),"")</f>
        <v/>
      </c>
      <c r="D58" s="14" t="str">
        <f t="array" ref="D58">IFERROR(INDEX(DOCUMENTOS!$D:$D,MATCH($B58,DOCUMENTOS!$A:$A,0)),"")</f>
        <v/>
      </c>
      <c r="E58" s="14" t="str">
        <f t="array" ref="E58">IFERROR(INDEX(DOCUMENTOS!$E:$E,MATCH($B58,DOCUMENTOS!$A:$A,0)),"")</f>
        <v/>
      </c>
      <c r="F58" s="14" t="str">
        <f t="array" ref="F58">IFERROR(INDEX(DOCUMENTOS!$G:$G,MATCH($B58,DOCUMENTOS!$A:$A,0)),"")</f>
        <v/>
      </c>
      <c r="G58" s="14" t="str">
        <f t="array" ref="G58">IFERROR(INDEX(DOCUMENTOS!$H:$H,MATCH($B58,DOCUMENTOS!$A:$A,0)),"")</f>
        <v/>
      </c>
      <c r="H58" s="14" t="s">
        <v>33</v>
      </c>
      <c r="I58" s="14" t="str">
        <f t="array" ref="I58">IFERROR(INDEX('BANCO DE PERGUNTAS'!$B:$B,MATCH($H58,'BANCO DE PERGUNTAS'!$A:$A,0)),"")</f>
        <v>Identificação</v>
      </c>
      <c r="J58" s="14">
        <f t="array" ref="J58">IFERROR(INDEX('BANCO DE PERGUNTAS'!$H:$H,MATCH($H58,'BANCO DE PERGUNTAS'!$A:$A,0)),"")</f>
        <v>1</v>
      </c>
      <c r="K58" s="14" t="str">
        <f t="array" ref="K58">IFERROR(INDEX('BANCO DE PERGUNTAS'!$D:$D,MATCH($H58,'BANCO DE PERGUNTAS'!$A:$A,0)),"")</f>
        <v>Qual é o objeto principal deste documento?</v>
      </c>
      <c r="L58" s="14" t="str">
        <f t="array" ref="L58">IFERROR(INDEX('BANCO DE PERGUNTAS'!$E:$E,MATCH($H58,'BANCO DE PERGUNTAS'!$A:$A,0)),"")</f>
        <v>Com base exclusivamente no documento fornecido, responda: Qual é o objeto principal deste documento? Caso a informação não conste no documento, declare explicitamente 'não consta no documento'.</v>
      </c>
      <c r="M58" s="14"/>
      <c r="N58" s="14"/>
      <c r="O58" s="14"/>
      <c r="P58" s="14"/>
      <c r="Q58" s="14"/>
      <c r="R58" s="14"/>
      <c r="S58" s="14"/>
      <c r="T58" s="14"/>
      <c r="U58" s="14"/>
      <c r="V58" s="14"/>
      <c r="W58" s="14"/>
      <c r="X58" s="14"/>
      <c r="Y58" s="14"/>
      <c r="Z58" s="14"/>
    </row>
    <row r="59" ht="15.75" customHeight="1">
      <c r="A59" s="11" t="s">
        <v>1152</v>
      </c>
      <c r="B59" s="11">
        <v>19.0</v>
      </c>
      <c r="C59" s="11" t="str">
        <f t="array" ref="C59">IFERROR(INDEX(DOCUMENTOS!$B:$B,MATCH($B59,DOCUMENTOS!$A:$A,0)),"")</f>
        <v/>
      </c>
      <c r="D59" s="11" t="str">
        <f t="array" ref="D59">IFERROR(INDEX(DOCUMENTOS!$D:$D,MATCH($B59,DOCUMENTOS!$A:$A,0)),"")</f>
        <v/>
      </c>
      <c r="E59" s="11" t="str">
        <f t="array" ref="E59">IFERROR(INDEX(DOCUMENTOS!$E:$E,MATCH($B59,DOCUMENTOS!$A:$A,0)),"")</f>
        <v/>
      </c>
      <c r="F59" s="11" t="str">
        <f t="array" ref="F59">IFERROR(INDEX(DOCUMENTOS!$G:$G,MATCH($B59,DOCUMENTOS!$A:$A,0)),"")</f>
        <v/>
      </c>
      <c r="G59" s="11" t="str">
        <f t="array" ref="G59">IFERROR(INDEX(DOCUMENTOS!$H:$H,MATCH($B59,DOCUMENTOS!$A:$A,0)),"")</f>
        <v/>
      </c>
      <c r="H59" s="11" t="s">
        <v>68</v>
      </c>
      <c r="I59" s="11" t="str">
        <f t="array" ref="I59">IFERROR(INDEX('BANCO DE PERGUNTAS'!$B:$B,MATCH($H59,'BANCO DE PERGUNTAS'!$A:$A,0)),"")</f>
        <v>Identificação</v>
      </c>
      <c r="J59" s="11">
        <f t="array" ref="J59">IFERROR(INDEX('BANCO DE PERGUNTAS'!$H:$H,MATCH($H59,'BANCO DE PERGUNTAS'!$A:$A,0)),"")</f>
        <v>1</v>
      </c>
      <c r="K59" s="11" t="str">
        <f t="array" ref="K59">IFERROR(INDEX('BANCO DE PERGUNTAS'!$D:$D,MATCH($H59,'BANCO DE PERGUNTAS'!$A:$A,0)),"")</f>
        <v>Qual é o número ou identificação do documento?</v>
      </c>
      <c r="L59" s="11" t="str">
        <f t="array" ref="L59">IFERROR(INDEX('BANCO DE PERGUNTAS'!$E:$E,MATCH($H59,'BANCO DE PERGUNTAS'!$A:$A,0)),"")</f>
        <v>Com base exclusivamente no documento fornecido, responda: Qual é o número ou identificação do documento? Caso a informação não conste no documento, declare explicitamente 'não consta no documento'.</v>
      </c>
      <c r="M59" s="11"/>
      <c r="N59" s="11"/>
      <c r="O59" s="11"/>
      <c r="P59" s="11"/>
      <c r="Q59" s="11"/>
      <c r="R59" s="11"/>
      <c r="S59" s="11"/>
      <c r="T59" s="11"/>
      <c r="U59" s="11"/>
      <c r="V59" s="11"/>
      <c r="W59" s="11"/>
      <c r="X59" s="11"/>
      <c r="Y59" s="11"/>
      <c r="Z59" s="11"/>
    </row>
    <row r="60" ht="15.75" customHeight="1">
      <c r="A60" s="14" t="s">
        <v>1153</v>
      </c>
      <c r="B60" s="14">
        <v>19.0</v>
      </c>
      <c r="C60" s="14" t="str">
        <f t="array" ref="C60">IFERROR(INDEX(DOCUMENTOS!$B:$B,MATCH($B60,DOCUMENTOS!$A:$A,0)),"")</f>
        <v/>
      </c>
      <c r="D60" s="14" t="str">
        <f t="array" ref="D60">IFERROR(INDEX(DOCUMENTOS!$D:$D,MATCH($B60,DOCUMENTOS!$A:$A,0)),"")</f>
        <v/>
      </c>
      <c r="E60" s="14" t="str">
        <f t="array" ref="E60">IFERROR(INDEX(DOCUMENTOS!$E:$E,MATCH($B60,DOCUMENTOS!$A:$A,0)),"")</f>
        <v/>
      </c>
      <c r="F60" s="14" t="str">
        <f t="array" ref="F60">IFERROR(INDEX(DOCUMENTOS!$G:$G,MATCH($B60,DOCUMENTOS!$A:$A,0)),"")</f>
        <v/>
      </c>
      <c r="G60" s="14" t="str">
        <f t="array" ref="G60">IFERROR(INDEX(DOCUMENTOS!$H:$H,MATCH($B60,DOCUMENTOS!$A:$A,0)),"")</f>
        <v/>
      </c>
      <c r="H60" s="14" t="s">
        <v>90</v>
      </c>
      <c r="I60" s="14" t="str">
        <f t="array" ref="I60">IFERROR(INDEX('BANCO DE PERGUNTAS'!$B:$B,MATCH($H60,'BANCO DE PERGUNTAS'!$A:$A,0)),"")</f>
        <v>Identificação</v>
      </c>
      <c r="J60" s="14">
        <f t="array" ref="J60">IFERROR(INDEX('BANCO DE PERGUNTAS'!$H:$H,MATCH($H60,'BANCO DE PERGUNTAS'!$A:$A,0)),"")</f>
        <v>1</v>
      </c>
      <c r="K60" s="14" t="str">
        <f t="array" ref="K60">IFERROR(INDEX('BANCO DE PERGUNTAS'!$D:$D,MATCH($H60,'BANCO DE PERGUNTAS'!$A:$A,0)),"")</f>
        <v>Qual é o número do processo relacionado?</v>
      </c>
      <c r="L60" s="14" t="str">
        <f t="array" ref="L60">IFERROR(INDEX('BANCO DE PERGUNTAS'!$E:$E,MATCH($H60,'BANCO DE PERGUNTAS'!$A:$A,0)),"")</f>
        <v>Com base exclusivamente no documento fornecido, responda: Qual é o número do processo relacionado? Caso a informação não conste no documento, declare explicitamente 'não consta no documento'.</v>
      </c>
      <c r="M60" s="14"/>
      <c r="N60" s="14"/>
      <c r="O60" s="14"/>
      <c r="P60" s="14"/>
      <c r="Q60" s="14"/>
      <c r="R60" s="14"/>
      <c r="S60" s="14"/>
      <c r="T60" s="14"/>
      <c r="U60" s="14"/>
      <c r="V60" s="14"/>
      <c r="W60" s="14"/>
      <c r="X60" s="14"/>
      <c r="Y60" s="14"/>
      <c r="Z60" s="14"/>
    </row>
    <row r="61" ht="15.75" customHeight="1">
      <c r="A61" s="11" t="s">
        <v>1154</v>
      </c>
      <c r="B61" s="11">
        <v>20.0</v>
      </c>
      <c r="C61" s="11" t="str">
        <f t="array" ref="C61">IFERROR(INDEX(DOCUMENTOS!$B:$B,MATCH($B61,DOCUMENTOS!$A:$A,0)),"")</f>
        <v/>
      </c>
      <c r="D61" s="11" t="str">
        <f t="array" ref="D61">IFERROR(INDEX(DOCUMENTOS!$D:$D,MATCH($B61,DOCUMENTOS!$A:$A,0)),"")</f>
        <v/>
      </c>
      <c r="E61" s="11" t="str">
        <f t="array" ref="E61">IFERROR(INDEX(DOCUMENTOS!$E:$E,MATCH($B61,DOCUMENTOS!$A:$A,0)),"")</f>
        <v/>
      </c>
      <c r="F61" s="11" t="str">
        <f t="array" ref="F61">IFERROR(INDEX(DOCUMENTOS!$G:$G,MATCH($B61,DOCUMENTOS!$A:$A,0)),"")</f>
        <v/>
      </c>
      <c r="G61" s="11" t="str">
        <f t="array" ref="G61">IFERROR(INDEX(DOCUMENTOS!$H:$H,MATCH($B61,DOCUMENTOS!$A:$A,0)),"")</f>
        <v/>
      </c>
      <c r="H61" s="11" t="s">
        <v>33</v>
      </c>
      <c r="I61" s="11" t="str">
        <f t="array" ref="I61">IFERROR(INDEX('BANCO DE PERGUNTAS'!$B:$B,MATCH($H61,'BANCO DE PERGUNTAS'!$A:$A,0)),"")</f>
        <v>Identificação</v>
      </c>
      <c r="J61" s="11">
        <f t="array" ref="J61">IFERROR(INDEX('BANCO DE PERGUNTAS'!$H:$H,MATCH($H61,'BANCO DE PERGUNTAS'!$A:$A,0)),"")</f>
        <v>1</v>
      </c>
      <c r="K61" s="11" t="str">
        <f t="array" ref="K61">IFERROR(INDEX('BANCO DE PERGUNTAS'!$D:$D,MATCH($H61,'BANCO DE PERGUNTAS'!$A:$A,0)),"")</f>
        <v>Qual é o objeto principal deste documento?</v>
      </c>
      <c r="L61" s="11" t="str">
        <f t="array" ref="L61">IFERROR(INDEX('BANCO DE PERGUNTAS'!$E:$E,MATCH($H61,'BANCO DE PERGUNTAS'!$A:$A,0)),"")</f>
        <v>Com base exclusivamente no documento fornecido, responda: Qual é o objeto principal deste documento? Caso a informação não conste no documento, declare explicitamente 'não consta no documento'.</v>
      </c>
      <c r="M61" s="11"/>
      <c r="N61" s="11"/>
      <c r="O61" s="11"/>
      <c r="P61" s="11"/>
      <c r="Q61" s="11"/>
      <c r="R61" s="11"/>
      <c r="S61" s="11"/>
      <c r="T61" s="11"/>
      <c r="U61" s="11"/>
      <c r="V61" s="11"/>
      <c r="W61" s="11"/>
      <c r="X61" s="11"/>
      <c r="Y61" s="11"/>
      <c r="Z61" s="11"/>
    </row>
    <row r="62" ht="15.75" customHeight="1">
      <c r="A62" s="14" t="s">
        <v>1155</v>
      </c>
      <c r="B62" s="14">
        <v>20.0</v>
      </c>
      <c r="C62" s="14" t="str">
        <f t="array" ref="C62">IFERROR(INDEX(DOCUMENTOS!$B:$B,MATCH($B62,DOCUMENTOS!$A:$A,0)),"")</f>
        <v/>
      </c>
      <c r="D62" s="14" t="str">
        <f t="array" ref="D62">IFERROR(INDEX(DOCUMENTOS!$D:$D,MATCH($B62,DOCUMENTOS!$A:$A,0)),"")</f>
        <v/>
      </c>
      <c r="E62" s="14" t="str">
        <f t="array" ref="E62">IFERROR(INDEX(DOCUMENTOS!$E:$E,MATCH($B62,DOCUMENTOS!$A:$A,0)),"")</f>
        <v/>
      </c>
      <c r="F62" s="14" t="str">
        <f t="array" ref="F62">IFERROR(INDEX(DOCUMENTOS!$G:$G,MATCH($B62,DOCUMENTOS!$A:$A,0)),"")</f>
        <v/>
      </c>
      <c r="G62" s="14" t="str">
        <f t="array" ref="G62">IFERROR(INDEX(DOCUMENTOS!$H:$H,MATCH($B62,DOCUMENTOS!$A:$A,0)),"")</f>
        <v/>
      </c>
      <c r="H62" s="14" t="s">
        <v>68</v>
      </c>
      <c r="I62" s="14" t="str">
        <f t="array" ref="I62">IFERROR(INDEX('BANCO DE PERGUNTAS'!$B:$B,MATCH($H62,'BANCO DE PERGUNTAS'!$A:$A,0)),"")</f>
        <v>Identificação</v>
      </c>
      <c r="J62" s="14">
        <f t="array" ref="J62">IFERROR(INDEX('BANCO DE PERGUNTAS'!$H:$H,MATCH($H62,'BANCO DE PERGUNTAS'!$A:$A,0)),"")</f>
        <v>1</v>
      </c>
      <c r="K62" s="14" t="str">
        <f t="array" ref="K62">IFERROR(INDEX('BANCO DE PERGUNTAS'!$D:$D,MATCH($H62,'BANCO DE PERGUNTAS'!$A:$A,0)),"")</f>
        <v>Qual é o número ou identificação do documento?</v>
      </c>
      <c r="L62" s="14" t="str">
        <f t="array" ref="L62">IFERROR(INDEX('BANCO DE PERGUNTAS'!$E:$E,MATCH($H62,'BANCO DE PERGUNTAS'!$A:$A,0)),"")</f>
        <v>Com base exclusivamente no documento fornecido, responda: Qual é o número ou identificação do documento? Caso a informação não conste no documento, declare explicitamente 'não consta no documento'.</v>
      </c>
      <c r="M62" s="14"/>
      <c r="N62" s="14"/>
      <c r="O62" s="14"/>
      <c r="P62" s="14"/>
      <c r="Q62" s="14"/>
      <c r="R62" s="14"/>
      <c r="S62" s="14"/>
      <c r="T62" s="14"/>
      <c r="U62" s="14"/>
      <c r="V62" s="14"/>
      <c r="W62" s="14"/>
      <c r="X62" s="14"/>
      <c r="Y62" s="14"/>
      <c r="Z62" s="14"/>
    </row>
    <row r="63" ht="15.75" customHeight="1">
      <c r="A63" s="11" t="s">
        <v>1156</v>
      </c>
      <c r="B63" s="11">
        <v>20.0</v>
      </c>
      <c r="C63" s="11" t="str">
        <f t="array" ref="C63">IFERROR(INDEX(DOCUMENTOS!$B:$B,MATCH($B63,DOCUMENTOS!$A:$A,0)),"")</f>
        <v/>
      </c>
      <c r="D63" s="11" t="str">
        <f t="array" ref="D63">IFERROR(INDEX(DOCUMENTOS!$D:$D,MATCH($B63,DOCUMENTOS!$A:$A,0)),"")</f>
        <v/>
      </c>
      <c r="E63" s="11" t="str">
        <f t="array" ref="E63">IFERROR(INDEX(DOCUMENTOS!$E:$E,MATCH($B63,DOCUMENTOS!$A:$A,0)),"")</f>
        <v/>
      </c>
      <c r="F63" s="11" t="str">
        <f t="array" ref="F63">IFERROR(INDEX(DOCUMENTOS!$G:$G,MATCH($B63,DOCUMENTOS!$A:$A,0)),"")</f>
        <v/>
      </c>
      <c r="G63" s="11" t="str">
        <f t="array" ref="G63">IFERROR(INDEX(DOCUMENTOS!$H:$H,MATCH($B63,DOCUMENTOS!$A:$A,0)),"")</f>
        <v/>
      </c>
      <c r="H63" s="11" t="s">
        <v>90</v>
      </c>
      <c r="I63" s="11" t="str">
        <f t="array" ref="I63">IFERROR(INDEX('BANCO DE PERGUNTAS'!$B:$B,MATCH($H63,'BANCO DE PERGUNTAS'!$A:$A,0)),"")</f>
        <v>Identificação</v>
      </c>
      <c r="J63" s="11">
        <f t="array" ref="J63">IFERROR(INDEX('BANCO DE PERGUNTAS'!$H:$H,MATCH($H63,'BANCO DE PERGUNTAS'!$A:$A,0)),"")</f>
        <v>1</v>
      </c>
      <c r="K63" s="11" t="str">
        <f t="array" ref="K63">IFERROR(INDEX('BANCO DE PERGUNTAS'!$D:$D,MATCH($H63,'BANCO DE PERGUNTAS'!$A:$A,0)),"")</f>
        <v>Qual é o número do processo relacionado?</v>
      </c>
      <c r="L63" s="11" t="str">
        <f t="array" ref="L63">IFERROR(INDEX('BANCO DE PERGUNTAS'!$E:$E,MATCH($H63,'BANCO DE PERGUNTAS'!$A:$A,0)),"")</f>
        <v>Com base exclusivamente no documento fornecido, responda: Qual é o número do processo relacionado? Caso a informação não conste no documento, declare explicitamente 'não consta no documento'.</v>
      </c>
      <c r="M63" s="11"/>
      <c r="N63" s="11"/>
      <c r="O63" s="11"/>
      <c r="P63" s="11"/>
      <c r="Q63" s="11"/>
      <c r="R63" s="11"/>
      <c r="S63" s="11"/>
      <c r="T63" s="11"/>
      <c r="U63" s="11"/>
      <c r="V63" s="11"/>
      <c r="W63" s="11"/>
      <c r="X63" s="11"/>
      <c r="Y63" s="11"/>
      <c r="Z63" s="11"/>
    </row>
    <row r="64" ht="15.75" customHeight="1">
      <c r="K64" s="95"/>
    </row>
    <row r="65" ht="45.75" customHeight="1">
      <c r="A65" s="18" t="s">
        <v>2333</v>
      </c>
    </row>
    <row r="66" ht="15.75" customHeight="1">
      <c r="K66" s="95"/>
    </row>
    <row r="67" ht="15.75" customHeight="1">
      <c r="K67" s="95"/>
    </row>
    <row r="68" ht="15.75" customHeight="1">
      <c r="K68" s="95"/>
    </row>
    <row r="69" ht="15.75" customHeight="1">
      <c r="K69" s="95"/>
    </row>
    <row r="70" ht="15.75" customHeight="1">
      <c r="K70" s="95"/>
    </row>
    <row r="71" ht="15.75" customHeight="1">
      <c r="K71" s="95"/>
    </row>
    <row r="72" ht="15.75" customHeight="1">
      <c r="K72" s="95"/>
    </row>
    <row r="73" ht="15.75" customHeight="1">
      <c r="K73" s="95"/>
    </row>
    <row r="74" ht="15.75" customHeight="1">
      <c r="K74" s="95"/>
    </row>
    <row r="75" ht="15.75" customHeight="1">
      <c r="K75" s="95"/>
    </row>
    <row r="76" ht="15.75" customHeight="1">
      <c r="K76" s="95"/>
    </row>
    <row r="77" ht="15.75" customHeight="1">
      <c r="K77" s="95"/>
    </row>
    <row r="78" ht="15.75" customHeight="1">
      <c r="K78" s="95"/>
    </row>
    <row r="79" ht="15.75" customHeight="1">
      <c r="K79" s="95"/>
    </row>
    <row r="80" ht="15.75" customHeight="1">
      <c r="K80" s="95"/>
    </row>
    <row r="81" ht="15.75" customHeight="1">
      <c r="K81" s="95"/>
    </row>
    <row r="82" ht="15.75" customHeight="1">
      <c r="K82" s="95"/>
    </row>
    <row r="83" ht="15.75" customHeight="1">
      <c r="K83" s="95"/>
    </row>
    <row r="84" ht="15.75" customHeight="1">
      <c r="K84" s="95"/>
    </row>
    <row r="85" ht="15.75" customHeight="1">
      <c r="K85" s="95"/>
    </row>
    <row r="86" ht="15.75" customHeight="1">
      <c r="K86" s="95"/>
    </row>
    <row r="87" ht="15.75" customHeight="1">
      <c r="K87" s="95"/>
    </row>
    <row r="88" ht="15.75" customHeight="1">
      <c r="K88" s="95"/>
    </row>
    <row r="89" ht="15.75" customHeight="1">
      <c r="K89" s="95"/>
    </row>
    <row r="90" ht="15.75" customHeight="1">
      <c r="K90" s="95"/>
    </row>
    <row r="91" ht="15.75" customHeight="1">
      <c r="K91" s="95"/>
    </row>
    <row r="92" ht="15.75" customHeight="1">
      <c r="K92" s="95"/>
    </row>
    <row r="93" ht="15.75" customHeight="1">
      <c r="K93" s="95"/>
    </row>
    <row r="94" ht="15.75" customHeight="1">
      <c r="K94" s="95"/>
    </row>
    <row r="95" ht="15.75" customHeight="1">
      <c r="K95" s="95"/>
    </row>
    <row r="96" ht="15.75" customHeight="1">
      <c r="K96" s="95"/>
    </row>
    <row r="97" ht="15.75" customHeight="1">
      <c r="K97" s="95"/>
    </row>
    <row r="98" ht="15.75" customHeight="1">
      <c r="K98" s="95"/>
    </row>
    <row r="99" ht="15.75" customHeight="1">
      <c r="K99" s="95"/>
    </row>
    <row r="100" ht="15.75" customHeight="1">
      <c r="K100" s="95"/>
    </row>
    <row r="101" ht="15.75" customHeight="1">
      <c r="K101" s="95"/>
    </row>
    <row r="102" ht="15.75" customHeight="1">
      <c r="K102" s="95"/>
    </row>
    <row r="103" ht="15.75" customHeight="1">
      <c r="K103" s="95"/>
    </row>
    <row r="104" ht="15.75" customHeight="1">
      <c r="K104" s="95"/>
    </row>
    <row r="105" ht="15.75" customHeight="1">
      <c r="K105" s="95"/>
    </row>
    <row r="106" ht="15.75" customHeight="1">
      <c r="K106" s="95"/>
    </row>
    <row r="107" ht="15.75" customHeight="1">
      <c r="K107" s="95"/>
    </row>
    <row r="108" ht="15.75" customHeight="1">
      <c r="K108" s="95"/>
    </row>
    <row r="109" ht="15.75" customHeight="1">
      <c r="K109" s="95"/>
    </row>
    <row r="110" ht="15.75" customHeight="1">
      <c r="K110" s="95"/>
    </row>
    <row r="111" ht="15.75" customHeight="1">
      <c r="K111" s="95"/>
    </row>
    <row r="112" ht="15.75" customHeight="1">
      <c r="K112" s="95"/>
    </row>
    <row r="113" ht="15.75" customHeight="1">
      <c r="K113" s="95"/>
    </row>
    <row r="114" ht="15.75" customHeight="1">
      <c r="K114" s="95"/>
    </row>
    <row r="115" ht="15.75" customHeight="1">
      <c r="K115" s="95"/>
    </row>
    <row r="116" ht="15.75" customHeight="1">
      <c r="K116" s="95"/>
    </row>
    <row r="117" ht="15.75" customHeight="1">
      <c r="K117" s="95"/>
    </row>
    <row r="118" ht="15.75" customHeight="1">
      <c r="K118" s="95"/>
    </row>
    <row r="119" ht="15.75" customHeight="1">
      <c r="K119" s="95"/>
    </row>
    <row r="120" ht="15.75" customHeight="1">
      <c r="K120" s="95"/>
    </row>
    <row r="121" ht="15.75" customHeight="1">
      <c r="K121" s="95"/>
    </row>
    <row r="122" ht="15.75" customHeight="1">
      <c r="K122" s="95"/>
    </row>
    <row r="123" ht="15.75" customHeight="1">
      <c r="K123" s="95"/>
    </row>
    <row r="124" ht="15.75" customHeight="1">
      <c r="K124" s="95"/>
    </row>
    <row r="125" ht="15.75" customHeight="1">
      <c r="K125" s="95"/>
    </row>
    <row r="126" ht="15.75" customHeight="1">
      <c r="K126" s="95"/>
    </row>
    <row r="127" ht="15.75" customHeight="1">
      <c r="K127" s="95"/>
    </row>
    <row r="128" ht="15.75" customHeight="1">
      <c r="K128" s="95"/>
    </row>
    <row r="129" ht="15.75" customHeight="1">
      <c r="K129" s="95"/>
    </row>
    <row r="130" ht="15.75" customHeight="1">
      <c r="K130" s="95"/>
    </row>
    <row r="131" ht="15.75" customHeight="1">
      <c r="K131" s="95"/>
    </row>
    <row r="132" ht="15.75" customHeight="1">
      <c r="K132" s="95"/>
    </row>
    <row r="133" ht="15.75" customHeight="1">
      <c r="K133" s="95"/>
    </row>
    <row r="134" ht="15.75" customHeight="1">
      <c r="K134" s="95"/>
    </row>
    <row r="135" ht="15.75" customHeight="1">
      <c r="K135" s="95"/>
    </row>
    <row r="136" ht="15.75" customHeight="1">
      <c r="K136" s="95"/>
    </row>
    <row r="137" ht="15.75" customHeight="1">
      <c r="K137" s="95"/>
    </row>
    <row r="138" ht="15.75" customHeight="1">
      <c r="K138" s="95"/>
    </row>
    <row r="139" ht="15.75" customHeight="1">
      <c r="K139" s="95"/>
    </row>
    <row r="140" ht="15.75" customHeight="1">
      <c r="K140" s="95"/>
    </row>
    <row r="141" ht="15.75" customHeight="1">
      <c r="K141" s="95"/>
    </row>
    <row r="142" ht="15.75" customHeight="1">
      <c r="K142" s="95"/>
    </row>
    <row r="143" ht="15.75" customHeight="1">
      <c r="K143" s="95"/>
    </row>
    <row r="144" ht="15.75" customHeight="1">
      <c r="K144" s="95"/>
    </row>
    <row r="145" ht="15.75" customHeight="1">
      <c r="K145" s="95"/>
    </row>
    <row r="146" ht="15.75" customHeight="1">
      <c r="K146" s="95"/>
    </row>
    <row r="147" ht="15.75" customHeight="1">
      <c r="K147" s="95"/>
    </row>
    <row r="148" ht="15.75" customHeight="1">
      <c r="K148" s="95"/>
    </row>
    <row r="149" ht="15.75" customHeight="1">
      <c r="K149" s="95"/>
    </row>
    <row r="150" ht="15.75" customHeight="1">
      <c r="K150" s="95"/>
    </row>
    <row r="151" ht="15.75" customHeight="1">
      <c r="K151" s="95"/>
    </row>
    <row r="152" ht="15.75" customHeight="1">
      <c r="K152" s="95"/>
    </row>
    <row r="153" ht="15.75" customHeight="1">
      <c r="K153" s="95"/>
    </row>
    <row r="154" ht="15.75" customHeight="1">
      <c r="K154" s="95"/>
    </row>
    <row r="155" ht="15.75" customHeight="1">
      <c r="K155" s="95"/>
    </row>
    <row r="156" ht="15.75" customHeight="1">
      <c r="K156" s="95"/>
    </row>
    <row r="157" ht="15.75" customHeight="1">
      <c r="K157" s="95"/>
    </row>
    <row r="158" ht="15.75" customHeight="1">
      <c r="K158" s="95"/>
    </row>
    <row r="159" ht="15.75" customHeight="1">
      <c r="K159" s="95"/>
    </row>
    <row r="160" ht="15.75" customHeight="1">
      <c r="K160" s="95"/>
    </row>
    <row r="161" ht="15.75" customHeight="1">
      <c r="K161" s="95"/>
    </row>
    <row r="162" ht="15.75" customHeight="1">
      <c r="K162" s="95"/>
    </row>
    <row r="163" ht="15.75" customHeight="1">
      <c r="K163" s="95"/>
    </row>
    <row r="164" ht="15.75" customHeight="1">
      <c r="K164" s="95"/>
    </row>
    <row r="165" ht="15.75" customHeight="1">
      <c r="K165" s="95"/>
    </row>
    <row r="166" ht="15.75" customHeight="1">
      <c r="K166" s="95"/>
    </row>
    <row r="167" ht="15.75" customHeight="1">
      <c r="K167" s="95"/>
    </row>
    <row r="168" ht="15.75" customHeight="1">
      <c r="K168" s="95"/>
    </row>
    <row r="169" ht="15.75" customHeight="1">
      <c r="K169" s="95"/>
    </row>
    <row r="170" ht="15.75" customHeight="1">
      <c r="K170" s="95"/>
    </row>
    <row r="171" ht="15.75" customHeight="1">
      <c r="K171" s="95"/>
    </row>
    <row r="172" ht="15.75" customHeight="1">
      <c r="K172" s="95"/>
    </row>
    <row r="173" ht="15.75" customHeight="1">
      <c r="K173" s="95"/>
    </row>
    <row r="174" ht="15.75" customHeight="1">
      <c r="K174" s="95"/>
    </row>
    <row r="175" ht="15.75" customHeight="1">
      <c r="K175" s="95"/>
    </row>
    <row r="176" ht="15.75" customHeight="1">
      <c r="K176" s="95"/>
    </row>
    <row r="177" ht="15.75" customHeight="1">
      <c r="K177" s="95"/>
    </row>
    <row r="178" ht="15.75" customHeight="1">
      <c r="K178" s="95"/>
    </row>
    <row r="179" ht="15.75" customHeight="1">
      <c r="K179" s="95"/>
    </row>
    <row r="180" ht="15.75" customHeight="1">
      <c r="K180" s="95"/>
    </row>
    <row r="181" ht="15.75" customHeight="1">
      <c r="K181" s="95"/>
    </row>
    <row r="182" ht="15.75" customHeight="1">
      <c r="K182" s="95"/>
    </row>
    <row r="183" ht="15.75" customHeight="1">
      <c r="K183" s="95"/>
    </row>
    <row r="184" ht="15.75" customHeight="1">
      <c r="K184" s="95"/>
    </row>
    <row r="185" ht="15.75" customHeight="1">
      <c r="K185" s="95"/>
    </row>
    <row r="186" ht="15.75" customHeight="1">
      <c r="K186" s="95"/>
    </row>
    <row r="187" ht="15.75" customHeight="1">
      <c r="K187" s="95"/>
    </row>
    <row r="188" ht="15.75" customHeight="1">
      <c r="K188" s="95"/>
    </row>
    <row r="189" ht="15.75" customHeight="1">
      <c r="K189" s="95"/>
    </row>
    <row r="190" ht="15.75" customHeight="1">
      <c r="K190" s="95"/>
    </row>
    <row r="191" ht="15.75" customHeight="1">
      <c r="K191" s="95"/>
    </row>
    <row r="192" ht="15.75" customHeight="1">
      <c r="K192" s="95"/>
    </row>
    <row r="193" ht="15.75" customHeight="1">
      <c r="K193" s="95"/>
    </row>
    <row r="194" ht="15.75" customHeight="1">
      <c r="K194" s="95"/>
    </row>
    <row r="195" ht="15.75" customHeight="1">
      <c r="K195" s="95"/>
    </row>
    <row r="196" ht="15.75" customHeight="1">
      <c r="K196" s="95"/>
    </row>
    <row r="197" ht="15.75" customHeight="1">
      <c r="K197" s="95"/>
    </row>
    <row r="198" ht="15.75" customHeight="1">
      <c r="K198" s="95"/>
    </row>
    <row r="199" ht="15.75" customHeight="1">
      <c r="K199" s="95"/>
    </row>
    <row r="200" ht="15.75" customHeight="1">
      <c r="K200" s="95"/>
    </row>
    <row r="201" ht="15.75" customHeight="1">
      <c r="K201" s="95"/>
    </row>
    <row r="202" ht="15.75" customHeight="1">
      <c r="K202" s="95"/>
    </row>
    <row r="203" ht="15.75" customHeight="1">
      <c r="K203" s="95"/>
    </row>
    <row r="204" ht="15.75" customHeight="1">
      <c r="K204" s="95"/>
    </row>
    <row r="205" ht="15.75" customHeight="1">
      <c r="K205" s="95"/>
    </row>
    <row r="206" ht="15.75" customHeight="1">
      <c r="K206" s="95"/>
    </row>
    <row r="207" ht="15.75" customHeight="1">
      <c r="K207" s="95"/>
    </row>
    <row r="208" ht="15.75" customHeight="1">
      <c r="K208" s="95"/>
    </row>
    <row r="209" ht="15.75" customHeight="1">
      <c r="K209" s="95"/>
    </row>
    <row r="210" ht="15.75" customHeight="1">
      <c r="K210" s="95"/>
    </row>
    <row r="211" ht="15.75" customHeight="1">
      <c r="K211" s="95"/>
    </row>
    <row r="212" ht="15.75" customHeight="1">
      <c r="K212" s="95"/>
    </row>
    <row r="213" ht="15.75" customHeight="1">
      <c r="K213" s="95"/>
    </row>
    <row r="214" ht="15.75" customHeight="1">
      <c r="K214" s="95"/>
    </row>
    <row r="215" ht="15.75" customHeight="1">
      <c r="K215" s="95"/>
    </row>
    <row r="216" ht="15.75" customHeight="1">
      <c r="K216" s="95"/>
    </row>
    <row r="217" ht="15.75" customHeight="1">
      <c r="K217" s="95"/>
    </row>
    <row r="218" ht="15.75" customHeight="1">
      <c r="K218" s="95"/>
    </row>
    <row r="219" ht="15.75" customHeight="1">
      <c r="K219" s="95"/>
    </row>
    <row r="220" ht="15.75" customHeight="1">
      <c r="K220" s="95"/>
    </row>
    <row r="221" ht="15.75" customHeight="1">
      <c r="K221" s="95"/>
    </row>
    <row r="222" ht="15.75" customHeight="1">
      <c r="K222" s="95"/>
    </row>
    <row r="223" ht="15.75" customHeight="1">
      <c r="K223" s="95"/>
    </row>
    <row r="224" ht="15.75" customHeight="1">
      <c r="K224" s="95"/>
    </row>
    <row r="225" ht="15.75" customHeight="1">
      <c r="K225" s="95"/>
    </row>
    <row r="226" ht="15.75" customHeight="1">
      <c r="K226" s="95"/>
    </row>
    <row r="227" ht="15.75" customHeight="1">
      <c r="K227" s="95"/>
    </row>
    <row r="228" ht="15.75" customHeight="1">
      <c r="K228" s="95"/>
    </row>
    <row r="229" ht="15.75" customHeight="1">
      <c r="K229" s="95"/>
    </row>
    <row r="230" ht="15.75" customHeight="1">
      <c r="K230" s="95"/>
    </row>
    <row r="231" ht="15.75" customHeight="1">
      <c r="K231" s="95"/>
    </row>
    <row r="232" ht="15.75" customHeight="1">
      <c r="K232" s="95"/>
    </row>
    <row r="233" ht="15.75" customHeight="1">
      <c r="K233" s="95"/>
    </row>
    <row r="234" ht="15.75" customHeight="1">
      <c r="K234" s="95"/>
    </row>
    <row r="235" ht="15.75" customHeight="1">
      <c r="K235" s="95"/>
    </row>
    <row r="236" ht="15.75" customHeight="1">
      <c r="K236" s="95"/>
    </row>
    <row r="237" ht="15.75" customHeight="1">
      <c r="K237" s="95"/>
    </row>
    <row r="238" ht="15.75" customHeight="1">
      <c r="K238" s="95"/>
    </row>
    <row r="239" ht="15.75" customHeight="1">
      <c r="K239" s="95"/>
    </row>
    <row r="240" ht="15.75" customHeight="1">
      <c r="K240" s="95"/>
    </row>
    <row r="241" ht="15.75" customHeight="1">
      <c r="K241" s="95"/>
    </row>
    <row r="242" ht="15.75" customHeight="1">
      <c r="K242" s="95"/>
    </row>
    <row r="243" ht="15.75" customHeight="1">
      <c r="K243" s="95"/>
    </row>
    <row r="244" ht="15.75" customHeight="1">
      <c r="K244" s="95"/>
    </row>
    <row r="245" ht="15.75" customHeight="1">
      <c r="K245" s="95"/>
    </row>
    <row r="246" ht="15.75" customHeight="1">
      <c r="K246" s="95"/>
    </row>
    <row r="247" ht="15.75" customHeight="1">
      <c r="K247" s="95"/>
    </row>
    <row r="248" ht="15.75" customHeight="1">
      <c r="K248" s="95"/>
    </row>
    <row r="249" ht="15.75" customHeight="1">
      <c r="K249" s="95"/>
    </row>
    <row r="250" ht="15.75" customHeight="1">
      <c r="K250" s="95"/>
    </row>
    <row r="251" ht="15.75" customHeight="1">
      <c r="K251" s="95"/>
    </row>
    <row r="252" ht="15.75" customHeight="1">
      <c r="K252" s="95"/>
    </row>
    <row r="253" ht="15.75" customHeight="1">
      <c r="K253" s="95"/>
    </row>
    <row r="254" ht="15.75" customHeight="1">
      <c r="K254" s="95"/>
    </row>
    <row r="255" ht="15.75" customHeight="1">
      <c r="K255" s="95"/>
    </row>
    <row r="256" ht="15.75" customHeight="1">
      <c r="K256" s="95"/>
    </row>
    <row r="257" ht="15.75" customHeight="1">
      <c r="K257" s="95"/>
    </row>
    <row r="258" ht="15.75" customHeight="1">
      <c r="K258" s="95"/>
    </row>
    <row r="259" ht="15.75" customHeight="1">
      <c r="K259" s="95"/>
    </row>
    <row r="260" ht="15.75" customHeight="1">
      <c r="K260" s="95"/>
    </row>
    <row r="261" ht="15.75" customHeight="1">
      <c r="K261" s="95"/>
    </row>
    <row r="262" ht="15.75" customHeight="1">
      <c r="K262" s="95"/>
    </row>
    <row r="263" ht="15.75" customHeight="1">
      <c r="K263" s="95"/>
    </row>
    <row r="264" ht="15.75" customHeight="1">
      <c r="K264" s="95"/>
    </row>
    <row r="265" ht="15.75" customHeight="1">
      <c r="K265" s="95"/>
    </row>
    <row r="266" ht="15.75" customHeight="1">
      <c r="K266" s="95"/>
    </row>
    <row r="267" ht="15.75" customHeight="1">
      <c r="K267" s="95"/>
    </row>
    <row r="268" ht="15.75" customHeight="1">
      <c r="K268" s="95"/>
    </row>
    <row r="269" ht="15.75" customHeight="1">
      <c r="K269" s="95"/>
    </row>
    <row r="270" ht="15.75" customHeight="1">
      <c r="K270" s="95"/>
    </row>
    <row r="271" ht="15.75" customHeight="1">
      <c r="K271" s="95"/>
    </row>
    <row r="272" ht="15.75" customHeight="1">
      <c r="K272" s="95"/>
    </row>
    <row r="273" ht="15.75" customHeight="1">
      <c r="K273" s="95"/>
    </row>
    <row r="274" ht="15.75" customHeight="1">
      <c r="K274" s="95"/>
    </row>
    <row r="275" ht="15.75" customHeight="1">
      <c r="K275" s="95"/>
    </row>
    <row r="276" ht="15.75" customHeight="1">
      <c r="K276" s="95"/>
    </row>
    <row r="277" ht="15.75" customHeight="1">
      <c r="K277" s="95"/>
    </row>
    <row r="278" ht="15.75" customHeight="1">
      <c r="K278" s="95"/>
    </row>
    <row r="279" ht="15.75" customHeight="1">
      <c r="K279" s="95"/>
    </row>
    <row r="280" ht="15.75" customHeight="1">
      <c r="K280" s="95"/>
    </row>
    <row r="281" ht="15.75" customHeight="1">
      <c r="K281" s="95"/>
    </row>
    <row r="282" ht="15.75" customHeight="1">
      <c r="K282" s="95"/>
    </row>
    <row r="283" ht="15.75" customHeight="1">
      <c r="K283" s="95"/>
    </row>
    <row r="284" ht="15.75" customHeight="1">
      <c r="K284" s="95"/>
    </row>
    <row r="285" ht="15.75" customHeight="1">
      <c r="K285" s="95"/>
    </row>
    <row r="286" ht="15.75" customHeight="1">
      <c r="K286" s="95"/>
    </row>
    <row r="287" ht="15.75" customHeight="1">
      <c r="K287" s="95"/>
    </row>
    <row r="288" ht="15.75" customHeight="1">
      <c r="K288" s="95"/>
    </row>
    <row r="289" ht="15.75" customHeight="1">
      <c r="K289" s="95"/>
    </row>
    <row r="290" ht="15.75" customHeight="1">
      <c r="K290" s="95"/>
    </row>
    <row r="291" ht="15.75" customHeight="1">
      <c r="K291" s="95"/>
    </row>
    <row r="292" ht="15.75" customHeight="1">
      <c r="K292" s="95"/>
    </row>
    <row r="293" ht="15.75" customHeight="1">
      <c r="K293" s="95"/>
    </row>
    <row r="294" ht="15.75" customHeight="1">
      <c r="K294" s="95"/>
    </row>
    <row r="295" ht="15.75" customHeight="1">
      <c r="K295" s="95"/>
    </row>
    <row r="296" ht="15.75" customHeight="1">
      <c r="K296" s="95"/>
    </row>
    <row r="297" ht="15.75" customHeight="1">
      <c r="K297" s="95"/>
    </row>
    <row r="298" ht="15.75" customHeight="1">
      <c r="K298" s="95"/>
    </row>
    <row r="299" ht="15.75" customHeight="1">
      <c r="K299" s="95"/>
    </row>
    <row r="300" ht="15.75" customHeight="1">
      <c r="K300" s="95"/>
    </row>
    <row r="301" ht="15.75" customHeight="1">
      <c r="K301" s="95"/>
    </row>
    <row r="302" ht="15.75" customHeight="1">
      <c r="K302" s="95"/>
    </row>
    <row r="303" ht="15.75" customHeight="1">
      <c r="K303" s="95"/>
    </row>
    <row r="304" ht="15.75" customHeight="1">
      <c r="K304" s="95"/>
    </row>
    <row r="305" ht="15.75" customHeight="1">
      <c r="K305" s="95"/>
    </row>
    <row r="306" ht="15.75" customHeight="1">
      <c r="K306" s="95"/>
    </row>
    <row r="307" ht="15.75" customHeight="1">
      <c r="K307" s="95"/>
    </row>
    <row r="308" ht="15.75" customHeight="1">
      <c r="K308" s="95"/>
    </row>
    <row r="309" ht="15.75" customHeight="1">
      <c r="K309" s="95"/>
    </row>
    <row r="310" ht="15.75" customHeight="1">
      <c r="K310" s="95"/>
    </row>
    <row r="311" ht="15.75" customHeight="1">
      <c r="K311" s="95"/>
    </row>
    <row r="312" ht="15.75" customHeight="1">
      <c r="K312" s="95"/>
    </row>
    <row r="313" ht="15.75" customHeight="1">
      <c r="K313" s="95"/>
    </row>
    <row r="314" ht="15.75" customHeight="1">
      <c r="K314" s="95"/>
    </row>
    <row r="315" ht="15.75" customHeight="1">
      <c r="K315" s="95"/>
    </row>
    <row r="316" ht="15.75" customHeight="1">
      <c r="K316" s="95"/>
    </row>
    <row r="317" ht="15.75" customHeight="1">
      <c r="K317" s="95"/>
    </row>
    <row r="318" ht="15.75" customHeight="1">
      <c r="K318" s="95"/>
    </row>
    <row r="319" ht="15.75" customHeight="1">
      <c r="K319" s="95"/>
    </row>
    <row r="320" ht="15.75" customHeight="1">
      <c r="K320" s="95"/>
    </row>
    <row r="321" ht="15.75" customHeight="1">
      <c r="K321" s="95"/>
    </row>
    <row r="322" ht="15.75" customHeight="1">
      <c r="K322" s="95"/>
    </row>
    <row r="323" ht="15.75" customHeight="1">
      <c r="K323" s="95"/>
    </row>
    <row r="324" ht="15.75" customHeight="1">
      <c r="K324" s="95"/>
    </row>
    <row r="325" ht="15.75" customHeight="1">
      <c r="K325" s="95"/>
    </row>
    <row r="326" ht="15.75" customHeight="1">
      <c r="K326" s="95"/>
    </row>
    <row r="327" ht="15.75" customHeight="1">
      <c r="K327" s="95"/>
    </row>
    <row r="328" ht="15.75" customHeight="1">
      <c r="K328" s="95"/>
    </row>
    <row r="329" ht="15.75" customHeight="1">
      <c r="K329" s="95"/>
    </row>
    <row r="330" ht="15.75" customHeight="1">
      <c r="K330" s="95"/>
    </row>
    <row r="331" ht="15.75" customHeight="1">
      <c r="K331" s="95"/>
    </row>
    <row r="332" ht="15.75" customHeight="1">
      <c r="K332" s="95"/>
    </row>
    <row r="333" ht="15.75" customHeight="1">
      <c r="K333" s="95"/>
    </row>
    <row r="334" ht="15.75" customHeight="1">
      <c r="K334" s="95"/>
    </row>
    <row r="335" ht="15.75" customHeight="1">
      <c r="K335" s="95"/>
    </row>
    <row r="336" ht="15.75" customHeight="1">
      <c r="K336" s="95"/>
    </row>
    <row r="337" ht="15.75" customHeight="1">
      <c r="K337" s="95"/>
    </row>
    <row r="338" ht="15.75" customHeight="1">
      <c r="K338" s="95"/>
    </row>
    <row r="339" ht="15.75" customHeight="1">
      <c r="K339" s="95"/>
    </row>
    <row r="340" ht="15.75" customHeight="1">
      <c r="K340" s="95"/>
    </row>
    <row r="341" ht="15.75" customHeight="1">
      <c r="K341" s="95"/>
    </row>
    <row r="342" ht="15.75" customHeight="1">
      <c r="K342" s="95"/>
    </row>
    <row r="343" ht="15.75" customHeight="1">
      <c r="K343" s="95"/>
    </row>
    <row r="344" ht="15.75" customHeight="1">
      <c r="K344" s="95"/>
    </row>
    <row r="345" ht="15.75" customHeight="1">
      <c r="K345" s="95"/>
    </row>
    <row r="346" ht="15.75" customHeight="1">
      <c r="K346" s="95"/>
    </row>
    <row r="347" ht="15.75" customHeight="1">
      <c r="K347" s="95"/>
    </row>
    <row r="348" ht="15.75" customHeight="1">
      <c r="K348" s="95"/>
    </row>
    <row r="349" ht="15.75" customHeight="1">
      <c r="K349" s="95"/>
    </row>
    <row r="350" ht="15.75" customHeight="1">
      <c r="K350" s="95"/>
    </row>
    <row r="351" ht="15.75" customHeight="1">
      <c r="K351" s="95"/>
    </row>
    <row r="352" ht="15.75" customHeight="1">
      <c r="K352" s="95"/>
    </row>
    <row r="353" ht="15.75" customHeight="1">
      <c r="K353" s="95"/>
    </row>
    <row r="354" ht="15.75" customHeight="1">
      <c r="K354" s="95"/>
    </row>
    <row r="355" ht="15.75" customHeight="1">
      <c r="K355" s="95"/>
    </row>
    <row r="356" ht="15.75" customHeight="1">
      <c r="K356" s="95"/>
    </row>
    <row r="357" ht="15.75" customHeight="1">
      <c r="K357" s="95"/>
    </row>
    <row r="358" ht="15.75" customHeight="1">
      <c r="K358" s="95"/>
    </row>
    <row r="359" ht="15.75" customHeight="1">
      <c r="K359" s="95"/>
    </row>
    <row r="360" ht="15.75" customHeight="1">
      <c r="K360" s="95"/>
    </row>
    <row r="361" ht="15.75" customHeight="1">
      <c r="K361" s="95"/>
    </row>
    <row r="362" ht="15.75" customHeight="1">
      <c r="K362" s="95"/>
    </row>
    <row r="363" ht="15.75" customHeight="1">
      <c r="K363" s="95"/>
    </row>
    <row r="364" ht="15.75" customHeight="1">
      <c r="K364" s="95"/>
    </row>
    <row r="365" ht="15.75" customHeight="1">
      <c r="K365" s="95"/>
    </row>
    <row r="366" ht="15.75" customHeight="1">
      <c r="K366" s="95"/>
    </row>
    <row r="367" ht="15.75" customHeight="1">
      <c r="K367" s="95"/>
    </row>
    <row r="368" ht="15.75" customHeight="1">
      <c r="K368" s="95"/>
    </row>
    <row r="369" ht="15.75" customHeight="1">
      <c r="K369" s="95"/>
    </row>
    <row r="370" ht="15.75" customHeight="1">
      <c r="K370" s="95"/>
    </row>
    <row r="371" ht="15.75" customHeight="1">
      <c r="K371" s="95"/>
    </row>
    <row r="372" ht="15.75" customHeight="1">
      <c r="K372" s="95"/>
    </row>
    <row r="373" ht="15.75" customHeight="1">
      <c r="K373" s="95"/>
    </row>
    <row r="374" ht="15.75" customHeight="1">
      <c r="K374" s="95"/>
    </row>
    <row r="375" ht="15.75" customHeight="1">
      <c r="K375" s="95"/>
    </row>
    <row r="376" ht="15.75" customHeight="1">
      <c r="K376" s="95"/>
    </row>
    <row r="377" ht="15.75" customHeight="1">
      <c r="K377" s="95"/>
    </row>
    <row r="378" ht="15.75" customHeight="1">
      <c r="K378" s="95"/>
    </row>
    <row r="379" ht="15.75" customHeight="1">
      <c r="K379" s="95"/>
    </row>
    <row r="380" ht="15.75" customHeight="1">
      <c r="K380" s="95"/>
    </row>
    <row r="381" ht="15.75" customHeight="1">
      <c r="K381" s="95"/>
    </row>
    <row r="382" ht="15.75" customHeight="1">
      <c r="K382" s="95"/>
    </row>
    <row r="383" ht="15.75" customHeight="1">
      <c r="K383" s="95"/>
    </row>
    <row r="384" ht="15.75" customHeight="1">
      <c r="K384" s="95"/>
    </row>
    <row r="385" ht="15.75" customHeight="1">
      <c r="K385" s="95"/>
    </row>
    <row r="386" ht="15.75" customHeight="1">
      <c r="K386" s="95"/>
    </row>
    <row r="387" ht="15.75" customHeight="1">
      <c r="K387" s="95"/>
    </row>
    <row r="388" ht="15.75" customHeight="1">
      <c r="K388" s="95"/>
    </row>
    <row r="389" ht="15.75" customHeight="1">
      <c r="K389" s="95"/>
    </row>
    <row r="390" ht="15.75" customHeight="1">
      <c r="K390" s="95"/>
    </row>
    <row r="391" ht="15.75" customHeight="1">
      <c r="K391" s="95"/>
    </row>
    <row r="392" ht="15.75" customHeight="1">
      <c r="K392" s="95"/>
    </row>
    <row r="393" ht="15.75" customHeight="1">
      <c r="K393" s="95"/>
    </row>
    <row r="394" ht="15.75" customHeight="1">
      <c r="K394" s="95"/>
    </row>
    <row r="395" ht="15.75" customHeight="1">
      <c r="K395" s="95"/>
    </row>
    <row r="396" ht="15.75" customHeight="1">
      <c r="K396" s="95"/>
    </row>
    <row r="397" ht="15.75" customHeight="1">
      <c r="K397" s="95"/>
    </row>
    <row r="398" ht="15.75" customHeight="1">
      <c r="K398" s="95"/>
    </row>
    <row r="399" ht="15.75" customHeight="1">
      <c r="K399" s="95"/>
    </row>
    <row r="400" ht="15.75" customHeight="1">
      <c r="K400" s="95"/>
    </row>
    <row r="401" ht="15.75" customHeight="1">
      <c r="K401" s="95"/>
    </row>
    <row r="402" ht="15.75" customHeight="1">
      <c r="K402" s="95"/>
    </row>
    <row r="403" ht="15.75" customHeight="1">
      <c r="K403" s="95"/>
    </row>
    <row r="404" ht="15.75" customHeight="1">
      <c r="K404" s="95"/>
    </row>
    <row r="405" ht="15.75" customHeight="1">
      <c r="K405" s="95"/>
    </row>
    <row r="406" ht="15.75" customHeight="1">
      <c r="K406" s="95"/>
    </row>
    <row r="407" ht="15.75" customHeight="1">
      <c r="K407" s="95"/>
    </row>
    <row r="408" ht="15.75" customHeight="1">
      <c r="K408" s="95"/>
    </row>
    <row r="409" ht="15.75" customHeight="1">
      <c r="K409" s="95"/>
    </row>
    <row r="410" ht="15.75" customHeight="1">
      <c r="K410" s="95"/>
    </row>
    <row r="411" ht="15.75" customHeight="1">
      <c r="K411" s="95"/>
    </row>
    <row r="412" ht="15.75" customHeight="1">
      <c r="K412" s="95"/>
    </row>
    <row r="413" ht="15.75" customHeight="1">
      <c r="K413" s="95"/>
    </row>
    <row r="414" ht="15.75" customHeight="1">
      <c r="K414" s="95"/>
    </row>
    <row r="415" ht="15.75" customHeight="1">
      <c r="K415" s="95"/>
    </row>
    <row r="416" ht="15.75" customHeight="1">
      <c r="K416" s="95"/>
    </row>
    <row r="417" ht="15.75" customHeight="1">
      <c r="K417" s="95"/>
    </row>
    <row r="418" ht="15.75" customHeight="1">
      <c r="K418" s="95"/>
    </row>
    <row r="419" ht="15.75" customHeight="1">
      <c r="K419" s="95"/>
    </row>
    <row r="420" ht="15.75" customHeight="1">
      <c r="K420" s="95"/>
    </row>
    <row r="421" ht="15.75" customHeight="1">
      <c r="K421" s="95"/>
    </row>
    <row r="422" ht="15.75" customHeight="1">
      <c r="K422" s="95"/>
    </row>
    <row r="423" ht="15.75" customHeight="1">
      <c r="K423" s="95"/>
    </row>
    <row r="424" ht="15.75" customHeight="1">
      <c r="K424" s="95"/>
    </row>
    <row r="425" ht="15.75" customHeight="1">
      <c r="K425" s="95"/>
    </row>
    <row r="426" ht="15.75" customHeight="1">
      <c r="K426" s="95"/>
    </row>
    <row r="427" ht="15.75" customHeight="1">
      <c r="K427" s="95"/>
    </row>
    <row r="428" ht="15.75" customHeight="1">
      <c r="K428" s="95"/>
    </row>
    <row r="429" ht="15.75" customHeight="1">
      <c r="K429" s="95"/>
    </row>
    <row r="430" ht="15.75" customHeight="1">
      <c r="K430" s="95"/>
    </row>
    <row r="431" ht="15.75" customHeight="1">
      <c r="K431" s="95"/>
    </row>
    <row r="432" ht="15.75" customHeight="1">
      <c r="K432" s="95"/>
    </row>
    <row r="433" ht="15.75" customHeight="1">
      <c r="K433" s="95"/>
    </row>
    <row r="434" ht="15.75" customHeight="1">
      <c r="K434" s="95"/>
    </row>
    <row r="435" ht="15.75" customHeight="1">
      <c r="K435" s="95"/>
    </row>
    <row r="436" ht="15.75" customHeight="1">
      <c r="K436" s="95"/>
    </row>
    <row r="437" ht="15.75" customHeight="1">
      <c r="K437" s="95"/>
    </row>
    <row r="438" ht="15.75" customHeight="1">
      <c r="K438" s="95"/>
    </row>
    <row r="439" ht="15.75" customHeight="1">
      <c r="K439" s="95"/>
    </row>
    <row r="440" ht="15.75" customHeight="1">
      <c r="K440" s="95"/>
    </row>
    <row r="441" ht="15.75" customHeight="1">
      <c r="K441" s="95"/>
    </row>
    <row r="442" ht="15.75" customHeight="1">
      <c r="K442" s="95"/>
    </row>
    <row r="443" ht="15.75" customHeight="1">
      <c r="K443" s="95"/>
    </row>
    <row r="444" ht="15.75" customHeight="1">
      <c r="K444" s="95"/>
    </row>
    <row r="445" ht="15.75" customHeight="1">
      <c r="K445" s="95"/>
    </row>
    <row r="446" ht="15.75" customHeight="1">
      <c r="K446" s="95"/>
    </row>
    <row r="447" ht="15.75" customHeight="1">
      <c r="K447" s="95"/>
    </row>
    <row r="448" ht="15.75" customHeight="1">
      <c r="K448" s="95"/>
    </row>
    <row r="449" ht="15.75" customHeight="1">
      <c r="K449" s="95"/>
    </row>
    <row r="450" ht="15.75" customHeight="1">
      <c r="K450" s="95"/>
    </row>
    <row r="451" ht="15.75" customHeight="1">
      <c r="K451" s="95"/>
    </row>
    <row r="452" ht="15.75" customHeight="1">
      <c r="K452" s="95"/>
    </row>
    <row r="453" ht="15.75" customHeight="1">
      <c r="K453" s="95"/>
    </row>
    <row r="454" ht="15.75" customHeight="1">
      <c r="K454" s="95"/>
    </row>
    <row r="455" ht="15.75" customHeight="1">
      <c r="K455" s="95"/>
    </row>
    <row r="456" ht="15.75" customHeight="1">
      <c r="K456" s="95"/>
    </row>
    <row r="457" ht="15.75" customHeight="1">
      <c r="K457" s="95"/>
    </row>
    <row r="458" ht="15.75" customHeight="1">
      <c r="K458" s="95"/>
    </row>
    <row r="459" ht="15.75" customHeight="1">
      <c r="K459" s="95"/>
    </row>
    <row r="460" ht="15.75" customHeight="1">
      <c r="K460" s="95"/>
    </row>
    <row r="461" ht="15.75" customHeight="1">
      <c r="K461" s="95"/>
    </row>
    <row r="462" ht="15.75" customHeight="1">
      <c r="K462" s="95"/>
    </row>
    <row r="463" ht="15.75" customHeight="1">
      <c r="K463" s="95"/>
    </row>
    <row r="464" ht="15.75" customHeight="1">
      <c r="K464" s="95"/>
    </row>
    <row r="465" ht="15.75" customHeight="1">
      <c r="K465" s="95"/>
    </row>
    <row r="466" ht="15.75" customHeight="1">
      <c r="K466" s="95"/>
    </row>
    <row r="467" ht="15.75" customHeight="1">
      <c r="K467" s="95"/>
    </row>
    <row r="468" ht="15.75" customHeight="1">
      <c r="K468" s="95"/>
    </row>
    <row r="469" ht="15.75" customHeight="1">
      <c r="K469" s="95"/>
    </row>
    <row r="470" ht="15.75" customHeight="1">
      <c r="K470" s="95"/>
    </row>
    <row r="471" ht="15.75" customHeight="1">
      <c r="K471" s="95"/>
    </row>
    <row r="472" ht="15.75" customHeight="1">
      <c r="K472" s="95"/>
    </row>
    <row r="473" ht="15.75" customHeight="1">
      <c r="K473" s="95"/>
    </row>
    <row r="474" ht="15.75" customHeight="1">
      <c r="K474" s="95"/>
    </row>
    <row r="475" ht="15.75" customHeight="1">
      <c r="K475" s="95"/>
    </row>
    <row r="476" ht="15.75" customHeight="1">
      <c r="K476" s="95"/>
    </row>
    <row r="477" ht="15.75" customHeight="1">
      <c r="K477" s="95"/>
    </row>
    <row r="478" ht="15.75" customHeight="1">
      <c r="K478" s="95"/>
    </row>
    <row r="479" ht="15.75" customHeight="1">
      <c r="K479" s="95"/>
    </row>
    <row r="480" ht="15.75" customHeight="1">
      <c r="K480" s="95"/>
    </row>
    <row r="481" ht="15.75" customHeight="1">
      <c r="K481" s="95"/>
    </row>
    <row r="482" ht="15.75" customHeight="1">
      <c r="K482" s="95"/>
    </row>
    <row r="483" ht="15.75" customHeight="1">
      <c r="K483" s="95"/>
    </row>
    <row r="484" ht="15.75" customHeight="1">
      <c r="K484" s="95"/>
    </row>
    <row r="485" ht="15.75" customHeight="1">
      <c r="K485" s="95"/>
    </row>
    <row r="486" ht="15.75" customHeight="1">
      <c r="K486" s="95"/>
    </row>
    <row r="487" ht="15.75" customHeight="1">
      <c r="K487" s="95"/>
    </row>
    <row r="488" ht="15.75" customHeight="1">
      <c r="K488" s="95"/>
    </row>
    <row r="489" ht="15.75" customHeight="1">
      <c r="K489" s="95"/>
    </row>
    <row r="490" ht="15.75" customHeight="1">
      <c r="K490" s="95"/>
    </row>
    <row r="491" ht="15.75" customHeight="1">
      <c r="K491" s="95"/>
    </row>
    <row r="492" ht="15.75" customHeight="1">
      <c r="K492" s="95"/>
    </row>
    <row r="493" ht="15.75" customHeight="1">
      <c r="K493" s="95"/>
    </row>
    <row r="494" ht="15.75" customHeight="1">
      <c r="K494" s="95"/>
    </row>
    <row r="495" ht="15.75" customHeight="1">
      <c r="K495" s="95"/>
    </row>
    <row r="496" ht="15.75" customHeight="1">
      <c r="K496" s="95"/>
    </row>
    <row r="497" ht="15.75" customHeight="1">
      <c r="K497" s="95"/>
    </row>
    <row r="498" ht="15.75" customHeight="1">
      <c r="K498" s="95"/>
    </row>
    <row r="499" ht="15.75" customHeight="1">
      <c r="K499" s="95"/>
    </row>
    <row r="500" ht="15.75" customHeight="1">
      <c r="K500" s="95"/>
    </row>
    <row r="501" ht="15.75" customHeight="1">
      <c r="K501" s="95"/>
    </row>
    <row r="502" ht="15.75" customHeight="1">
      <c r="K502" s="95"/>
    </row>
    <row r="503" ht="15.75" customHeight="1">
      <c r="K503" s="95"/>
    </row>
    <row r="504" ht="15.75" customHeight="1">
      <c r="K504" s="95"/>
    </row>
    <row r="505" ht="15.75" customHeight="1">
      <c r="K505" s="95"/>
    </row>
    <row r="506" ht="15.75" customHeight="1">
      <c r="K506" s="95"/>
    </row>
    <row r="507" ht="15.75" customHeight="1">
      <c r="K507" s="95"/>
    </row>
    <row r="508" ht="15.75" customHeight="1">
      <c r="K508" s="95"/>
    </row>
    <row r="509" ht="15.75" customHeight="1">
      <c r="K509" s="95"/>
    </row>
    <row r="510" ht="15.75" customHeight="1">
      <c r="K510" s="95"/>
    </row>
    <row r="511" ht="15.75" customHeight="1">
      <c r="K511" s="95"/>
    </row>
    <row r="512" ht="15.75" customHeight="1">
      <c r="K512" s="95"/>
    </row>
    <row r="513" ht="15.75" customHeight="1">
      <c r="K513" s="95"/>
    </row>
    <row r="514" ht="15.75" customHeight="1">
      <c r="K514" s="95"/>
    </row>
    <row r="515" ht="15.75" customHeight="1">
      <c r="K515" s="95"/>
    </row>
    <row r="516" ht="15.75" customHeight="1">
      <c r="K516" s="95"/>
    </row>
    <row r="517" ht="15.75" customHeight="1">
      <c r="K517" s="95"/>
    </row>
    <row r="518" ht="15.75" customHeight="1">
      <c r="K518" s="95"/>
    </row>
    <row r="519" ht="15.75" customHeight="1">
      <c r="K519" s="95"/>
    </row>
    <row r="520" ht="15.75" customHeight="1">
      <c r="K520" s="95"/>
    </row>
    <row r="521" ht="15.75" customHeight="1">
      <c r="K521" s="95"/>
    </row>
    <row r="522" ht="15.75" customHeight="1">
      <c r="K522" s="95"/>
    </row>
    <row r="523" ht="15.75" customHeight="1">
      <c r="K523" s="95"/>
    </row>
    <row r="524" ht="15.75" customHeight="1">
      <c r="K524" s="95"/>
    </row>
    <row r="525" ht="15.75" customHeight="1">
      <c r="K525" s="95"/>
    </row>
    <row r="526" ht="15.75" customHeight="1">
      <c r="K526" s="95"/>
    </row>
    <row r="527" ht="15.75" customHeight="1">
      <c r="K527" s="95"/>
    </row>
    <row r="528" ht="15.75" customHeight="1">
      <c r="K528" s="95"/>
    </row>
    <row r="529" ht="15.75" customHeight="1">
      <c r="K529" s="95"/>
    </row>
    <row r="530" ht="15.75" customHeight="1">
      <c r="K530" s="95"/>
    </row>
    <row r="531" ht="15.75" customHeight="1">
      <c r="K531" s="95"/>
    </row>
    <row r="532" ht="15.75" customHeight="1">
      <c r="K532" s="95"/>
    </row>
    <row r="533" ht="15.75" customHeight="1">
      <c r="K533" s="95"/>
    </row>
    <row r="534" ht="15.75" customHeight="1">
      <c r="K534" s="95"/>
    </row>
    <row r="535" ht="15.75" customHeight="1">
      <c r="K535" s="95"/>
    </row>
    <row r="536" ht="15.75" customHeight="1">
      <c r="K536" s="95"/>
    </row>
    <row r="537" ht="15.75" customHeight="1">
      <c r="K537" s="95"/>
    </row>
    <row r="538" ht="15.75" customHeight="1">
      <c r="K538" s="95"/>
    </row>
    <row r="539" ht="15.75" customHeight="1">
      <c r="K539" s="95"/>
    </row>
    <row r="540" ht="15.75" customHeight="1">
      <c r="K540" s="95"/>
    </row>
    <row r="541" ht="15.75" customHeight="1">
      <c r="K541" s="95"/>
    </row>
    <row r="542" ht="15.75" customHeight="1">
      <c r="K542" s="95"/>
    </row>
    <row r="543" ht="15.75" customHeight="1">
      <c r="K543" s="95"/>
    </row>
    <row r="544" ht="15.75" customHeight="1">
      <c r="K544" s="95"/>
    </row>
    <row r="545" ht="15.75" customHeight="1">
      <c r="K545" s="95"/>
    </row>
    <row r="546" ht="15.75" customHeight="1">
      <c r="K546" s="95"/>
    </row>
    <row r="547" ht="15.75" customHeight="1">
      <c r="K547" s="95"/>
    </row>
    <row r="548" ht="15.75" customHeight="1">
      <c r="K548" s="95"/>
    </row>
    <row r="549" ht="15.75" customHeight="1">
      <c r="K549" s="95"/>
    </row>
    <row r="550" ht="15.75" customHeight="1">
      <c r="K550" s="95"/>
    </row>
    <row r="551" ht="15.75" customHeight="1">
      <c r="K551" s="95"/>
    </row>
    <row r="552" ht="15.75" customHeight="1">
      <c r="K552" s="95"/>
    </row>
    <row r="553" ht="15.75" customHeight="1">
      <c r="K553" s="95"/>
    </row>
    <row r="554" ht="15.75" customHeight="1">
      <c r="K554" s="95"/>
    </row>
    <row r="555" ht="15.75" customHeight="1">
      <c r="K555" s="95"/>
    </row>
    <row r="556" ht="15.75" customHeight="1">
      <c r="K556" s="95"/>
    </row>
    <row r="557" ht="15.75" customHeight="1">
      <c r="K557" s="95"/>
    </row>
    <row r="558" ht="15.75" customHeight="1">
      <c r="K558" s="95"/>
    </row>
    <row r="559" ht="15.75" customHeight="1">
      <c r="K559" s="95"/>
    </row>
    <row r="560" ht="15.75" customHeight="1">
      <c r="K560" s="95"/>
    </row>
    <row r="561" ht="15.75" customHeight="1">
      <c r="K561" s="95"/>
    </row>
    <row r="562" ht="15.75" customHeight="1">
      <c r="K562" s="95"/>
    </row>
    <row r="563" ht="15.75" customHeight="1">
      <c r="K563" s="95"/>
    </row>
    <row r="564" ht="15.75" customHeight="1">
      <c r="K564" s="95"/>
    </row>
    <row r="565" ht="15.75" customHeight="1">
      <c r="K565" s="95"/>
    </row>
    <row r="566" ht="15.75" customHeight="1">
      <c r="K566" s="95"/>
    </row>
    <row r="567" ht="15.75" customHeight="1">
      <c r="K567" s="95"/>
    </row>
    <row r="568" ht="15.75" customHeight="1">
      <c r="K568" s="95"/>
    </row>
    <row r="569" ht="15.75" customHeight="1">
      <c r="K569" s="95"/>
    </row>
    <row r="570" ht="15.75" customHeight="1">
      <c r="K570" s="95"/>
    </row>
    <row r="571" ht="15.75" customHeight="1">
      <c r="K571" s="95"/>
    </row>
    <row r="572" ht="15.75" customHeight="1">
      <c r="K572" s="95"/>
    </row>
    <row r="573" ht="15.75" customHeight="1">
      <c r="K573" s="95"/>
    </row>
    <row r="574" ht="15.75" customHeight="1">
      <c r="K574" s="95"/>
    </row>
    <row r="575" ht="15.75" customHeight="1">
      <c r="K575" s="95"/>
    </row>
    <row r="576" ht="15.75" customHeight="1">
      <c r="K576" s="95"/>
    </row>
    <row r="577" ht="15.75" customHeight="1">
      <c r="K577" s="95"/>
    </row>
    <row r="578" ht="15.75" customHeight="1">
      <c r="K578" s="95"/>
    </row>
    <row r="579" ht="15.75" customHeight="1">
      <c r="K579" s="95"/>
    </row>
    <row r="580" ht="15.75" customHeight="1">
      <c r="K580" s="95"/>
    </row>
    <row r="581" ht="15.75" customHeight="1">
      <c r="K581" s="95"/>
    </row>
    <row r="582" ht="15.75" customHeight="1">
      <c r="K582" s="95"/>
    </row>
    <row r="583" ht="15.75" customHeight="1">
      <c r="K583" s="95"/>
    </row>
    <row r="584" ht="15.75" customHeight="1">
      <c r="K584" s="95"/>
    </row>
    <row r="585" ht="15.75" customHeight="1">
      <c r="K585" s="95"/>
    </row>
    <row r="586" ht="15.75" customHeight="1">
      <c r="K586" s="95"/>
    </row>
    <row r="587" ht="15.75" customHeight="1">
      <c r="K587" s="95"/>
    </row>
    <row r="588" ht="15.75" customHeight="1">
      <c r="K588" s="95"/>
    </row>
    <row r="589" ht="15.75" customHeight="1">
      <c r="K589" s="95"/>
    </row>
    <row r="590" ht="15.75" customHeight="1">
      <c r="K590" s="95"/>
    </row>
    <row r="591" ht="15.75" customHeight="1">
      <c r="K591" s="95"/>
    </row>
    <row r="592" ht="15.75" customHeight="1">
      <c r="K592" s="95"/>
    </row>
    <row r="593" ht="15.75" customHeight="1">
      <c r="K593" s="95"/>
    </row>
    <row r="594" ht="15.75" customHeight="1">
      <c r="K594" s="95"/>
    </row>
    <row r="595" ht="15.75" customHeight="1">
      <c r="K595" s="95"/>
    </row>
    <row r="596" ht="15.75" customHeight="1">
      <c r="K596" s="95"/>
    </row>
    <row r="597" ht="15.75" customHeight="1">
      <c r="K597" s="95"/>
    </row>
    <row r="598" ht="15.75" customHeight="1">
      <c r="K598" s="95"/>
    </row>
    <row r="599" ht="15.75" customHeight="1">
      <c r="K599" s="95"/>
    </row>
    <row r="600" ht="15.75" customHeight="1">
      <c r="K600" s="95"/>
    </row>
    <row r="601" ht="15.75" customHeight="1">
      <c r="K601" s="95"/>
    </row>
    <row r="602" ht="15.75" customHeight="1">
      <c r="K602" s="95"/>
    </row>
    <row r="603" ht="15.75" customHeight="1">
      <c r="K603" s="95"/>
    </row>
    <row r="604" ht="15.75" customHeight="1">
      <c r="K604" s="95"/>
    </row>
    <row r="605" ht="15.75" customHeight="1">
      <c r="K605" s="95"/>
    </row>
    <row r="606" ht="15.75" customHeight="1">
      <c r="K606" s="95"/>
    </row>
    <row r="607" ht="15.75" customHeight="1">
      <c r="K607" s="95"/>
    </row>
    <row r="608" ht="15.75" customHeight="1">
      <c r="K608" s="95"/>
    </row>
    <row r="609" ht="15.75" customHeight="1">
      <c r="K609" s="95"/>
    </row>
    <row r="610" ht="15.75" customHeight="1">
      <c r="K610" s="95"/>
    </row>
    <row r="611" ht="15.75" customHeight="1">
      <c r="K611" s="95"/>
    </row>
    <row r="612" ht="15.75" customHeight="1">
      <c r="K612" s="95"/>
    </row>
    <row r="613" ht="15.75" customHeight="1">
      <c r="K613" s="95"/>
    </row>
    <row r="614" ht="15.75" customHeight="1">
      <c r="K614" s="95"/>
    </row>
    <row r="615" ht="15.75" customHeight="1">
      <c r="K615" s="95"/>
    </row>
    <row r="616" ht="15.75" customHeight="1">
      <c r="K616" s="95"/>
    </row>
    <row r="617" ht="15.75" customHeight="1">
      <c r="K617" s="95"/>
    </row>
    <row r="618" ht="15.75" customHeight="1">
      <c r="K618" s="95"/>
    </row>
    <row r="619" ht="15.75" customHeight="1">
      <c r="K619" s="95"/>
    </row>
    <row r="620" ht="15.75" customHeight="1">
      <c r="K620" s="95"/>
    </row>
    <row r="621" ht="15.75" customHeight="1">
      <c r="K621" s="95"/>
    </row>
    <row r="622" ht="15.75" customHeight="1">
      <c r="K622" s="95"/>
    </row>
    <row r="623" ht="15.75" customHeight="1">
      <c r="K623" s="95"/>
    </row>
    <row r="624" ht="15.75" customHeight="1">
      <c r="K624" s="95"/>
    </row>
    <row r="625" ht="15.75" customHeight="1">
      <c r="K625" s="95"/>
    </row>
    <row r="626" ht="15.75" customHeight="1">
      <c r="K626" s="95"/>
    </row>
    <row r="627" ht="15.75" customHeight="1">
      <c r="K627" s="95"/>
    </row>
    <row r="628" ht="15.75" customHeight="1">
      <c r="K628" s="95"/>
    </row>
    <row r="629" ht="15.75" customHeight="1">
      <c r="K629" s="95"/>
    </row>
    <row r="630" ht="15.75" customHeight="1">
      <c r="K630" s="95"/>
    </row>
    <row r="631" ht="15.75" customHeight="1">
      <c r="K631" s="95"/>
    </row>
    <row r="632" ht="15.75" customHeight="1">
      <c r="K632" s="95"/>
    </row>
    <row r="633" ht="15.75" customHeight="1">
      <c r="K633" s="95"/>
    </row>
    <row r="634" ht="15.75" customHeight="1">
      <c r="K634" s="95"/>
    </row>
    <row r="635" ht="15.75" customHeight="1">
      <c r="K635" s="95"/>
    </row>
    <row r="636" ht="15.75" customHeight="1">
      <c r="K636" s="95"/>
    </row>
    <row r="637" ht="15.75" customHeight="1">
      <c r="K637" s="95"/>
    </row>
    <row r="638" ht="15.75" customHeight="1">
      <c r="K638" s="95"/>
    </row>
    <row r="639" ht="15.75" customHeight="1">
      <c r="K639" s="95"/>
    </row>
    <row r="640" ht="15.75" customHeight="1">
      <c r="K640" s="95"/>
    </row>
    <row r="641" ht="15.75" customHeight="1">
      <c r="K641" s="95"/>
    </row>
    <row r="642" ht="15.75" customHeight="1">
      <c r="K642" s="95"/>
    </row>
    <row r="643" ht="15.75" customHeight="1">
      <c r="K643" s="95"/>
    </row>
    <row r="644" ht="15.75" customHeight="1">
      <c r="K644" s="95"/>
    </row>
    <row r="645" ht="15.75" customHeight="1">
      <c r="K645" s="95"/>
    </row>
    <row r="646" ht="15.75" customHeight="1">
      <c r="K646" s="95"/>
    </row>
    <row r="647" ht="15.75" customHeight="1">
      <c r="K647" s="95"/>
    </row>
    <row r="648" ht="15.75" customHeight="1">
      <c r="K648" s="95"/>
    </row>
    <row r="649" ht="15.75" customHeight="1">
      <c r="K649" s="95"/>
    </row>
    <row r="650" ht="15.75" customHeight="1">
      <c r="K650" s="95"/>
    </row>
    <row r="651" ht="15.75" customHeight="1">
      <c r="K651" s="95"/>
    </row>
    <row r="652" ht="15.75" customHeight="1">
      <c r="K652" s="95"/>
    </row>
    <row r="653" ht="15.75" customHeight="1">
      <c r="K653" s="95"/>
    </row>
    <row r="654" ht="15.75" customHeight="1">
      <c r="K654" s="95"/>
    </row>
    <row r="655" ht="15.75" customHeight="1">
      <c r="K655" s="95"/>
    </row>
    <row r="656" ht="15.75" customHeight="1">
      <c r="K656" s="95"/>
    </row>
    <row r="657" ht="15.75" customHeight="1">
      <c r="K657" s="95"/>
    </row>
    <row r="658" ht="15.75" customHeight="1">
      <c r="K658" s="95"/>
    </row>
    <row r="659" ht="15.75" customHeight="1">
      <c r="K659" s="95"/>
    </row>
    <row r="660" ht="15.75" customHeight="1">
      <c r="K660" s="95"/>
    </row>
    <row r="661" ht="15.75" customHeight="1">
      <c r="K661" s="95"/>
    </row>
    <row r="662" ht="15.75" customHeight="1">
      <c r="K662" s="95"/>
    </row>
    <row r="663" ht="15.75" customHeight="1">
      <c r="K663" s="95"/>
    </row>
    <row r="664" ht="15.75" customHeight="1">
      <c r="K664" s="95"/>
    </row>
    <row r="665" ht="15.75" customHeight="1">
      <c r="K665" s="95"/>
    </row>
    <row r="666" ht="15.75" customHeight="1">
      <c r="K666" s="95"/>
    </row>
    <row r="667" ht="15.75" customHeight="1">
      <c r="K667" s="95"/>
    </row>
    <row r="668" ht="15.75" customHeight="1">
      <c r="K668" s="95"/>
    </row>
    <row r="669" ht="15.75" customHeight="1">
      <c r="K669" s="95"/>
    </row>
    <row r="670" ht="15.75" customHeight="1">
      <c r="K670" s="95"/>
    </row>
    <row r="671" ht="15.75" customHeight="1">
      <c r="K671" s="95"/>
    </row>
    <row r="672" ht="15.75" customHeight="1">
      <c r="K672" s="95"/>
    </row>
    <row r="673" ht="15.75" customHeight="1">
      <c r="K673" s="95"/>
    </row>
    <row r="674" ht="15.75" customHeight="1">
      <c r="K674" s="95"/>
    </row>
    <row r="675" ht="15.75" customHeight="1">
      <c r="K675" s="95"/>
    </row>
    <row r="676" ht="15.75" customHeight="1">
      <c r="K676" s="95"/>
    </row>
    <row r="677" ht="15.75" customHeight="1">
      <c r="K677" s="95"/>
    </row>
    <row r="678" ht="15.75" customHeight="1">
      <c r="K678" s="95"/>
    </row>
    <row r="679" ht="15.75" customHeight="1">
      <c r="K679" s="95"/>
    </row>
    <row r="680" ht="15.75" customHeight="1">
      <c r="K680" s="95"/>
    </row>
    <row r="681" ht="15.75" customHeight="1">
      <c r="K681" s="95"/>
    </row>
    <row r="682" ht="15.75" customHeight="1">
      <c r="K682" s="95"/>
    </row>
    <row r="683" ht="15.75" customHeight="1">
      <c r="K683" s="95"/>
    </row>
    <row r="684" ht="15.75" customHeight="1">
      <c r="K684" s="95"/>
    </row>
    <row r="685" ht="15.75" customHeight="1">
      <c r="K685" s="95"/>
    </row>
    <row r="686" ht="15.75" customHeight="1">
      <c r="K686" s="95"/>
    </row>
    <row r="687" ht="15.75" customHeight="1">
      <c r="K687" s="95"/>
    </row>
    <row r="688" ht="15.75" customHeight="1">
      <c r="K688" s="95"/>
    </row>
    <row r="689" ht="15.75" customHeight="1">
      <c r="K689" s="95"/>
    </row>
    <row r="690" ht="15.75" customHeight="1">
      <c r="K690" s="95"/>
    </row>
    <row r="691" ht="15.75" customHeight="1">
      <c r="K691" s="95"/>
    </row>
    <row r="692" ht="15.75" customHeight="1">
      <c r="K692" s="95"/>
    </row>
    <row r="693" ht="15.75" customHeight="1">
      <c r="K693" s="95"/>
    </row>
    <row r="694" ht="15.75" customHeight="1">
      <c r="K694" s="95"/>
    </row>
    <row r="695" ht="15.75" customHeight="1">
      <c r="K695" s="95"/>
    </row>
    <row r="696" ht="15.75" customHeight="1">
      <c r="K696" s="95"/>
    </row>
    <row r="697" ht="15.75" customHeight="1">
      <c r="K697" s="95"/>
    </row>
    <row r="698" ht="15.75" customHeight="1">
      <c r="K698" s="95"/>
    </row>
    <row r="699" ht="15.75" customHeight="1">
      <c r="K699" s="95"/>
    </row>
    <row r="700" ht="15.75" customHeight="1">
      <c r="K700" s="95"/>
    </row>
    <row r="701" ht="15.75" customHeight="1">
      <c r="K701" s="95"/>
    </row>
    <row r="702" ht="15.75" customHeight="1">
      <c r="K702" s="95"/>
    </row>
    <row r="703" ht="15.75" customHeight="1">
      <c r="K703" s="95"/>
    </row>
    <row r="704" ht="15.75" customHeight="1">
      <c r="K704" s="95"/>
    </row>
    <row r="705" ht="15.75" customHeight="1">
      <c r="K705" s="95"/>
    </row>
    <row r="706" ht="15.75" customHeight="1">
      <c r="K706" s="95"/>
    </row>
    <row r="707" ht="15.75" customHeight="1">
      <c r="K707" s="95"/>
    </row>
    <row r="708" ht="15.75" customHeight="1">
      <c r="K708" s="95"/>
    </row>
    <row r="709" ht="15.75" customHeight="1">
      <c r="K709" s="95"/>
    </row>
    <row r="710" ht="15.75" customHeight="1">
      <c r="K710" s="95"/>
    </row>
    <row r="711" ht="15.75" customHeight="1">
      <c r="K711" s="95"/>
    </row>
    <row r="712" ht="15.75" customHeight="1">
      <c r="K712" s="95"/>
    </row>
    <row r="713" ht="15.75" customHeight="1">
      <c r="K713" s="95"/>
    </row>
    <row r="714" ht="15.75" customHeight="1">
      <c r="K714" s="95"/>
    </row>
    <row r="715" ht="15.75" customHeight="1">
      <c r="K715" s="95"/>
    </row>
    <row r="716" ht="15.75" customHeight="1">
      <c r="K716" s="95"/>
    </row>
    <row r="717" ht="15.75" customHeight="1">
      <c r="K717" s="95"/>
    </row>
    <row r="718" ht="15.75" customHeight="1">
      <c r="K718" s="95"/>
    </row>
    <row r="719" ht="15.75" customHeight="1">
      <c r="K719" s="95"/>
    </row>
    <row r="720" ht="15.75" customHeight="1">
      <c r="K720" s="95"/>
    </row>
    <row r="721" ht="15.75" customHeight="1">
      <c r="K721" s="95"/>
    </row>
    <row r="722" ht="15.75" customHeight="1">
      <c r="K722" s="95"/>
    </row>
    <row r="723" ht="15.75" customHeight="1">
      <c r="K723" s="95"/>
    </row>
    <row r="724" ht="15.75" customHeight="1">
      <c r="K724" s="95"/>
    </row>
    <row r="725" ht="15.75" customHeight="1">
      <c r="K725" s="95"/>
    </row>
    <row r="726" ht="15.75" customHeight="1">
      <c r="K726" s="95"/>
    </row>
    <row r="727" ht="15.75" customHeight="1">
      <c r="K727" s="95"/>
    </row>
    <row r="728" ht="15.75" customHeight="1">
      <c r="K728" s="95"/>
    </row>
    <row r="729" ht="15.75" customHeight="1">
      <c r="K729" s="95"/>
    </row>
    <row r="730" ht="15.75" customHeight="1">
      <c r="K730" s="95"/>
    </row>
    <row r="731" ht="15.75" customHeight="1">
      <c r="K731" s="95"/>
    </row>
    <row r="732" ht="15.75" customHeight="1">
      <c r="K732" s="95"/>
    </row>
    <row r="733" ht="15.75" customHeight="1">
      <c r="K733" s="95"/>
    </row>
    <row r="734" ht="15.75" customHeight="1">
      <c r="K734" s="95"/>
    </row>
    <row r="735" ht="15.75" customHeight="1">
      <c r="K735" s="95"/>
    </row>
    <row r="736" ht="15.75" customHeight="1">
      <c r="K736" s="95"/>
    </row>
    <row r="737" ht="15.75" customHeight="1">
      <c r="K737" s="95"/>
    </row>
    <row r="738" ht="15.75" customHeight="1">
      <c r="K738" s="95"/>
    </row>
    <row r="739" ht="15.75" customHeight="1">
      <c r="K739" s="95"/>
    </row>
    <row r="740" ht="15.75" customHeight="1">
      <c r="K740" s="95"/>
    </row>
    <row r="741" ht="15.75" customHeight="1">
      <c r="K741" s="95"/>
    </row>
    <row r="742" ht="15.75" customHeight="1">
      <c r="K742" s="95"/>
    </row>
    <row r="743" ht="15.75" customHeight="1">
      <c r="K743" s="95"/>
    </row>
    <row r="744" ht="15.75" customHeight="1">
      <c r="K744" s="95"/>
    </row>
    <row r="745" ht="15.75" customHeight="1">
      <c r="K745" s="95"/>
    </row>
    <row r="746" ht="15.75" customHeight="1">
      <c r="K746" s="95"/>
    </row>
    <row r="747" ht="15.75" customHeight="1">
      <c r="K747" s="95"/>
    </row>
    <row r="748" ht="15.75" customHeight="1">
      <c r="K748" s="95"/>
    </row>
    <row r="749" ht="15.75" customHeight="1">
      <c r="K749" s="95"/>
    </row>
    <row r="750" ht="15.75" customHeight="1">
      <c r="K750" s="95"/>
    </row>
    <row r="751" ht="15.75" customHeight="1">
      <c r="K751" s="95"/>
    </row>
    <row r="752" ht="15.75" customHeight="1">
      <c r="K752" s="95"/>
    </row>
    <row r="753" ht="15.75" customHeight="1">
      <c r="K753" s="95"/>
    </row>
    <row r="754" ht="15.75" customHeight="1">
      <c r="K754" s="95"/>
    </row>
    <row r="755" ht="15.75" customHeight="1">
      <c r="K755" s="95"/>
    </row>
    <row r="756" ht="15.75" customHeight="1">
      <c r="K756" s="95"/>
    </row>
    <row r="757" ht="15.75" customHeight="1">
      <c r="K757" s="95"/>
    </row>
    <row r="758" ht="15.75" customHeight="1">
      <c r="K758" s="95"/>
    </row>
    <row r="759" ht="15.75" customHeight="1">
      <c r="K759" s="95"/>
    </row>
    <row r="760" ht="15.75" customHeight="1">
      <c r="K760" s="95"/>
    </row>
    <row r="761" ht="15.75" customHeight="1">
      <c r="K761" s="95"/>
    </row>
    <row r="762" ht="15.75" customHeight="1">
      <c r="K762" s="95"/>
    </row>
    <row r="763" ht="15.75" customHeight="1">
      <c r="K763" s="95"/>
    </row>
    <row r="764" ht="15.75" customHeight="1">
      <c r="K764" s="95"/>
    </row>
    <row r="765" ht="15.75" customHeight="1">
      <c r="K765" s="95"/>
    </row>
    <row r="766" ht="15.75" customHeight="1">
      <c r="K766" s="95"/>
    </row>
    <row r="767" ht="15.75" customHeight="1">
      <c r="K767" s="95"/>
    </row>
    <row r="768" ht="15.75" customHeight="1">
      <c r="K768" s="95"/>
    </row>
    <row r="769" ht="15.75" customHeight="1">
      <c r="K769" s="95"/>
    </row>
    <row r="770" ht="15.75" customHeight="1">
      <c r="K770" s="95"/>
    </row>
    <row r="771" ht="15.75" customHeight="1">
      <c r="K771" s="95"/>
    </row>
    <row r="772" ht="15.75" customHeight="1">
      <c r="K772" s="95"/>
    </row>
    <row r="773" ht="15.75" customHeight="1">
      <c r="K773" s="95"/>
    </row>
    <row r="774" ht="15.75" customHeight="1">
      <c r="K774" s="95"/>
    </row>
    <row r="775" ht="15.75" customHeight="1">
      <c r="K775" s="95"/>
    </row>
    <row r="776" ht="15.75" customHeight="1">
      <c r="K776" s="95"/>
    </row>
    <row r="777" ht="15.75" customHeight="1">
      <c r="K777" s="95"/>
    </row>
    <row r="778" ht="15.75" customHeight="1">
      <c r="K778" s="95"/>
    </row>
    <row r="779" ht="15.75" customHeight="1">
      <c r="K779" s="95"/>
    </row>
    <row r="780" ht="15.75" customHeight="1">
      <c r="K780" s="95"/>
    </row>
    <row r="781" ht="15.75" customHeight="1">
      <c r="K781" s="95"/>
    </row>
    <row r="782" ht="15.75" customHeight="1">
      <c r="K782" s="95"/>
    </row>
    <row r="783" ht="15.75" customHeight="1">
      <c r="K783" s="95"/>
    </row>
    <row r="784" ht="15.75" customHeight="1">
      <c r="K784" s="95"/>
    </row>
    <row r="785" ht="15.75" customHeight="1">
      <c r="K785" s="95"/>
    </row>
    <row r="786" ht="15.75" customHeight="1">
      <c r="K786" s="95"/>
    </row>
    <row r="787" ht="15.75" customHeight="1">
      <c r="K787" s="95"/>
    </row>
    <row r="788" ht="15.75" customHeight="1">
      <c r="K788" s="95"/>
    </row>
    <row r="789" ht="15.75" customHeight="1">
      <c r="K789" s="95"/>
    </row>
    <row r="790" ht="15.75" customHeight="1">
      <c r="K790" s="95"/>
    </row>
    <row r="791" ht="15.75" customHeight="1">
      <c r="K791" s="95"/>
    </row>
    <row r="792" ht="15.75" customHeight="1">
      <c r="K792" s="95"/>
    </row>
    <row r="793" ht="15.75" customHeight="1">
      <c r="K793" s="95"/>
    </row>
    <row r="794" ht="15.75" customHeight="1">
      <c r="K794" s="95"/>
    </row>
    <row r="795" ht="15.75" customHeight="1">
      <c r="K795" s="95"/>
    </row>
    <row r="796" ht="15.75" customHeight="1">
      <c r="K796" s="95"/>
    </row>
    <row r="797" ht="15.75" customHeight="1">
      <c r="K797" s="95"/>
    </row>
    <row r="798" ht="15.75" customHeight="1">
      <c r="K798" s="95"/>
    </row>
    <row r="799" ht="15.75" customHeight="1">
      <c r="K799" s="95"/>
    </row>
    <row r="800" ht="15.75" customHeight="1">
      <c r="K800" s="95"/>
    </row>
    <row r="801" ht="15.75" customHeight="1">
      <c r="K801" s="95"/>
    </row>
    <row r="802" ht="15.75" customHeight="1">
      <c r="K802" s="95"/>
    </row>
    <row r="803" ht="15.75" customHeight="1">
      <c r="K803" s="95"/>
    </row>
    <row r="804" ht="15.75" customHeight="1">
      <c r="K804" s="95"/>
    </row>
    <row r="805" ht="15.75" customHeight="1">
      <c r="K805" s="95"/>
    </row>
    <row r="806" ht="15.75" customHeight="1">
      <c r="K806" s="95"/>
    </row>
    <row r="807" ht="15.75" customHeight="1">
      <c r="K807" s="95"/>
    </row>
    <row r="808" ht="15.75" customHeight="1">
      <c r="K808" s="95"/>
    </row>
    <row r="809" ht="15.75" customHeight="1">
      <c r="K809" s="95"/>
    </row>
    <row r="810" ht="15.75" customHeight="1">
      <c r="K810" s="95"/>
    </row>
    <row r="811" ht="15.75" customHeight="1">
      <c r="K811" s="95"/>
    </row>
    <row r="812" ht="15.75" customHeight="1">
      <c r="K812" s="95"/>
    </row>
    <row r="813" ht="15.75" customHeight="1">
      <c r="K813" s="95"/>
    </row>
    <row r="814" ht="15.75" customHeight="1">
      <c r="K814" s="95"/>
    </row>
    <row r="815" ht="15.75" customHeight="1">
      <c r="K815" s="95"/>
    </row>
    <row r="816" ht="15.75" customHeight="1">
      <c r="K816" s="95"/>
    </row>
    <row r="817" ht="15.75" customHeight="1">
      <c r="K817" s="95"/>
    </row>
    <row r="818" ht="15.75" customHeight="1">
      <c r="K818" s="95"/>
    </row>
    <row r="819" ht="15.75" customHeight="1">
      <c r="K819" s="95"/>
    </row>
    <row r="820" ht="15.75" customHeight="1">
      <c r="K820" s="95"/>
    </row>
    <row r="821" ht="15.75" customHeight="1">
      <c r="K821" s="95"/>
    </row>
    <row r="822" ht="15.75" customHeight="1">
      <c r="K822" s="95"/>
    </row>
    <row r="823" ht="15.75" customHeight="1">
      <c r="K823" s="95"/>
    </row>
    <row r="824" ht="15.75" customHeight="1">
      <c r="K824" s="95"/>
    </row>
    <row r="825" ht="15.75" customHeight="1">
      <c r="K825" s="95"/>
    </row>
    <row r="826" ht="15.75" customHeight="1">
      <c r="K826" s="95"/>
    </row>
    <row r="827" ht="15.75" customHeight="1">
      <c r="K827" s="95"/>
    </row>
    <row r="828" ht="15.75" customHeight="1">
      <c r="K828" s="95"/>
    </row>
    <row r="829" ht="15.75" customHeight="1">
      <c r="K829" s="95"/>
    </row>
    <row r="830" ht="15.75" customHeight="1">
      <c r="K830" s="95"/>
    </row>
    <row r="831" ht="15.75" customHeight="1">
      <c r="K831" s="95"/>
    </row>
    <row r="832" ht="15.75" customHeight="1">
      <c r="K832" s="95"/>
    </row>
    <row r="833" ht="15.75" customHeight="1">
      <c r="K833" s="95"/>
    </row>
    <row r="834" ht="15.75" customHeight="1">
      <c r="K834" s="95"/>
    </row>
    <row r="835" ht="15.75" customHeight="1">
      <c r="K835" s="95"/>
    </row>
    <row r="836" ht="15.75" customHeight="1">
      <c r="K836" s="95"/>
    </row>
    <row r="837" ht="15.75" customHeight="1">
      <c r="K837" s="95"/>
    </row>
    <row r="838" ht="15.75" customHeight="1">
      <c r="K838" s="95"/>
    </row>
    <row r="839" ht="15.75" customHeight="1">
      <c r="K839" s="95"/>
    </row>
    <row r="840" ht="15.75" customHeight="1">
      <c r="K840" s="95"/>
    </row>
    <row r="841" ht="15.75" customHeight="1">
      <c r="K841" s="95"/>
    </row>
    <row r="842" ht="15.75" customHeight="1">
      <c r="K842" s="95"/>
    </row>
    <row r="843" ht="15.75" customHeight="1">
      <c r="K843" s="95"/>
    </row>
    <row r="844" ht="15.75" customHeight="1">
      <c r="K844" s="95"/>
    </row>
    <row r="845" ht="15.75" customHeight="1">
      <c r="K845" s="95"/>
    </row>
    <row r="846" ht="15.75" customHeight="1">
      <c r="K846" s="95"/>
    </row>
    <row r="847" ht="15.75" customHeight="1">
      <c r="K847" s="95"/>
    </row>
    <row r="848" ht="15.75" customHeight="1">
      <c r="K848" s="95"/>
    </row>
    <row r="849" ht="15.75" customHeight="1">
      <c r="K849" s="95"/>
    </row>
    <row r="850" ht="15.75" customHeight="1">
      <c r="K850" s="95"/>
    </row>
    <row r="851" ht="15.75" customHeight="1">
      <c r="K851" s="95"/>
    </row>
    <row r="852" ht="15.75" customHeight="1">
      <c r="K852" s="95"/>
    </row>
    <row r="853" ht="15.75" customHeight="1">
      <c r="K853" s="95"/>
    </row>
    <row r="854" ht="15.75" customHeight="1">
      <c r="K854" s="95"/>
    </row>
    <row r="855" ht="15.75" customHeight="1">
      <c r="K855" s="95"/>
    </row>
    <row r="856" ht="15.75" customHeight="1">
      <c r="K856" s="95"/>
    </row>
    <row r="857" ht="15.75" customHeight="1">
      <c r="K857" s="95"/>
    </row>
    <row r="858" ht="15.75" customHeight="1">
      <c r="K858" s="95"/>
    </row>
    <row r="859" ht="15.75" customHeight="1">
      <c r="K859" s="95"/>
    </row>
    <row r="860" ht="15.75" customHeight="1">
      <c r="K860" s="95"/>
    </row>
    <row r="861" ht="15.75" customHeight="1">
      <c r="K861" s="95"/>
    </row>
    <row r="862" ht="15.75" customHeight="1">
      <c r="K862" s="95"/>
    </row>
    <row r="863" ht="15.75" customHeight="1">
      <c r="K863" s="95"/>
    </row>
    <row r="864" ht="15.75" customHeight="1">
      <c r="K864" s="95"/>
    </row>
    <row r="865" ht="15.75" customHeight="1">
      <c r="K865" s="95"/>
    </row>
    <row r="866" ht="15.75" customHeight="1">
      <c r="K866" s="95"/>
    </row>
    <row r="867" ht="15.75" customHeight="1">
      <c r="K867" s="95"/>
    </row>
    <row r="868" ht="15.75" customHeight="1">
      <c r="K868" s="95"/>
    </row>
    <row r="869" ht="15.75" customHeight="1">
      <c r="K869" s="95"/>
    </row>
    <row r="870" ht="15.75" customHeight="1">
      <c r="K870" s="95"/>
    </row>
    <row r="871" ht="15.75" customHeight="1">
      <c r="K871" s="95"/>
    </row>
    <row r="872" ht="15.75" customHeight="1">
      <c r="K872" s="95"/>
    </row>
    <row r="873" ht="15.75" customHeight="1">
      <c r="K873" s="95"/>
    </row>
    <row r="874" ht="15.75" customHeight="1">
      <c r="K874" s="95"/>
    </row>
    <row r="875" ht="15.75" customHeight="1">
      <c r="K875" s="95"/>
    </row>
    <row r="876" ht="15.75" customHeight="1">
      <c r="K876" s="95"/>
    </row>
    <row r="877" ht="15.75" customHeight="1">
      <c r="K877" s="95"/>
    </row>
    <row r="878" ht="15.75" customHeight="1">
      <c r="K878" s="95"/>
    </row>
    <row r="879" ht="15.75" customHeight="1">
      <c r="K879" s="95"/>
    </row>
    <row r="880" ht="15.75" customHeight="1">
      <c r="K880" s="95"/>
    </row>
    <row r="881" ht="15.75" customHeight="1">
      <c r="K881" s="95"/>
    </row>
    <row r="882" ht="15.75" customHeight="1">
      <c r="K882" s="95"/>
    </row>
    <row r="883" ht="15.75" customHeight="1">
      <c r="K883" s="95"/>
    </row>
    <row r="884" ht="15.75" customHeight="1">
      <c r="K884" s="95"/>
    </row>
    <row r="885" ht="15.75" customHeight="1">
      <c r="K885" s="95"/>
    </row>
    <row r="886" ht="15.75" customHeight="1">
      <c r="K886" s="95"/>
    </row>
    <row r="887" ht="15.75" customHeight="1">
      <c r="K887" s="95"/>
    </row>
    <row r="888" ht="15.75" customHeight="1">
      <c r="K888" s="95"/>
    </row>
    <row r="889" ht="15.75" customHeight="1">
      <c r="K889" s="95"/>
    </row>
    <row r="890" ht="15.75" customHeight="1">
      <c r="K890" s="95"/>
    </row>
    <row r="891" ht="15.75" customHeight="1">
      <c r="K891" s="95"/>
    </row>
    <row r="892" ht="15.75" customHeight="1">
      <c r="K892" s="95"/>
    </row>
    <row r="893" ht="15.75" customHeight="1">
      <c r="K893" s="95"/>
    </row>
    <row r="894" ht="15.75" customHeight="1">
      <c r="K894" s="95"/>
    </row>
    <row r="895" ht="15.75" customHeight="1">
      <c r="K895" s="95"/>
    </row>
    <row r="896" ht="15.75" customHeight="1">
      <c r="K896" s="95"/>
    </row>
    <row r="897" ht="15.75" customHeight="1">
      <c r="K897" s="95"/>
    </row>
    <row r="898" ht="15.75" customHeight="1">
      <c r="K898" s="95"/>
    </row>
    <row r="899" ht="15.75" customHeight="1">
      <c r="K899" s="95"/>
    </row>
    <row r="900" ht="15.75" customHeight="1">
      <c r="K900" s="95"/>
    </row>
    <row r="901" ht="15.75" customHeight="1">
      <c r="K901" s="95"/>
    </row>
    <row r="902" ht="15.75" customHeight="1">
      <c r="K902" s="95"/>
    </row>
    <row r="903" ht="15.75" customHeight="1">
      <c r="K903" s="95"/>
    </row>
    <row r="904" ht="15.75" customHeight="1">
      <c r="K904" s="95"/>
    </row>
    <row r="905" ht="15.75" customHeight="1">
      <c r="K905" s="95"/>
    </row>
    <row r="906" ht="15.75" customHeight="1">
      <c r="K906" s="95"/>
    </row>
    <row r="907" ht="15.75" customHeight="1">
      <c r="K907" s="95"/>
    </row>
    <row r="908" ht="15.75" customHeight="1">
      <c r="K908" s="95"/>
    </row>
    <row r="909" ht="15.75" customHeight="1">
      <c r="K909" s="95"/>
    </row>
    <row r="910" ht="15.75" customHeight="1">
      <c r="K910" s="95"/>
    </row>
    <row r="911" ht="15.75" customHeight="1">
      <c r="K911" s="95"/>
    </row>
    <row r="912" ht="15.75" customHeight="1">
      <c r="K912" s="95"/>
    </row>
    <row r="913" ht="15.75" customHeight="1">
      <c r="K913" s="95"/>
    </row>
    <row r="914" ht="15.75" customHeight="1">
      <c r="K914" s="95"/>
    </row>
    <row r="915" ht="15.75" customHeight="1">
      <c r="K915" s="95"/>
    </row>
    <row r="916" ht="15.75" customHeight="1">
      <c r="K916" s="95"/>
    </row>
    <row r="917" ht="15.75" customHeight="1">
      <c r="K917" s="95"/>
    </row>
    <row r="918" ht="15.75" customHeight="1">
      <c r="K918" s="95"/>
    </row>
    <row r="919" ht="15.75" customHeight="1">
      <c r="K919" s="95"/>
    </row>
    <row r="920" ht="15.75" customHeight="1">
      <c r="K920" s="95"/>
    </row>
    <row r="921" ht="15.75" customHeight="1">
      <c r="K921" s="95"/>
    </row>
    <row r="922" ht="15.75" customHeight="1">
      <c r="K922" s="95"/>
    </row>
    <row r="923" ht="15.75" customHeight="1">
      <c r="K923" s="95"/>
    </row>
    <row r="924" ht="15.75" customHeight="1">
      <c r="K924" s="95"/>
    </row>
    <row r="925" ht="15.75" customHeight="1">
      <c r="K925" s="95"/>
    </row>
    <row r="926" ht="15.75" customHeight="1">
      <c r="K926" s="95"/>
    </row>
    <row r="927" ht="15.75" customHeight="1">
      <c r="K927" s="95"/>
    </row>
    <row r="928" ht="15.75" customHeight="1">
      <c r="K928" s="95"/>
    </row>
    <row r="929" ht="15.75" customHeight="1">
      <c r="K929" s="95"/>
    </row>
    <row r="930" ht="15.75" customHeight="1">
      <c r="K930" s="95"/>
    </row>
    <row r="931" ht="15.75" customHeight="1">
      <c r="K931" s="95"/>
    </row>
    <row r="932" ht="15.75" customHeight="1">
      <c r="K932" s="95"/>
    </row>
    <row r="933" ht="15.75" customHeight="1">
      <c r="K933" s="95"/>
    </row>
    <row r="934" ht="15.75" customHeight="1">
      <c r="K934" s="95"/>
    </row>
    <row r="935" ht="15.75" customHeight="1">
      <c r="K935" s="95"/>
    </row>
    <row r="936" ht="15.75" customHeight="1">
      <c r="K936" s="95"/>
    </row>
    <row r="937" ht="15.75" customHeight="1">
      <c r="K937" s="95"/>
    </row>
    <row r="938" ht="15.75" customHeight="1">
      <c r="K938" s="95"/>
    </row>
    <row r="939" ht="15.75" customHeight="1">
      <c r="K939" s="95"/>
    </row>
    <row r="940" ht="15.75" customHeight="1">
      <c r="K940" s="95"/>
    </row>
    <row r="941" ht="15.75" customHeight="1">
      <c r="K941" s="95"/>
    </row>
    <row r="942" ht="15.75" customHeight="1">
      <c r="K942" s="95"/>
    </row>
    <row r="943" ht="15.75" customHeight="1">
      <c r="K943" s="95"/>
    </row>
    <row r="944" ht="15.75" customHeight="1">
      <c r="K944" s="95"/>
    </row>
    <row r="945" ht="15.75" customHeight="1">
      <c r="K945" s="95"/>
    </row>
    <row r="946" ht="15.75" customHeight="1">
      <c r="K946" s="95"/>
    </row>
    <row r="947" ht="15.75" customHeight="1">
      <c r="K947" s="95"/>
    </row>
    <row r="948" ht="15.75" customHeight="1">
      <c r="K948" s="95"/>
    </row>
    <row r="949" ht="15.75" customHeight="1">
      <c r="K949" s="95"/>
    </row>
    <row r="950" ht="15.75" customHeight="1">
      <c r="K950" s="95"/>
    </row>
    <row r="951" ht="15.75" customHeight="1">
      <c r="K951" s="95"/>
    </row>
    <row r="952" ht="15.75" customHeight="1">
      <c r="K952" s="95"/>
    </row>
    <row r="953" ht="15.75" customHeight="1">
      <c r="K953" s="95"/>
    </row>
    <row r="954" ht="15.75" customHeight="1">
      <c r="K954" s="95"/>
    </row>
    <row r="955" ht="15.75" customHeight="1">
      <c r="K955" s="95"/>
    </row>
    <row r="956" ht="15.75" customHeight="1">
      <c r="K956" s="95"/>
    </row>
    <row r="957" ht="15.75" customHeight="1">
      <c r="K957" s="95"/>
    </row>
    <row r="958" ht="15.75" customHeight="1">
      <c r="K958" s="95"/>
    </row>
    <row r="959" ht="15.75" customHeight="1">
      <c r="K959" s="95"/>
    </row>
    <row r="960" ht="15.75" customHeight="1">
      <c r="K960" s="95"/>
    </row>
    <row r="961" ht="15.75" customHeight="1">
      <c r="K961" s="95"/>
    </row>
    <row r="962" ht="15.75" customHeight="1">
      <c r="K962" s="95"/>
    </row>
    <row r="963" ht="15.75" customHeight="1">
      <c r="K963" s="95"/>
    </row>
    <row r="964" ht="15.75" customHeight="1">
      <c r="K964" s="95"/>
    </row>
    <row r="965" ht="15.75" customHeight="1">
      <c r="K965" s="95"/>
    </row>
    <row r="966" ht="15.75" customHeight="1">
      <c r="K966" s="95"/>
    </row>
    <row r="967" ht="15.75" customHeight="1">
      <c r="K967" s="95"/>
    </row>
    <row r="968" ht="15.75" customHeight="1">
      <c r="K968" s="95"/>
    </row>
    <row r="969" ht="15.75" customHeight="1">
      <c r="K969" s="95"/>
    </row>
    <row r="970" ht="15.75" customHeight="1">
      <c r="K970" s="95"/>
    </row>
    <row r="971" ht="15.75" customHeight="1">
      <c r="K971" s="95"/>
    </row>
    <row r="972" ht="15.75" customHeight="1">
      <c r="K972" s="95"/>
    </row>
    <row r="973" ht="15.75" customHeight="1">
      <c r="K973" s="95"/>
    </row>
    <row r="974" ht="15.75" customHeight="1">
      <c r="K974" s="95"/>
    </row>
    <row r="975" ht="15.75" customHeight="1">
      <c r="K975" s="95"/>
    </row>
    <row r="976" ht="15.75" customHeight="1">
      <c r="K976" s="95"/>
    </row>
    <row r="977" ht="15.75" customHeight="1">
      <c r="K977" s="95"/>
    </row>
    <row r="978" ht="15.75" customHeight="1">
      <c r="K978" s="95"/>
    </row>
    <row r="979" ht="15.75" customHeight="1">
      <c r="K979" s="95"/>
    </row>
    <row r="980" ht="15.75" customHeight="1">
      <c r="K980" s="95"/>
    </row>
    <row r="981" ht="15.75" customHeight="1">
      <c r="K981" s="95"/>
    </row>
    <row r="982" ht="15.75" customHeight="1">
      <c r="K982" s="95"/>
    </row>
    <row r="983" ht="15.75" customHeight="1">
      <c r="K983" s="95"/>
    </row>
    <row r="984" ht="15.75" customHeight="1">
      <c r="K984" s="95"/>
    </row>
    <row r="985" ht="15.75" customHeight="1">
      <c r="K985" s="95"/>
    </row>
    <row r="986" ht="15.75" customHeight="1">
      <c r="K986" s="95"/>
    </row>
    <row r="987" ht="15.75" customHeight="1">
      <c r="K987" s="95"/>
    </row>
    <row r="988" ht="15.75" customHeight="1">
      <c r="K988" s="95"/>
    </row>
    <row r="989" ht="15.75" customHeight="1">
      <c r="K989" s="95"/>
    </row>
    <row r="990" ht="15.75" customHeight="1">
      <c r="K990" s="95"/>
    </row>
    <row r="991" ht="15.75" customHeight="1">
      <c r="K991" s="95"/>
    </row>
    <row r="992" ht="15.75" customHeight="1">
      <c r="K992" s="95"/>
    </row>
    <row r="993" ht="15.75" customHeight="1">
      <c r="K993" s="95"/>
    </row>
    <row r="994" ht="15.75" customHeight="1">
      <c r="K994" s="95"/>
    </row>
    <row r="995" ht="15.75" customHeight="1">
      <c r="K995" s="95"/>
    </row>
    <row r="996" ht="15.75" customHeight="1">
      <c r="K996" s="95"/>
    </row>
    <row r="997" ht="15.75" customHeight="1">
      <c r="K997" s="95"/>
    </row>
    <row r="998" ht="15.75" customHeight="1">
      <c r="K998" s="95"/>
    </row>
    <row r="999" ht="15.75" customHeight="1">
      <c r="K999" s="95"/>
    </row>
    <row r="1000" ht="15.75" customHeight="1">
      <c r="K1000" s="95"/>
    </row>
  </sheetData>
  <autoFilter ref="$A$3:$Z$3"/>
  <mergeCells count="6">
    <mergeCell ref="A1:Z1"/>
    <mergeCell ref="A2:L2"/>
    <mergeCell ref="M2:S2"/>
    <mergeCell ref="T2:V2"/>
    <mergeCell ref="W2:Z2"/>
    <mergeCell ref="A65:Z65"/>
  </mergeCells>
  <dataValidations>
    <dataValidation type="list" allowBlank="1" sqref="B4:B63">
      <formula1>DOCUMENTOS!$A$3:$A$8</formula1>
    </dataValidation>
    <dataValidation type="list" allowBlank="1" sqref="Z4:Z63">
      <formula1>"Correto,Parcialmente correto,Incorreto,Não respondeu,Não aplicável"</formula1>
    </dataValidation>
    <dataValidation type="list" allowBlank="1" sqref="W4:Y63">
      <formula1>"Sim,Não"</formula1>
    </dataValidation>
    <dataValidation type="list" allowBlank="1" sqref="P4:P63">
      <formula1>"Gratuita,Paga"</formula1>
    </dataValidation>
    <dataValidation type="list" allowBlank="1" sqref="O4:O63">
      <formula1>"ChatGPT,Claude,Gemini"</formula1>
    </dataValidation>
    <dataValidation type="list" allowBlank="1" sqref="H4:H63">
      <formula1>'BANCO DE PERGUNTAS'!$A$3:$A$35</formula1>
    </dataValidation>
  </dataValidation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0.0"/>
    <col customWidth="1" min="2" max="2" width="26.0"/>
    <col customWidth="1" min="3" max="3" width="42.0"/>
    <col customWidth="1" min="4" max="4" width="20.0"/>
    <col customWidth="1" min="5" max="6" width="40.0"/>
    <col customWidth="1" min="7" max="7" width="30.0"/>
    <col customWidth="1" min="8" max="8" width="40.0"/>
    <col customWidth="1" min="9" max="26" width="8.71"/>
  </cols>
  <sheetData>
    <row r="1" ht="27.75" customHeight="1">
      <c r="A1" s="7" t="s">
        <v>796</v>
      </c>
      <c r="B1" s="2"/>
      <c r="C1" s="2"/>
      <c r="D1" s="2"/>
      <c r="E1" s="2"/>
      <c r="F1" s="2"/>
      <c r="G1" s="2"/>
      <c r="H1" s="3"/>
    </row>
    <row r="2">
      <c r="A2" s="9" t="s">
        <v>797</v>
      </c>
      <c r="B2" s="9" t="s">
        <v>798</v>
      </c>
      <c r="C2" s="9" t="s">
        <v>43</v>
      </c>
      <c r="D2" s="9" t="s">
        <v>799</v>
      </c>
      <c r="E2" s="9" t="s">
        <v>800</v>
      </c>
      <c r="F2" s="9" t="s">
        <v>801</v>
      </c>
      <c r="G2" s="9" t="s">
        <v>802</v>
      </c>
      <c r="H2" s="9" t="s">
        <v>30</v>
      </c>
    </row>
    <row r="3" ht="45.75" customHeight="1">
      <c r="A3" s="11" t="s">
        <v>803</v>
      </c>
      <c r="B3" s="11" t="s">
        <v>15</v>
      </c>
      <c r="C3" s="11" t="s">
        <v>804</v>
      </c>
      <c r="D3" s="11" t="s">
        <v>806</v>
      </c>
      <c r="E3" s="11" t="s">
        <v>807</v>
      </c>
      <c r="F3" s="11" t="s">
        <v>808</v>
      </c>
      <c r="G3" s="11" t="s">
        <v>809</v>
      </c>
      <c r="H3" s="11" t="s">
        <v>810</v>
      </c>
    </row>
    <row r="4" ht="45.75" customHeight="1">
      <c r="A4" s="14" t="s">
        <v>803</v>
      </c>
      <c r="B4" s="14" t="s">
        <v>20</v>
      </c>
      <c r="C4" s="14" t="s">
        <v>811</v>
      </c>
      <c r="D4" s="14" t="s">
        <v>812</v>
      </c>
      <c r="E4" s="14" t="s">
        <v>813</v>
      </c>
      <c r="F4" s="14" t="s">
        <v>814</v>
      </c>
      <c r="G4" s="14" t="s">
        <v>815</v>
      </c>
      <c r="H4" s="14" t="s">
        <v>816</v>
      </c>
    </row>
    <row r="5" ht="45.75" customHeight="1">
      <c r="A5" s="11" t="s">
        <v>803</v>
      </c>
      <c r="B5" s="11" t="s">
        <v>25</v>
      </c>
      <c r="C5" s="11" t="s">
        <v>817</v>
      </c>
      <c r="D5" s="11" t="s">
        <v>818</v>
      </c>
      <c r="E5" s="11" t="s">
        <v>819</v>
      </c>
      <c r="F5" s="11" t="s">
        <v>820</v>
      </c>
      <c r="G5" s="11" t="s">
        <v>821</v>
      </c>
      <c r="H5" s="11" t="s">
        <v>822</v>
      </c>
    </row>
    <row r="6" ht="45.75" customHeight="1">
      <c r="A6" s="14" t="s">
        <v>803</v>
      </c>
      <c r="B6" s="14" t="s">
        <v>34</v>
      </c>
      <c r="C6" s="14" t="s">
        <v>823</v>
      </c>
      <c r="D6" s="14" t="s">
        <v>824</v>
      </c>
      <c r="E6" s="14" t="s">
        <v>825</v>
      </c>
      <c r="F6" s="14" t="s">
        <v>826</v>
      </c>
      <c r="G6" s="14" t="s">
        <v>828</v>
      </c>
      <c r="H6" s="14" t="s">
        <v>829</v>
      </c>
    </row>
    <row r="7" ht="45.75" customHeight="1">
      <c r="A7" s="11" t="s">
        <v>803</v>
      </c>
      <c r="B7" s="11" t="s">
        <v>60</v>
      </c>
      <c r="C7" s="11" t="s">
        <v>833</v>
      </c>
      <c r="D7" s="11" t="s">
        <v>818</v>
      </c>
      <c r="E7" s="11" t="s">
        <v>834</v>
      </c>
      <c r="F7" s="11" t="s">
        <v>820</v>
      </c>
      <c r="G7" s="11" t="s">
        <v>835</v>
      </c>
      <c r="H7" s="11" t="s">
        <v>836</v>
      </c>
    </row>
    <row r="8" ht="45.75" customHeight="1">
      <c r="A8" s="14" t="s">
        <v>838</v>
      </c>
      <c r="B8" s="14" t="s">
        <v>9</v>
      </c>
      <c r="C8" s="14" t="s">
        <v>839</v>
      </c>
      <c r="D8" s="14" t="s">
        <v>841</v>
      </c>
      <c r="E8" s="14" t="s">
        <v>842</v>
      </c>
      <c r="F8" s="14" t="s">
        <v>843</v>
      </c>
      <c r="G8" s="14" t="s">
        <v>208</v>
      </c>
      <c r="H8" s="14" t="s">
        <v>810</v>
      </c>
    </row>
    <row r="9" ht="45.75" customHeight="1">
      <c r="A9" s="11" t="s">
        <v>838</v>
      </c>
      <c r="B9" s="11" t="s">
        <v>12</v>
      </c>
      <c r="C9" s="11" t="s">
        <v>844</v>
      </c>
      <c r="D9" s="11" t="s">
        <v>845</v>
      </c>
      <c r="E9" s="11" t="s">
        <v>846</v>
      </c>
      <c r="F9" s="11" t="s">
        <v>847</v>
      </c>
      <c r="G9" s="11" t="s">
        <v>227</v>
      </c>
      <c r="H9" s="11" t="s">
        <v>848</v>
      </c>
    </row>
    <row r="10" ht="45.75" customHeight="1">
      <c r="A10" s="14" t="s">
        <v>838</v>
      </c>
      <c r="B10" s="14" t="s">
        <v>22</v>
      </c>
      <c r="C10" s="14" t="s">
        <v>849</v>
      </c>
      <c r="D10" s="14" t="s">
        <v>850</v>
      </c>
      <c r="E10" s="14" t="s">
        <v>851</v>
      </c>
      <c r="F10" s="14" t="s">
        <v>852</v>
      </c>
      <c r="G10" s="14" t="s">
        <v>854</v>
      </c>
      <c r="H10" s="14" t="s">
        <v>855</v>
      </c>
    </row>
    <row r="11" ht="45.75" customHeight="1">
      <c r="A11" s="11" t="s">
        <v>838</v>
      </c>
      <c r="B11" s="11" t="s">
        <v>26</v>
      </c>
      <c r="C11" s="11" t="s">
        <v>856</v>
      </c>
      <c r="D11" s="11" t="s">
        <v>857</v>
      </c>
      <c r="E11" s="11" t="s">
        <v>858</v>
      </c>
      <c r="F11" s="11" t="s">
        <v>859</v>
      </c>
      <c r="G11" s="11" t="s">
        <v>101</v>
      </c>
      <c r="H11" s="11" t="s">
        <v>860</v>
      </c>
    </row>
    <row r="12" ht="45.75" customHeight="1">
      <c r="A12" s="14" t="s">
        <v>861</v>
      </c>
      <c r="B12" s="14" t="s">
        <v>350</v>
      </c>
      <c r="C12" s="14" t="s">
        <v>862</v>
      </c>
      <c r="D12" s="14" t="s">
        <v>863</v>
      </c>
      <c r="E12" s="14" t="s">
        <v>864</v>
      </c>
      <c r="F12" s="14" t="s">
        <v>865</v>
      </c>
      <c r="G12" s="14" t="s">
        <v>724</v>
      </c>
      <c r="H12" s="14" t="s">
        <v>866</v>
      </c>
    </row>
    <row r="13" ht="45.75" customHeight="1">
      <c r="A13" s="11" t="s">
        <v>861</v>
      </c>
      <c r="B13" s="11" t="s">
        <v>352</v>
      </c>
      <c r="C13" s="11" t="s">
        <v>867</v>
      </c>
      <c r="D13" s="11" t="s">
        <v>868</v>
      </c>
      <c r="E13" s="11" t="s">
        <v>825</v>
      </c>
      <c r="F13" s="11" t="s">
        <v>869</v>
      </c>
      <c r="G13" s="11" t="s">
        <v>870</v>
      </c>
      <c r="H13" s="11" t="s">
        <v>871</v>
      </c>
    </row>
    <row r="14" ht="45.75" customHeight="1">
      <c r="A14" s="14" t="s">
        <v>861</v>
      </c>
      <c r="B14" s="14" t="s">
        <v>356</v>
      </c>
      <c r="C14" s="14" t="s">
        <v>872</v>
      </c>
      <c r="D14" s="14" t="s">
        <v>868</v>
      </c>
      <c r="E14" s="14" t="s">
        <v>873</v>
      </c>
      <c r="F14" s="14" t="s">
        <v>874</v>
      </c>
      <c r="G14" s="14" t="s">
        <v>875</v>
      </c>
      <c r="H14" s="14" t="s">
        <v>876</v>
      </c>
    </row>
    <row r="15" ht="45.75" customHeight="1">
      <c r="A15" s="11" t="s">
        <v>877</v>
      </c>
      <c r="B15" s="11" t="s">
        <v>614</v>
      </c>
      <c r="C15" s="11" t="s">
        <v>878</v>
      </c>
      <c r="D15" s="11" t="s">
        <v>879</v>
      </c>
      <c r="E15" s="11" t="s">
        <v>880</v>
      </c>
      <c r="F15" s="11" t="s">
        <v>881</v>
      </c>
      <c r="G15" s="11" t="s">
        <v>882</v>
      </c>
      <c r="H15" s="11" t="s">
        <v>883</v>
      </c>
    </row>
    <row r="16" ht="45.75" customHeight="1">
      <c r="A16" s="14" t="s">
        <v>877</v>
      </c>
      <c r="B16" s="14" t="s">
        <v>333</v>
      </c>
      <c r="C16" s="14" t="s">
        <v>884</v>
      </c>
      <c r="D16" s="14" t="s">
        <v>818</v>
      </c>
      <c r="E16" s="14" t="s">
        <v>885</v>
      </c>
      <c r="F16" s="14" t="s">
        <v>820</v>
      </c>
      <c r="G16" s="14" t="s">
        <v>365</v>
      </c>
      <c r="H16" s="14" t="s">
        <v>886</v>
      </c>
    </row>
    <row r="17" ht="45.75" customHeight="1">
      <c r="A17" s="11" t="s">
        <v>877</v>
      </c>
      <c r="B17" s="11" t="s">
        <v>334</v>
      </c>
      <c r="C17" s="11" t="s">
        <v>887</v>
      </c>
      <c r="D17" s="11" t="s">
        <v>818</v>
      </c>
      <c r="E17" s="11" t="s">
        <v>888</v>
      </c>
      <c r="F17" s="11" t="s">
        <v>889</v>
      </c>
      <c r="G17" s="11" t="s">
        <v>890</v>
      </c>
      <c r="H17" s="11" t="s">
        <v>891</v>
      </c>
    </row>
    <row r="18" ht="45.75" customHeight="1">
      <c r="A18" s="14" t="s">
        <v>877</v>
      </c>
      <c r="B18" s="14" t="s">
        <v>630</v>
      </c>
      <c r="C18" s="14" t="s">
        <v>892</v>
      </c>
      <c r="D18" s="14" t="s">
        <v>818</v>
      </c>
      <c r="E18" s="14" t="s">
        <v>893</v>
      </c>
      <c r="F18" s="14" t="s">
        <v>894</v>
      </c>
      <c r="G18" s="14" t="s">
        <v>895</v>
      </c>
      <c r="H18" s="14" t="s">
        <v>896</v>
      </c>
    </row>
    <row r="19" ht="45.75" customHeight="1">
      <c r="A19" s="11" t="s">
        <v>897</v>
      </c>
      <c r="B19" s="11" t="s">
        <v>899</v>
      </c>
      <c r="C19" s="11" t="s">
        <v>900</v>
      </c>
      <c r="D19" s="11" t="s">
        <v>901</v>
      </c>
      <c r="E19" s="11" t="s">
        <v>903</v>
      </c>
      <c r="F19" s="11" t="s">
        <v>904</v>
      </c>
      <c r="G19" s="11" t="s">
        <v>906</v>
      </c>
      <c r="H19" s="11" t="s">
        <v>907</v>
      </c>
    </row>
    <row r="20" ht="45.75" customHeight="1">
      <c r="A20" s="14" t="s">
        <v>897</v>
      </c>
      <c r="B20" s="14" t="s">
        <v>910</v>
      </c>
      <c r="C20" s="14" t="s">
        <v>912</v>
      </c>
      <c r="D20" s="14" t="s">
        <v>857</v>
      </c>
      <c r="E20" s="14" t="s">
        <v>858</v>
      </c>
      <c r="F20" s="14" t="s">
        <v>915</v>
      </c>
      <c r="G20" s="14" t="s">
        <v>64</v>
      </c>
      <c r="H20" s="14" t="s">
        <v>918</v>
      </c>
    </row>
    <row r="21" ht="45.75" customHeight="1">
      <c r="A21" s="11" t="s">
        <v>897</v>
      </c>
      <c r="B21" s="11" t="s">
        <v>919</v>
      </c>
      <c r="C21" s="11" t="s">
        <v>921</v>
      </c>
      <c r="D21" s="11" t="s">
        <v>857</v>
      </c>
      <c r="E21" s="11" t="s">
        <v>858</v>
      </c>
      <c r="F21" s="11" t="s">
        <v>922</v>
      </c>
      <c r="G21" s="11" t="s">
        <v>101</v>
      </c>
      <c r="H21" s="11" t="s">
        <v>923</v>
      </c>
    </row>
    <row r="22" ht="45.75" customHeight="1">
      <c r="A22" s="14" t="s">
        <v>897</v>
      </c>
      <c r="B22" s="14" t="s">
        <v>330</v>
      </c>
      <c r="C22" s="14" t="s">
        <v>924</v>
      </c>
      <c r="D22" s="14" t="s">
        <v>818</v>
      </c>
      <c r="E22" s="14" t="s">
        <v>925</v>
      </c>
      <c r="F22" s="14" t="s">
        <v>926</v>
      </c>
      <c r="G22" s="14" t="s">
        <v>927</v>
      </c>
      <c r="H22" s="14" t="s">
        <v>928</v>
      </c>
    </row>
    <row r="23" ht="45.75" customHeight="1">
      <c r="A23" s="11" t="s">
        <v>929</v>
      </c>
      <c r="B23" s="11" t="s">
        <v>339</v>
      </c>
      <c r="C23" s="11" t="s">
        <v>930</v>
      </c>
      <c r="D23" s="11" t="s">
        <v>931</v>
      </c>
      <c r="E23" s="11" t="s">
        <v>932</v>
      </c>
      <c r="F23" s="11" t="s">
        <v>933</v>
      </c>
      <c r="G23" s="11" t="s">
        <v>934</v>
      </c>
      <c r="H23" s="11" t="s">
        <v>935</v>
      </c>
    </row>
    <row r="24" ht="45.75" customHeight="1">
      <c r="A24" s="14" t="s">
        <v>929</v>
      </c>
      <c r="B24" s="14" t="s">
        <v>342</v>
      </c>
      <c r="C24" s="14" t="s">
        <v>936</v>
      </c>
      <c r="D24" s="14" t="s">
        <v>931</v>
      </c>
      <c r="E24" s="14" t="s">
        <v>932</v>
      </c>
      <c r="F24" s="14" t="s">
        <v>933</v>
      </c>
      <c r="G24" s="14" t="s">
        <v>937</v>
      </c>
      <c r="H24" s="14" t="s">
        <v>938</v>
      </c>
    </row>
    <row r="25" ht="45.75" customHeight="1">
      <c r="A25" s="11" t="s">
        <v>939</v>
      </c>
      <c r="B25" s="11" t="s">
        <v>940</v>
      </c>
      <c r="C25" s="11" t="s">
        <v>941</v>
      </c>
      <c r="D25" s="11" t="s">
        <v>818</v>
      </c>
      <c r="E25" s="11" t="s">
        <v>942</v>
      </c>
      <c r="F25" s="11" t="s">
        <v>943</v>
      </c>
      <c r="G25" s="11" t="s">
        <v>944</v>
      </c>
      <c r="H25" s="11" t="s">
        <v>945</v>
      </c>
    </row>
    <row r="26" ht="15.75" customHeight="1"/>
    <row r="27" ht="39.75" customHeight="1">
      <c r="A27" s="18" t="s">
        <v>946</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H$2"/>
  <mergeCells count="2">
    <mergeCell ref="A1:H1"/>
    <mergeCell ref="A27:H27"/>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6.0"/>
    <col customWidth="1" min="2" max="22" width="12.0"/>
    <col customWidth="1" min="23" max="23" width="22.0"/>
    <col customWidth="1" min="24" max="24" width="32.0"/>
    <col customWidth="1" min="25" max="26" width="8.71"/>
  </cols>
  <sheetData>
    <row r="1" ht="27.75" customHeight="1">
      <c r="A1" s="7" t="s">
        <v>978</v>
      </c>
      <c r="B1" s="2"/>
      <c r="C1" s="2"/>
      <c r="D1" s="2"/>
      <c r="E1" s="2"/>
      <c r="F1" s="2"/>
      <c r="G1" s="2"/>
      <c r="H1" s="2"/>
      <c r="I1" s="2"/>
      <c r="J1" s="2"/>
      <c r="K1" s="2"/>
      <c r="L1" s="2"/>
      <c r="M1" s="2"/>
      <c r="N1" s="2"/>
      <c r="O1" s="2"/>
      <c r="P1" s="2"/>
      <c r="Q1" s="2"/>
      <c r="R1" s="2"/>
      <c r="S1" s="2"/>
      <c r="T1" s="2"/>
      <c r="U1" s="2"/>
      <c r="V1" s="2"/>
      <c r="W1" s="2"/>
      <c r="X1" s="3"/>
    </row>
    <row r="2">
      <c r="A2" s="81" t="s">
        <v>985</v>
      </c>
      <c r="B2" s="81" t="s">
        <v>989</v>
      </c>
      <c r="C2" s="81" t="s">
        <v>990</v>
      </c>
      <c r="D2" s="81" t="s">
        <v>991</v>
      </c>
      <c r="E2" s="81" t="s">
        <v>992</v>
      </c>
      <c r="F2" s="81" t="s">
        <v>993</v>
      </c>
      <c r="G2" s="81" t="s">
        <v>994</v>
      </c>
      <c r="H2" s="81" t="s">
        <v>995</v>
      </c>
      <c r="I2" s="81" t="s">
        <v>996</v>
      </c>
      <c r="J2" s="81" t="s">
        <v>997</v>
      </c>
      <c r="K2" s="81" t="s">
        <v>998</v>
      </c>
      <c r="L2" s="81" t="s">
        <v>999</v>
      </c>
      <c r="M2" s="81" t="s">
        <v>1000</v>
      </c>
      <c r="N2" s="81" t="s">
        <v>1001</v>
      </c>
      <c r="O2" s="81" t="s">
        <v>1002</v>
      </c>
      <c r="P2" s="81" t="s">
        <v>1003</v>
      </c>
      <c r="Q2" s="81" t="s">
        <v>1004</v>
      </c>
      <c r="R2" s="81" t="s">
        <v>1005</v>
      </c>
      <c r="S2" s="81" t="s">
        <v>1006</v>
      </c>
      <c r="T2" s="81" t="s">
        <v>1007</v>
      </c>
      <c r="U2" s="81" t="s">
        <v>1008</v>
      </c>
      <c r="V2" s="81" t="s">
        <v>1009</v>
      </c>
      <c r="W2" s="81" t="s">
        <v>940</v>
      </c>
      <c r="X2" s="81" t="s">
        <v>332</v>
      </c>
    </row>
    <row r="3" ht="15.0" customHeight="1">
      <c r="A3" s="11" t="s">
        <v>631</v>
      </c>
      <c r="B3" s="11"/>
      <c r="C3" s="11"/>
      <c r="D3" s="11"/>
      <c r="E3" s="11"/>
      <c r="F3" s="11"/>
      <c r="G3" s="11"/>
      <c r="H3" s="11"/>
      <c r="I3" s="11"/>
      <c r="J3" s="11"/>
      <c r="K3" s="11"/>
      <c r="L3" s="11"/>
      <c r="M3" s="11"/>
      <c r="N3" s="11"/>
      <c r="O3" s="11"/>
      <c r="P3" s="11"/>
      <c r="Q3" s="11"/>
      <c r="R3" s="11"/>
      <c r="S3" s="11"/>
      <c r="T3" s="11"/>
      <c r="U3" s="11"/>
      <c r="V3" s="11"/>
      <c r="W3" s="11"/>
      <c r="X3" s="11"/>
    </row>
    <row r="4" ht="15.0" customHeight="1">
      <c r="A4" s="14" t="s">
        <v>671</v>
      </c>
      <c r="B4" s="14"/>
      <c r="C4" s="14"/>
      <c r="D4" s="14"/>
      <c r="E4" s="14"/>
      <c r="F4" s="14"/>
      <c r="G4" s="14"/>
      <c r="H4" s="14"/>
      <c r="I4" s="14"/>
      <c r="J4" s="14"/>
      <c r="K4" s="14"/>
      <c r="L4" s="14"/>
      <c r="M4" s="14"/>
      <c r="N4" s="14"/>
      <c r="O4" s="14"/>
      <c r="P4" s="14"/>
      <c r="Q4" s="14"/>
      <c r="R4" s="14"/>
      <c r="S4" s="14"/>
      <c r="T4" s="14"/>
      <c r="U4" s="14"/>
      <c r="V4" s="14"/>
      <c r="W4" s="14"/>
      <c r="X4" s="14"/>
    </row>
    <row r="5" ht="15.0" customHeight="1">
      <c r="A5" s="11" t="s">
        <v>711</v>
      </c>
      <c r="B5" s="11"/>
      <c r="C5" s="11"/>
      <c r="D5" s="11"/>
      <c r="E5" s="11"/>
      <c r="F5" s="11"/>
      <c r="G5" s="11"/>
      <c r="H5" s="11"/>
      <c r="I5" s="11"/>
      <c r="J5" s="11"/>
      <c r="K5" s="11"/>
      <c r="L5" s="11"/>
      <c r="M5" s="11"/>
      <c r="N5" s="11"/>
      <c r="O5" s="11"/>
      <c r="P5" s="11"/>
      <c r="Q5" s="11"/>
      <c r="R5" s="11"/>
      <c r="S5" s="11"/>
      <c r="T5" s="11"/>
      <c r="U5" s="11"/>
      <c r="V5" s="11"/>
      <c r="W5" s="11"/>
      <c r="X5" s="11"/>
    </row>
    <row r="6" ht="15.0" customHeight="1">
      <c r="A6" s="14" t="s">
        <v>748</v>
      </c>
      <c r="B6" s="14"/>
      <c r="C6" s="14"/>
      <c r="D6" s="14"/>
      <c r="E6" s="14"/>
      <c r="F6" s="14"/>
      <c r="G6" s="14"/>
      <c r="H6" s="14"/>
      <c r="I6" s="14"/>
      <c r="J6" s="14"/>
      <c r="K6" s="14"/>
      <c r="L6" s="14"/>
      <c r="M6" s="14"/>
      <c r="N6" s="14"/>
      <c r="O6" s="14"/>
      <c r="P6" s="14"/>
      <c r="Q6" s="14"/>
      <c r="R6" s="14"/>
      <c r="S6" s="14"/>
      <c r="T6" s="14"/>
      <c r="U6" s="14"/>
      <c r="V6" s="14"/>
      <c r="W6" s="14"/>
      <c r="X6" s="14"/>
    </row>
    <row r="7" ht="15.0" customHeight="1">
      <c r="A7" s="11" t="s">
        <v>778</v>
      </c>
      <c r="B7" s="11"/>
      <c r="C7" s="11"/>
      <c r="D7" s="11"/>
      <c r="E7" s="11"/>
      <c r="F7" s="11"/>
      <c r="G7" s="11"/>
      <c r="H7" s="11"/>
      <c r="I7" s="11"/>
      <c r="J7" s="11"/>
      <c r="K7" s="11"/>
      <c r="L7" s="11"/>
      <c r="M7" s="11"/>
      <c r="N7" s="11"/>
      <c r="O7" s="11"/>
      <c r="P7" s="11"/>
      <c r="Q7" s="11"/>
      <c r="R7" s="11"/>
      <c r="S7" s="11"/>
      <c r="T7" s="11"/>
      <c r="U7" s="11"/>
      <c r="V7" s="11"/>
      <c r="W7" s="11"/>
      <c r="X7" s="11"/>
    </row>
    <row r="8" ht="15.0" customHeight="1">
      <c r="A8" s="14" t="s">
        <v>917</v>
      </c>
      <c r="B8" s="14"/>
      <c r="C8" s="14"/>
      <c r="D8" s="14"/>
      <c r="E8" s="14"/>
      <c r="F8" s="14"/>
      <c r="G8" s="14"/>
      <c r="H8" s="14"/>
      <c r="I8" s="14"/>
      <c r="J8" s="14"/>
      <c r="K8" s="14"/>
      <c r="L8" s="14"/>
      <c r="M8" s="14"/>
      <c r="N8" s="14"/>
      <c r="O8" s="14"/>
      <c r="P8" s="14"/>
      <c r="Q8" s="14"/>
      <c r="R8" s="14"/>
      <c r="S8" s="14"/>
      <c r="T8" s="14"/>
      <c r="U8" s="14"/>
      <c r="V8" s="14"/>
      <c r="W8" s="14"/>
      <c r="X8" s="14"/>
    </row>
    <row r="9" ht="15.0" customHeight="1">
      <c r="A9" s="11" t="s">
        <v>961</v>
      </c>
      <c r="B9" s="11"/>
      <c r="C9" s="11"/>
      <c r="D9" s="11"/>
      <c r="E9" s="11"/>
      <c r="F9" s="11"/>
      <c r="G9" s="11"/>
      <c r="H9" s="11"/>
      <c r="I9" s="11"/>
      <c r="J9" s="11"/>
      <c r="K9" s="11"/>
      <c r="L9" s="11"/>
      <c r="M9" s="11"/>
      <c r="N9" s="11"/>
      <c r="O9" s="11"/>
      <c r="P9" s="11"/>
      <c r="Q9" s="11"/>
      <c r="R9" s="11"/>
      <c r="S9" s="11"/>
      <c r="T9" s="11"/>
      <c r="U9" s="11"/>
      <c r="V9" s="11"/>
      <c r="W9" s="11"/>
      <c r="X9" s="11"/>
    </row>
    <row r="10" ht="15.0" customHeight="1">
      <c r="A10" s="14" t="s">
        <v>1010</v>
      </c>
      <c r="B10" s="14"/>
      <c r="C10" s="14"/>
      <c r="D10" s="14"/>
      <c r="E10" s="14"/>
      <c r="F10" s="14"/>
      <c r="G10" s="14"/>
      <c r="H10" s="14"/>
      <c r="I10" s="14"/>
      <c r="J10" s="14"/>
      <c r="K10" s="14"/>
      <c r="L10" s="14"/>
      <c r="M10" s="14"/>
      <c r="N10" s="14"/>
      <c r="O10" s="14"/>
      <c r="P10" s="14"/>
      <c r="Q10" s="14"/>
      <c r="R10" s="14"/>
      <c r="S10" s="14"/>
      <c r="T10" s="14"/>
      <c r="U10" s="14"/>
      <c r="V10" s="14"/>
      <c r="W10" s="14"/>
      <c r="X10" s="14"/>
    </row>
    <row r="11" ht="15.0" customHeight="1">
      <c r="A11" s="11" t="s">
        <v>1025</v>
      </c>
      <c r="B11" s="11"/>
      <c r="C11" s="11"/>
      <c r="D11" s="11"/>
      <c r="E11" s="11"/>
      <c r="F11" s="11"/>
      <c r="G11" s="11"/>
      <c r="H11" s="11"/>
      <c r="I11" s="11"/>
      <c r="J11" s="11"/>
      <c r="K11" s="11"/>
      <c r="L11" s="11"/>
      <c r="M11" s="11"/>
      <c r="N11" s="11"/>
      <c r="O11" s="11"/>
      <c r="P11" s="11"/>
      <c r="Q11" s="11"/>
      <c r="R11" s="11"/>
      <c r="S11" s="11"/>
      <c r="T11" s="11"/>
      <c r="U11" s="11"/>
      <c r="V11" s="11"/>
      <c r="W11" s="11"/>
      <c r="X11" s="11"/>
    </row>
    <row r="12" ht="15.0" customHeight="1">
      <c r="A12" s="14" t="s">
        <v>1026</v>
      </c>
      <c r="B12" s="14"/>
      <c r="C12" s="14"/>
      <c r="D12" s="14"/>
      <c r="E12" s="14"/>
      <c r="F12" s="14"/>
      <c r="G12" s="14"/>
      <c r="H12" s="14"/>
      <c r="I12" s="14"/>
      <c r="J12" s="14"/>
      <c r="K12" s="14"/>
      <c r="L12" s="14"/>
      <c r="M12" s="14"/>
      <c r="N12" s="14"/>
      <c r="O12" s="14"/>
      <c r="P12" s="14"/>
      <c r="Q12" s="14"/>
      <c r="R12" s="14"/>
      <c r="S12" s="14"/>
      <c r="T12" s="14"/>
      <c r="U12" s="14"/>
      <c r="V12" s="14"/>
      <c r="W12" s="14"/>
      <c r="X12" s="14"/>
    </row>
    <row r="13" ht="15.0" customHeight="1">
      <c r="A13" s="11" t="s">
        <v>1035</v>
      </c>
      <c r="B13" s="11"/>
      <c r="C13" s="11"/>
      <c r="D13" s="11"/>
      <c r="E13" s="11"/>
      <c r="F13" s="11"/>
      <c r="G13" s="11"/>
      <c r="H13" s="11"/>
      <c r="I13" s="11"/>
      <c r="J13" s="11"/>
      <c r="K13" s="11"/>
      <c r="L13" s="11"/>
      <c r="M13" s="11"/>
      <c r="N13" s="11"/>
      <c r="O13" s="11"/>
      <c r="P13" s="11"/>
      <c r="Q13" s="11"/>
      <c r="R13" s="11"/>
      <c r="S13" s="11"/>
      <c r="T13" s="11"/>
      <c r="U13" s="11"/>
      <c r="V13" s="11"/>
      <c r="W13" s="11"/>
      <c r="X13" s="11"/>
    </row>
    <row r="14" ht="15.0" customHeight="1">
      <c r="A14" s="14" t="s">
        <v>1037</v>
      </c>
      <c r="B14" s="14"/>
      <c r="C14" s="14"/>
      <c r="D14" s="14"/>
      <c r="E14" s="14"/>
      <c r="F14" s="14"/>
      <c r="G14" s="14"/>
      <c r="H14" s="14"/>
      <c r="I14" s="14"/>
      <c r="J14" s="14"/>
      <c r="K14" s="14"/>
      <c r="L14" s="14"/>
      <c r="M14" s="14"/>
      <c r="N14" s="14"/>
      <c r="O14" s="14"/>
      <c r="P14" s="14"/>
      <c r="Q14" s="14"/>
      <c r="R14" s="14"/>
      <c r="S14" s="14"/>
      <c r="T14" s="14"/>
      <c r="U14" s="14"/>
      <c r="V14" s="14"/>
      <c r="W14" s="14"/>
      <c r="X14" s="14"/>
    </row>
    <row r="15" ht="15.0" customHeight="1">
      <c r="A15" s="11" t="s">
        <v>1038</v>
      </c>
      <c r="B15" s="11"/>
      <c r="C15" s="11"/>
      <c r="D15" s="11"/>
      <c r="E15" s="11"/>
      <c r="F15" s="11"/>
      <c r="G15" s="11"/>
      <c r="H15" s="11"/>
      <c r="I15" s="11"/>
      <c r="J15" s="11"/>
      <c r="K15" s="11"/>
      <c r="L15" s="11"/>
      <c r="M15" s="11"/>
      <c r="N15" s="11"/>
      <c r="O15" s="11"/>
      <c r="P15" s="11"/>
      <c r="Q15" s="11"/>
      <c r="R15" s="11"/>
      <c r="S15" s="11"/>
      <c r="T15" s="11"/>
      <c r="U15" s="11"/>
      <c r="V15" s="11"/>
      <c r="W15" s="11"/>
      <c r="X15" s="11"/>
    </row>
    <row r="16" ht="15.0" customHeight="1">
      <c r="A16" s="14" t="s">
        <v>1039</v>
      </c>
      <c r="B16" s="14"/>
      <c r="C16" s="14"/>
      <c r="D16" s="14"/>
      <c r="E16" s="14"/>
      <c r="F16" s="14"/>
      <c r="G16" s="14"/>
      <c r="H16" s="14"/>
      <c r="I16" s="14"/>
      <c r="J16" s="14"/>
      <c r="K16" s="14"/>
      <c r="L16" s="14"/>
      <c r="M16" s="14"/>
      <c r="N16" s="14"/>
      <c r="O16" s="14"/>
      <c r="P16" s="14"/>
      <c r="Q16" s="14"/>
      <c r="R16" s="14"/>
      <c r="S16" s="14"/>
      <c r="T16" s="14"/>
      <c r="U16" s="14"/>
      <c r="V16" s="14"/>
      <c r="W16" s="14"/>
      <c r="X16" s="14"/>
    </row>
    <row r="17" ht="15.0" customHeight="1">
      <c r="A17" s="11" t="s">
        <v>1040</v>
      </c>
      <c r="B17" s="11"/>
      <c r="C17" s="11"/>
      <c r="D17" s="11"/>
      <c r="E17" s="11"/>
      <c r="F17" s="11"/>
      <c r="G17" s="11"/>
      <c r="H17" s="11"/>
      <c r="I17" s="11"/>
      <c r="J17" s="11"/>
      <c r="K17" s="11"/>
      <c r="L17" s="11"/>
      <c r="M17" s="11"/>
      <c r="N17" s="11"/>
      <c r="O17" s="11"/>
      <c r="P17" s="11"/>
      <c r="Q17" s="11"/>
      <c r="R17" s="11"/>
      <c r="S17" s="11"/>
      <c r="T17" s="11"/>
      <c r="U17" s="11"/>
      <c r="V17" s="11"/>
      <c r="W17" s="11"/>
      <c r="X17" s="11"/>
    </row>
    <row r="18" ht="15.0" customHeight="1">
      <c r="A18" s="14" t="s">
        <v>1047</v>
      </c>
      <c r="B18" s="14"/>
      <c r="C18" s="14"/>
      <c r="D18" s="14"/>
      <c r="E18" s="14"/>
      <c r="F18" s="14"/>
      <c r="G18" s="14"/>
      <c r="H18" s="14"/>
      <c r="I18" s="14"/>
      <c r="J18" s="14"/>
      <c r="K18" s="14"/>
      <c r="L18" s="14"/>
      <c r="M18" s="14"/>
      <c r="N18" s="14"/>
      <c r="O18" s="14"/>
      <c r="P18" s="14"/>
      <c r="Q18" s="14"/>
      <c r="R18" s="14"/>
      <c r="S18" s="14"/>
      <c r="T18" s="14"/>
      <c r="U18" s="14"/>
      <c r="V18" s="14"/>
      <c r="W18" s="14"/>
      <c r="X18" s="14"/>
    </row>
    <row r="19" ht="15.0" customHeight="1">
      <c r="A19" s="11" t="s">
        <v>1049</v>
      </c>
      <c r="B19" s="11"/>
      <c r="C19" s="11"/>
      <c r="D19" s="11"/>
      <c r="E19" s="11"/>
      <c r="F19" s="11"/>
      <c r="G19" s="11"/>
      <c r="H19" s="11"/>
      <c r="I19" s="11"/>
      <c r="J19" s="11"/>
      <c r="K19" s="11"/>
      <c r="L19" s="11"/>
      <c r="M19" s="11"/>
      <c r="N19" s="11"/>
      <c r="O19" s="11"/>
      <c r="P19" s="11"/>
      <c r="Q19" s="11"/>
      <c r="R19" s="11"/>
      <c r="S19" s="11"/>
      <c r="T19" s="11"/>
      <c r="U19" s="11"/>
      <c r="V19" s="11"/>
      <c r="W19" s="11"/>
      <c r="X19" s="11"/>
    </row>
    <row r="20" ht="15.0" customHeight="1">
      <c r="A20" s="14" t="s">
        <v>1051</v>
      </c>
      <c r="B20" s="14"/>
      <c r="C20" s="14"/>
      <c r="D20" s="14"/>
      <c r="E20" s="14"/>
      <c r="F20" s="14"/>
      <c r="G20" s="14"/>
      <c r="H20" s="14"/>
      <c r="I20" s="14"/>
      <c r="J20" s="14"/>
      <c r="K20" s="14"/>
      <c r="L20" s="14"/>
      <c r="M20" s="14"/>
      <c r="N20" s="14"/>
      <c r="O20" s="14"/>
      <c r="P20" s="14"/>
      <c r="Q20" s="14"/>
      <c r="R20" s="14"/>
      <c r="S20" s="14"/>
      <c r="T20" s="14"/>
      <c r="U20" s="14"/>
      <c r="V20" s="14"/>
      <c r="W20" s="14"/>
      <c r="X20" s="14"/>
    </row>
    <row r="21" ht="15.0" customHeight="1">
      <c r="A21" s="11" t="s">
        <v>1053</v>
      </c>
      <c r="B21" s="11"/>
      <c r="C21" s="11"/>
      <c r="D21" s="11"/>
      <c r="E21" s="11"/>
      <c r="F21" s="11"/>
      <c r="G21" s="11"/>
      <c r="H21" s="11"/>
      <c r="I21" s="11"/>
      <c r="J21" s="11"/>
      <c r="K21" s="11"/>
      <c r="L21" s="11"/>
      <c r="M21" s="11"/>
      <c r="N21" s="11"/>
      <c r="O21" s="11"/>
      <c r="P21" s="11"/>
      <c r="Q21" s="11"/>
      <c r="R21" s="11"/>
      <c r="S21" s="11"/>
      <c r="T21" s="11"/>
      <c r="U21" s="11"/>
      <c r="V21" s="11"/>
      <c r="W21" s="11"/>
      <c r="X21" s="11"/>
    </row>
    <row r="22" ht="15.0" customHeight="1">
      <c r="A22" s="14" t="s">
        <v>1058</v>
      </c>
      <c r="B22" s="14"/>
      <c r="C22" s="14"/>
      <c r="D22" s="14"/>
      <c r="E22" s="14"/>
      <c r="F22" s="14"/>
      <c r="G22" s="14"/>
      <c r="H22" s="14"/>
      <c r="I22" s="14"/>
      <c r="J22" s="14"/>
      <c r="K22" s="14"/>
      <c r="L22" s="14"/>
      <c r="M22" s="14"/>
      <c r="N22" s="14"/>
      <c r="O22" s="14"/>
      <c r="P22" s="14"/>
      <c r="Q22" s="14"/>
      <c r="R22" s="14"/>
      <c r="S22" s="14"/>
      <c r="T22" s="14"/>
      <c r="U22" s="14"/>
      <c r="V22" s="14"/>
      <c r="W22" s="14"/>
      <c r="X22" s="14"/>
    </row>
    <row r="23" ht="15.0" customHeight="1">
      <c r="A23" s="11" t="s">
        <v>1061</v>
      </c>
      <c r="B23" s="11"/>
      <c r="C23" s="11"/>
      <c r="D23" s="11"/>
      <c r="E23" s="11"/>
      <c r="F23" s="11"/>
      <c r="G23" s="11"/>
      <c r="H23" s="11"/>
      <c r="I23" s="11"/>
      <c r="J23" s="11"/>
      <c r="K23" s="11"/>
      <c r="L23" s="11"/>
      <c r="M23" s="11"/>
      <c r="N23" s="11"/>
      <c r="O23" s="11"/>
      <c r="P23" s="11"/>
      <c r="Q23" s="11"/>
      <c r="R23" s="11"/>
      <c r="S23" s="11"/>
      <c r="T23" s="11"/>
      <c r="U23" s="11"/>
      <c r="V23" s="11"/>
      <c r="W23" s="11"/>
      <c r="X23" s="11"/>
    </row>
    <row r="24" ht="15.0" customHeight="1">
      <c r="A24" s="14" t="s">
        <v>1063</v>
      </c>
      <c r="B24" s="14"/>
      <c r="C24" s="14"/>
      <c r="D24" s="14"/>
      <c r="E24" s="14"/>
      <c r="F24" s="14"/>
      <c r="G24" s="14"/>
      <c r="H24" s="14"/>
      <c r="I24" s="14"/>
      <c r="J24" s="14"/>
      <c r="K24" s="14"/>
      <c r="L24" s="14"/>
      <c r="M24" s="14"/>
      <c r="N24" s="14"/>
      <c r="O24" s="14"/>
      <c r="P24" s="14"/>
      <c r="Q24" s="14"/>
      <c r="R24" s="14"/>
      <c r="S24" s="14"/>
      <c r="T24" s="14"/>
      <c r="U24" s="14"/>
      <c r="V24" s="14"/>
      <c r="W24" s="14"/>
      <c r="X24" s="14"/>
    </row>
    <row r="25" ht="15.0" customHeight="1">
      <c r="A25" s="11" t="s">
        <v>1064</v>
      </c>
      <c r="B25" s="11"/>
      <c r="C25" s="11"/>
      <c r="D25" s="11"/>
      <c r="E25" s="11"/>
      <c r="F25" s="11"/>
      <c r="G25" s="11"/>
      <c r="H25" s="11"/>
      <c r="I25" s="11"/>
      <c r="J25" s="11"/>
      <c r="K25" s="11"/>
      <c r="L25" s="11"/>
      <c r="M25" s="11"/>
      <c r="N25" s="11"/>
      <c r="O25" s="11"/>
      <c r="P25" s="11"/>
      <c r="Q25" s="11"/>
      <c r="R25" s="11"/>
      <c r="S25" s="11"/>
      <c r="T25" s="11"/>
      <c r="U25" s="11"/>
      <c r="V25" s="11"/>
      <c r="W25" s="11"/>
      <c r="X25" s="11"/>
    </row>
    <row r="26" ht="15.0" customHeight="1">
      <c r="A26" s="14" t="s">
        <v>1066</v>
      </c>
      <c r="B26" s="14"/>
      <c r="C26" s="14"/>
      <c r="D26" s="14"/>
      <c r="E26" s="14"/>
      <c r="F26" s="14"/>
      <c r="G26" s="14"/>
      <c r="H26" s="14"/>
      <c r="I26" s="14"/>
      <c r="J26" s="14"/>
      <c r="K26" s="14"/>
      <c r="L26" s="14"/>
      <c r="M26" s="14"/>
      <c r="N26" s="14"/>
      <c r="O26" s="14"/>
      <c r="P26" s="14"/>
      <c r="Q26" s="14"/>
      <c r="R26" s="14"/>
      <c r="S26" s="14"/>
      <c r="T26" s="14"/>
      <c r="U26" s="14"/>
      <c r="V26" s="14"/>
      <c r="W26" s="14"/>
      <c r="X26" s="14"/>
    </row>
    <row r="27" ht="15.0" customHeight="1">
      <c r="A27" s="11" t="s">
        <v>1071</v>
      </c>
      <c r="B27" s="11"/>
      <c r="C27" s="11"/>
      <c r="D27" s="11"/>
      <c r="E27" s="11"/>
      <c r="F27" s="11"/>
      <c r="G27" s="11"/>
      <c r="H27" s="11"/>
      <c r="I27" s="11"/>
      <c r="J27" s="11"/>
      <c r="K27" s="11"/>
      <c r="L27" s="11"/>
      <c r="M27" s="11"/>
      <c r="N27" s="11"/>
      <c r="O27" s="11"/>
      <c r="P27" s="11"/>
      <c r="Q27" s="11"/>
      <c r="R27" s="11"/>
      <c r="S27" s="11"/>
      <c r="T27" s="11"/>
      <c r="U27" s="11"/>
      <c r="V27" s="11"/>
      <c r="W27" s="11"/>
      <c r="X27" s="11"/>
    </row>
    <row r="28" ht="15.0" customHeight="1">
      <c r="A28" s="14" t="s">
        <v>1075</v>
      </c>
      <c r="B28" s="14"/>
      <c r="C28" s="14"/>
      <c r="D28" s="14"/>
      <c r="E28" s="14"/>
      <c r="F28" s="14"/>
      <c r="G28" s="14"/>
      <c r="H28" s="14"/>
      <c r="I28" s="14"/>
      <c r="J28" s="14"/>
      <c r="K28" s="14"/>
      <c r="L28" s="14"/>
      <c r="M28" s="14"/>
      <c r="N28" s="14"/>
      <c r="O28" s="14"/>
      <c r="P28" s="14"/>
      <c r="Q28" s="14"/>
      <c r="R28" s="14"/>
      <c r="S28" s="14"/>
      <c r="T28" s="14"/>
      <c r="U28" s="14"/>
      <c r="V28" s="14"/>
      <c r="W28" s="14"/>
      <c r="X28" s="14"/>
    </row>
    <row r="29" ht="15.0" customHeight="1">
      <c r="A29" s="11" t="s">
        <v>1076</v>
      </c>
      <c r="B29" s="11"/>
      <c r="C29" s="11"/>
      <c r="D29" s="11"/>
      <c r="E29" s="11"/>
      <c r="F29" s="11"/>
      <c r="G29" s="11"/>
      <c r="H29" s="11"/>
      <c r="I29" s="11"/>
      <c r="J29" s="11"/>
      <c r="K29" s="11"/>
      <c r="L29" s="11"/>
      <c r="M29" s="11"/>
      <c r="N29" s="11"/>
      <c r="O29" s="11"/>
      <c r="P29" s="11"/>
      <c r="Q29" s="11"/>
      <c r="R29" s="11"/>
      <c r="S29" s="11"/>
      <c r="T29" s="11"/>
      <c r="U29" s="11"/>
      <c r="V29" s="11"/>
      <c r="W29" s="11"/>
      <c r="X29" s="11"/>
    </row>
    <row r="30" ht="15.0" customHeight="1">
      <c r="A30" s="14" t="s">
        <v>1077</v>
      </c>
      <c r="B30" s="14"/>
      <c r="C30" s="14"/>
      <c r="D30" s="14"/>
      <c r="E30" s="14"/>
      <c r="F30" s="14"/>
      <c r="G30" s="14"/>
      <c r="H30" s="14"/>
      <c r="I30" s="14"/>
      <c r="J30" s="14"/>
      <c r="K30" s="14"/>
      <c r="L30" s="14"/>
      <c r="M30" s="14"/>
      <c r="N30" s="14"/>
      <c r="O30" s="14"/>
      <c r="P30" s="14"/>
      <c r="Q30" s="14"/>
      <c r="R30" s="14"/>
      <c r="S30" s="14"/>
      <c r="T30" s="14"/>
      <c r="U30" s="14"/>
      <c r="V30" s="14"/>
      <c r="W30" s="14"/>
      <c r="X30" s="14"/>
    </row>
    <row r="31" ht="15.0" customHeight="1">
      <c r="A31" s="11" t="s">
        <v>1078</v>
      </c>
      <c r="B31" s="11"/>
      <c r="C31" s="11"/>
      <c r="D31" s="11"/>
      <c r="E31" s="11"/>
      <c r="F31" s="11"/>
      <c r="G31" s="11"/>
      <c r="H31" s="11"/>
      <c r="I31" s="11"/>
      <c r="J31" s="11"/>
      <c r="K31" s="11"/>
      <c r="L31" s="11"/>
      <c r="M31" s="11"/>
      <c r="N31" s="11"/>
      <c r="O31" s="11"/>
      <c r="P31" s="11"/>
      <c r="Q31" s="11"/>
      <c r="R31" s="11"/>
      <c r="S31" s="11"/>
      <c r="T31" s="11"/>
      <c r="U31" s="11"/>
      <c r="V31" s="11"/>
      <c r="W31" s="11"/>
      <c r="X31" s="11"/>
    </row>
    <row r="32" ht="15.0" customHeight="1">
      <c r="A32" s="14" t="s">
        <v>1085</v>
      </c>
      <c r="B32" s="14"/>
      <c r="C32" s="14"/>
      <c r="D32" s="14"/>
      <c r="E32" s="14"/>
      <c r="F32" s="14"/>
      <c r="G32" s="14"/>
      <c r="H32" s="14"/>
      <c r="I32" s="14"/>
      <c r="J32" s="14"/>
      <c r="K32" s="14"/>
      <c r="L32" s="14"/>
      <c r="M32" s="14"/>
      <c r="N32" s="14"/>
      <c r="O32" s="14"/>
      <c r="P32" s="14"/>
      <c r="Q32" s="14"/>
      <c r="R32" s="14"/>
      <c r="S32" s="14"/>
      <c r="T32" s="14"/>
      <c r="U32" s="14"/>
      <c r="V32" s="14"/>
      <c r="W32" s="14"/>
      <c r="X32" s="14"/>
    </row>
    <row r="33" ht="15.0" customHeight="1">
      <c r="A33" s="11" t="s">
        <v>1086</v>
      </c>
      <c r="B33" s="11"/>
      <c r="C33" s="11"/>
      <c r="D33" s="11"/>
      <c r="E33" s="11"/>
      <c r="F33" s="11"/>
      <c r="G33" s="11"/>
      <c r="H33" s="11"/>
      <c r="I33" s="11"/>
      <c r="J33" s="11"/>
      <c r="K33" s="11"/>
      <c r="L33" s="11"/>
      <c r="M33" s="11"/>
      <c r="N33" s="11"/>
      <c r="O33" s="11"/>
      <c r="P33" s="11"/>
      <c r="Q33" s="11"/>
      <c r="R33" s="11"/>
      <c r="S33" s="11"/>
      <c r="T33" s="11"/>
      <c r="U33" s="11"/>
      <c r="V33" s="11"/>
      <c r="W33" s="11"/>
      <c r="X33" s="11"/>
    </row>
    <row r="34" ht="15.0" customHeight="1">
      <c r="A34" s="14" t="s">
        <v>1087</v>
      </c>
      <c r="B34" s="14"/>
      <c r="C34" s="14"/>
      <c r="D34" s="14"/>
      <c r="E34" s="14"/>
      <c r="F34" s="14"/>
      <c r="G34" s="14"/>
      <c r="H34" s="14"/>
      <c r="I34" s="14"/>
      <c r="J34" s="14"/>
      <c r="K34" s="14"/>
      <c r="L34" s="14"/>
      <c r="M34" s="14"/>
      <c r="N34" s="14"/>
      <c r="O34" s="14"/>
      <c r="P34" s="14"/>
      <c r="Q34" s="14"/>
      <c r="R34" s="14"/>
      <c r="S34" s="14"/>
      <c r="T34" s="14"/>
      <c r="U34" s="14"/>
      <c r="V34" s="14"/>
      <c r="W34" s="14"/>
      <c r="X34" s="14"/>
    </row>
    <row r="35" ht="15.0" customHeight="1">
      <c r="A35" s="11" t="s">
        <v>1092</v>
      </c>
      <c r="B35" s="11"/>
      <c r="C35" s="11"/>
      <c r="D35" s="11"/>
      <c r="E35" s="11"/>
      <c r="F35" s="11"/>
      <c r="G35" s="11"/>
      <c r="H35" s="11"/>
      <c r="I35" s="11"/>
      <c r="J35" s="11"/>
      <c r="K35" s="11"/>
      <c r="L35" s="11"/>
      <c r="M35" s="11"/>
      <c r="N35" s="11"/>
      <c r="O35" s="11"/>
      <c r="P35" s="11"/>
      <c r="Q35" s="11"/>
      <c r="R35" s="11"/>
      <c r="S35" s="11"/>
      <c r="T35" s="11"/>
      <c r="U35" s="11"/>
      <c r="V35" s="11"/>
      <c r="W35" s="11"/>
      <c r="X35" s="11"/>
    </row>
    <row r="36" ht="15.0" customHeight="1">
      <c r="A36" s="14" t="s">
        <v>1097</v>
      </c>
      <c r="B36" s="14"/>
      <c r="C36" s="14"/>
      <c r="D36" s="14"/>
      <c r="E36" s="14"/>
      <c r="F36" s="14"/>
      <c r="G36" s="14"/>
      <c r="H36" s="14"/>
      <c r="I36" s="14"/>
      <c r="J36" s="14"/>
      <c r="K36" s="14"/>
      <c r="L36" s="14"/>
      <c r="M36" s="14"/>
      <c r="N36" s="14"/>
      <c r="O36" s="14"/>
      <c r="P36" s="14"/>
      <c r="Q36" s="14"/>
      <c r="R36" s="14"/>
      <c r="S36" s="14"/>
      <c r="T36" s="14"/>
      <c r="U36" s="14"/>
      <c r="V36" s="14"/>
      <c r="W36" s="14"/>
      <c r="X36" s="14"/>
    </row>
    <row r="37" ht="15.0" customHeight="1">
      <c r="A37" s="11" t="s">
        <v>1098</v>
      </c>
      <c r="B37" s="11"/>
      <c r="C37" s="11"/>
      <c r="D37" s="11"/>
      <c r="E37" s="11"/>
      <c r="F37" s="11"/>
      <c r="G37" s="11"/>
      <c r="H37" s="11"/>
      <c r="I37" s="11"/>
      <c r="J37" s="11"/>
      <c r="K37" s="11"/>
      <c r="L37" s="11"/>
      <c r="M37" s="11"/>
      <c r="N37" s="11"/>
      <c r="O37" s="11"/>
      <c r="P37" s="11"/>
      <c r="Q37" s="11"/>
      <c r="R37" s="11"/>
      <c r="S37" s="11"/>
      <c r="T37" s="11"/>
      <c r="U37" s="11"/>
      <c r="V37" s="11"/>
      <c r="W37" s="11"/>
      <c r="X37" s="11"/>
    </row>
    <row r="38" ht="15.0" customHeight="1">
      <c r="A38" s="14" t="s">
        <v>1101</v>
      </c>
      <c r="B38" s="14"/>
      <c r="C38" s="14"/>
      <c r="D38" s="14"/>
      <c r="E38" s="14"/>
      <c r="F38" s="14"/>
      <c r="G38" s="14"/>
      <c r="H38" s="14"/>
      <c r="I38" s="14"/>
      <c r="J38" s="14"/>
      <c r="K38" s="14"/>
      <c r="L38" s="14"/>
      <c r="M38" s="14"/>
      <c r="N38" s="14"/>
      <c r="O38" s="14"/>
      <c r="P38" s="14"/>
      <c r="Q38" s="14"/>
      <c r="R38" s="14"/>
      <c r="S38" s="14"/>
      <c r="T38" s="14"/>
      <c r="U38" s="14"/>
      <c r="V38" s="14"/>
      <c r="W38" s="14"/>
      <c r="X38" s="14"/>
    </row>
    <row r="39" ht="15.0" customHeight="1">
      <c r="A39" s="11" t="s">
        <v>1103</v>
      </c>
      <c r="B39" s="11"/>
      <c r="C39" s="11"/>
      <c r="D39" s="11"/>
      <c r="E39" s="11"/>
      <c r="F39" s="11"/>
      <c r="G39" s="11"/>
      <c r="H39" s="11"/>
      <c r="I39" s="11"/>
      <c r="J39" s="11"/>
      <c r="K39" s="11"/>
      <c r="L39" s="11"/>
      <c r="M39" s="11"/>
      <c r="N39" s="11"/>
      <c r="O39" s="11"/>
      <c r="P39" s="11"/>
      <c r="Q39" s="11"/>
      <c r="R39" s="11"/>
      <c r="S39" s="11"/>
      <c r="T39" s="11"/>
      <c r="U39" s="11"/>
      <c r="V39" s="11"/>
      <c r="W39" s="11"/>
      <c r="X39" s="11"/>
    </row>
    <row r="40" ht="15.0" customHeight="1">
      <c r="A40" s="14" t="s">
        <v>1109</v>
      </c>
      <c r="B40" s="14"/>
      <c r="C40" s="14"/>
      <c r="D40" s="14"/>
      <c r="E40" s="14"/>
      <c r="F40" s="14"/>
      <c r="G40" s="14"/>
      <c r="H40" s="14"/>
      <c r="I40" s="14"/>
      <c r="J40" s="14"/>
      <c r="K40" s="14"/>
      <c r="L40" s="14"/>
      <c r="M40" s="14"/>
      <c r="N40" s="14"/>
      <c r="O40" s="14"/>
      <c r="P40" s="14"/>
      <c r="Q40" s="14"/>
      <c r="R40" s="14"/>
      <c r="S40" s="14"/>
      <c r="T40" s="14"/>
      <c r="U40" s="14"/>
      <c r="V40" s="14"/>
      <c r="W40" s="14"/>
      <c r="X40" s="14"/>
    </row>
    <row r="41" ht="15.0" customHeight="1">
      <c r="A41" s="11" t="s">
        <v>1111</v>
      </c>
      <c r="B41" s="11"/>
      <c r="C41" s="11"/>
      <c r="D41" s="11"/>
      <c r="E41" s="11"/>
      <c r="F41" s="11"/>
      <c r="G41" s="11"/>
      <c r="H41" s="11"/>
      <c r="I41" s="11"/>
      <c r="J41" s="11"/>
      <c r="K41" s="11"/>
      <c r="L41" s="11"/>
      <c r="M41" s="11"/>
      <c r="N41" s="11"/>
      <c r="O41" s="11"/>
      <c r="P41" s="11"/>
      <c r="Q41" s="11"/>
      <c r="R41" s="11"/>
      <c r="S41" s="11"/>
      <c r="T41" s="11"/>
      <c r="U41" s="11"/>
      <c r="V41" s="11"/>
      <c r="W41" s="11"/>
      <c r="X41" s="11"/>
    </row>
    <row r="42" ht="15.0" customHeight="1">
      <c r="A42" s="14" t="s">
        <v>1113</v>
      </c>
      <c r="B42" s="14"/>
      <c r="C42" s="14"/>
      <c r="D42" s="14"/>
      <c r="E42" s="14"/>
      <c r="F42" s="14"/>
      <c r="G42" s="14"/>
      <c r="H42" s="14"/>
      <c r="I42" s="14"/>
      <c r="J42" s="14"/>
      <c r="K42" s="14"/>
      <c r="L42" s="14"/>
      <c r="M42" s="14"/>
      <c r="N42" s="14"/>
      <c r="O42" s="14"/>
      <c r="P42" s="14"/>
      <c r="Q42" s="14"/>
      <c r="R42" s="14"/>
      <c r="S42" s="14"/>
      <c r="T42" s="14"/>
      <c r="U42" s="14"/>
      <c r="V42" s="14"/>
      <c r="W42" s="14"/>
      <c r="X42" s="14"/>
    </row>
    <row r="43" ht="15.0" customHeight="1">
      <c r="A43" s="11" t="s">
        <v>1114</v>
      </c>
      <c r="B43" s="11"/>
      <c r="C43" s="11"/>
      <c r="D43" s="11"/>
      <c r="E43" s="11"/>
      <c r="F43" s="11"/>
      <c r="G43" s="11"/>
      <c r="H43" s="11"/>
      <c r="I43" s="11"/>
      <c r="J43" s="11"/>
      <c r="K43" s="11"/>
      <c r="L43" s="11"/>
      <c r="M43" s="11"/>
      <c r="N43" s="11"/>
      <c r="O43" s="11"/>
      <c r="P43" s="11"/>
      <c r="Q43" s="11"/>
      <c r="R43" s="11"/>
      <c r="S43" s="11"/>
      <c r="T43" s="11"/>
      <c r="U43" s="11"/>
      <c r="V43" s="11"/>
      <c r="W43" s="11"/>
      <c r="X43" s="11"/>
    </row>
    <row r="44" ht="15.0" customHeight="1">
      <c r="A44" s="14" t="s">
        <v>1115</v>
      </c>
      <c r="B44" s="14"/>
      <c r="C44" s="14"/>
      <c r="D44" s="14"/>
      <c r="E44" s="14"/>
      <c r="F44" s="14"/>
      <c r="G44" s="14"/>
      <c r="H44" s="14"/>
      <c r="I44" s="14"/>
      <c r="J44" s="14"/>
      <c r="K44" s="14"/>
      <c r="L44" s="14"/>
      <c r="M44" s="14"/>
      <c r="N44" s="14"/>
      <c r="O44" s="14"/>
      <c r="P44" s="14"/>
      <c r="Q44" s="14"/>
      <c r="R44" s="14"/>
      <c r="S44" s="14"/>
      <c r="T44" s="14"/>
      <c r="U44" s="14"/>
      <c r="V44" s="14"/>
      <c r="W44" s="14"/>
      <c r="X44" s="14"/>
    </row>
    <row r="45" ht="15.0" customHeight="1">
      <c r="A45" s="11" t="s">
        <v>1116</v>
      </c>
      <c r="B45" s="11"/>
      <c r="C45" s="11"/>
      <c r="D45" s="11"/>
      <c r="E45" s="11"/>
      <c r="F45" s="11"/>
      <c r="G45" s="11"/>
      <c r="H45" s="11"/>
      <c r="I45" s="11"/>
      <c r="J45" s="11"/>
      <c r="K45" s="11"/>
      <c r="L45" s="11"/>
      <c r="M45" s="11"/>
      <c r="N45" s="11"/>
      <c r="O45" s="11"/>
      <c r="P45" s="11"/>
      <c r="Q45" s="11"/>
      <c r="R45" s="11"/>
      <c r="S45" s="11"/>
      <c r="T45" s="11"/>
      <c r="U45" s="11"/>
      <c r="V45" s="11"/>
      <c r="W45" s="11"/>
      <c r="X45" s="11"/>
    </row>
    <row r="46" ht="15.0" customHeight="1">
      <c r="A46" s="14" t="s">
        <v>1121</v>
      </c>
      <c r="B46" s="14"/>
      <c r="C46" s="14"/>
      <c r="D46" s="14"/>
      <c r="E46" s="14"/>
      <c r="F46" s="14"/>
      <c r="G46" s="14"/>
      <c r="H46" s="14"/>
      <c r="I46" s="14"/>
      <c r="J46" s="14"/>
      <c r="K46" s="14"/>
      <c r="L46" s="14"/>
      <c r="M46" s="14"/>
      <c r="N46" s="14"/>
      <c r="O46" s="14"/>
      <c r="P46" s="14"/>
      <c r="Q46" s="14"/>
      <c r="R46" s="14"/>
      <c r="S46" s="14"/>
      <c r="T46" s="14"/>
      <c r="U46" s="14"/>
      <c r="V46" s="14"/>
      <c r="W46" s="14"/>
      <c r="X46" s="14"/>
    </row>
    <row r="47" ht="15.0" customHeight="1">
      <c r="A47" s="11" t="s">
        <v>882</v>
      </c>
      <c r="B47" s="11"/>
      <c r="C47" s="11"/>
      <c r="D47" s="11"/>
      <c r="E47" s="11"/>
      <c r="F47" s="11"/>
      <c r="G47" s="11"/>
      <c r="H47" s="11"/>
      <c r="I47" s="11"/>
      <c r="J47" s="11"/>
      <c r="K47" s="11"/>
      <c r="L47" s="11"/>
      <c r="M47" s="11"/>
      <c r="N47" s="11"/>
      <c r="O47" s="11"/>
      <c r="P47" s="11"/>
      <c r="Q47" s="11"/>
      <c r="R47" s="11"/>
      <c r="S47" s="11"/>
      <c r="T47" s="11"/>
      <c r="U47" s="11"/>
      <c r="V47" s="11"/>
      <c r="W47" s="11"/>
      <c r="X47" s="11"/>
    </row>
    <row r="48" ht="15.0" customHeight="1">
      <c r="A48" s="14" t="s">
        <v>1122</v>
      </c>
      <c r="B48" s="14"/>
      <c r="C48" s="14"/>
      <c r="D48" s="14"/>
      <c r="E48" s="14"/>
      <c r="F48" s="14"/>
      <c r="G48" s="14"/>
      <c r="H48" s="14"/>
      <c r="I48" s="14"/>
      <c r="J48" s="14"/>
      <c r="K48" s="14"/>
      <c r="L48" s="14"/>
      <c r="M48" s="14"/>
      <c r="N48" s="14"/>
      <c r="O48" s="14"/>
      <c r="P48" s="14"/>
      <c r="Q48" s="14"/>
      <c r="R48" s="14"/>
      <c r="S48" s="14"/>
      <c r="T48" s="14"/>
      <c r="U48" s="14"/>
      <c r="V48" s="14"/>
      <c r="W48" s="14"/>
      <c r="X48" s="14"/>
    </row>
    <row r="49" ht="15.0" customHeight="1">
      <c r="A49" s="11" t="s">
        <v>1124</v>
      </c>
      <c r="B49" s="11"/>
      <c r="C49" s="11"/>
      <c r="D49" s="11"/>
      <c r="E49" s="11"/>
      <c r="F49" s="11"/>
      <c r="G49" s="11"/>
      <c r="H49" s="11"/>
      <c r="I49" s="11"/>
      <c r="J49" s="11"/>
      <c r="K49" s="11"/>
      <c r="L49" s="11"/>
      <c r="M49" s="11"/>
      <c r="N49" s="11"/>
      <c r="O49" s="11"/>
      <c r="P49" s="11"/>
      <c r="Q49" s="11"/>
      <c r="R49" s="11"/>
      <c r="S49" s="11"/>
      <c r="T49" s="11"/>
      <c r="U49" s="11"/>
      <c r="V49" s="11"/>
      <c r="W49" s="11"/>
      <c r="X49" s="11"/>
    </row>
    <row r="50" ht="15.0" customHeight="1">
      <c r="A50" s="14" t="s">
        <v>1130</v>
      </c>
      <c r="B50" s="14"/>
      <c r="C50" s="14"/>
      <c r="D50" s="14"/>
      <c r="E50" s="14"/>
      <c r="F50" s="14"/>
      <c r="G50" s="14"/>
      <c r="H50" s="14"/>
      <c r="I50" s="14"/>
      <c r="J50" s="14"/>
      <c r="K50" s="14"/>
      <c r="L50" s="14"/>
      <c r="M50" s="14"/>
      <c r="N50" s="14"/>
      <c r="O50" s="14"/>
      <c r="P50" s="14"/>
      <c r="Q50" s="14"/>
      <c r="R50" s="14"/>
      <c r="S50" s="14"/>
      <c r="T50" s="14"/>
      <c r="U50" s="14"/>
      <c r="V50" s="14"/>
      <c r="W50" s="14"/>
      <c r="X50" s="14"/>
    </row>
    <row r="51" ht="15.0" customHeight="1">
      <c r="A51" s="11" t="s">
        <v>1131</v>
      </c>
      <c r="B51" s="11"/>
      <c r="C51" s="11"/>
      <c r="D51" s="11"/>
      <c r="E51" s="11"/>
      <c r="F51" s="11"/>
      <c r="G51" s="11"/>
      <c r="H51" s="11"/>
      <c r="I51" s="11"/>
      <c r="J51" s="11"/>
      <c r="K51" s="11"/>
      <c r="L51" s="11"/>
      <c r="M51" s="11"/>
      <c r="N51" s="11"/>
      <c r="O51" s="11"/>
      <c r="P51" s="11"/>
      <c r="Q51" s="11"/>
      <c r="R51" s="11"/>
      <c r="S51" s="11"/>
      <c r="T51" s="11"/>
      <c r="U51" s="11"/>
      <c r="V51" s="11"/>
      <c r="W51" s="11"/>
      <c r="X51" s="11"/>
    </row>
    <row r="52" ht="15.0" customHeight="1">
      <c r="A52" s="14" t="s">
        <v>1138</v>
      </c>
      <c r="B52" s="14"/>
      <c r="C52" s="14"/>
      <c r="D52" s="14"/>
      <c r="E52" s="14"/>
      <c r="F52" s="14"/>
      <c r="G52" s="14"/>
      <c r="H52" s="14"/>
      <c r="I52" s="14"/>
      <c r="J52" s="14"/>
      <c r="K52" s="14"/>
      <c r="L52" s="14"/>
      <c r="M52" s="14"/>
      <c r="N52" s="14"/>
      <c r="O52" s="14"/>
      <c r="P52" s="14"/>
      <c r="Q52" s="14"/>
      <c r="R52" s="14"/>
      <c r="S52" s="14"/>
      <c r="T52" s="14"/>
      <c r="U52" s="14"/>
      <c r="V52" s="14"/>
      <c r="W52" s="14"/>
      <c r="X52" s="14"/>
    </row>
    <row r="53" ht="15.0" customHeight="1">
      <c r="A53" s="11" t="s">
        <v>1139</v>
      </c>
      <c r="B53" s="11"/>
      <c r="C53" s="11"/>
      <c r="D53" s="11"/>
      <c r="E53" s="11"/>
      <c r="F53" s="11"/>
      <c r="G53" s="11"/>
      <c r="H53" s="11"/>
      <c r="I53" s="11"/>
      <c r="J53" s="11"/>
      <c r="K53" s="11"/>
      <c r="L53" s="11"/>
      <c r="M53" s="11"/>
      <c r="N53" s="11"/>
      <c r="O53" s="11"/>
      <c r="P53" s="11"/>
      <c r="Q53" s="11"/>
      <c r="R53" s="11"/>
      <c r="S53" s="11"/>
      <c r="T53" s="11"/>
      <c r="U53" s="11"/>
      <c r="V53" s="11"/>
      <c r="W53" s="11"/>
      <c r="X53" s="11"/>
    </row>
    <row r="54" ht="15.0" customHeight="1">
      <c r="A54" s="14" t="s">
        <v>1140</v>
      </c>
      <c r="B54" s="14"/>
      <c r="C54" s="14"/>
      <c r="D54" s="14"/>
      <c r="E54" s="14"/>
      <c r="F54" s="14"/>
      <c r="G54" s="14"/>
      <c r="H54" s="14"/>
      <c r="I54" s="14"/>
      <c r="J54" s="14"/>
      <c r="K54" s="14"/>
      <c r="L54" s="14"/>
      <c r="M54" s="14"/>
      <c r="N54" s="14"/>
      <c r="O54" s="14"/>
      <c r="P54" s="14"/>
      <c r="Q54" s="14"/>
      <c r="R54" s="14"/>
      <c r="S54" s="14"/>
      <c r="T54" s="14"/>
      <c r="U54" s="14"/>
      <c r="V54" s="14"/>
      <c r="W54" s="14"/>
      <c r="X54" s="14"/>
    </row>
    <row r="55" ht="15.0" customHeight="1">
      <c r="A55" s="11" t="s">
        <v>1141</v>
      </c>
      <c r="B55" s="11"/>
      <c r="C55" s="11"/>
      <c r="D55" s="11"/>
      <c r="E55" s="11"/>
      <c r="F55" s="11"/>
      <c r="G55" s="11"/>
      <c r="H55" s="11"/>
      <c r="I55" s="11"/>
      <c r="J55" s="11"/>
      <c r="K55" s="11"/>
      <c r="L55" s="11"/>
      <c r="M55" s="11"/>
      <c r="N55" s="11"/>
      <c r="O55" s="11"/>
      <c r="P55" s="11"/>
      <c r="Q55" s="11"/>
      <c r="R55" s="11"/>
      <c r="S55" s="11"/>
      <c r="T55" s="11"/>
      <c r="U55" s="11"/>
      <c r="V55" s="11"/>
      <c r="W55" s="11"/>
      <c r="X55" s="11"/>
    </row>
    <row r="56" ht="15.0" customHeight="1">
      <c r="A56" s="14" t="s">
        <v>1142</v>
      </c>
      <c r="B56" s="14"/>
      <c r="C56" s="14"/>
      <c r="D56" s="14"/>
      <c r="E56" s="14"/>
      <c r="F56" s="14"/>
      <c r="G56" s="14"/>
      <c r="H56" s="14"/>
      <c r="I56" s="14"/>
      <c r="J56" s="14"/>
      <c r="K56" s="14"/>
      <c r="L56" s="14"/>
      <c r="M56" s="14"/>
      <c r="N56" s="14"/>
      <c r="O56" s="14"/>
      <c r="P56" s="14"/>
      <c r="Q56" s="14"/>
      <c r="R56" s="14"/>
      <c r="S56" s="14"/>
      <c r="T56" s="14"/>
      <c r="U56" s="14"/>
      <c r="V56" s="14"/>
      <c r="W56" s="14"/>
      <c r="X56" s="14"/>
    </row>
    <row r="57" ht="15.0" customHeight="1">
      <c r="A57" s="11" t="s">
        <v>1149</v>
      </c>
      <c r="B57" s="11"/>
      <c r="C57" s="11"/>
      <c r="D57" s="11"/>
      <c r="E57" s="11"/>
      <c r="F57" s="11"/>
      <c r="G57" s="11"/>
      <c r="H57" s="11"/>
      <c r="I57" s="11"/>
      <c r="J57" s="11"/>
      <c r="K57" s="11"/>
      <c r="L57" s="11"/>
      <c r="M57" s="11"/>
      <c r="N57" s="11"/>
      <c r="O57" s="11"/>
      <c r="P57" s="11"/>
      <c r="Q57" s="11"/>
      <c r="R57" s="11"/>
      <c r="S57" s="11"/>
      <c r="T57" s="11"/>
      <c r="U57" s="11"/>
      <c r="V57" s="11"/>
      <c r="W57" s="11"/>
      <c r="X57" s="11"/>
    </row>
    <row r="58" ht="15.0" customHeight="1">
      <c r="A58" s="14" t="s">
        <v>1152</v>
      </c>
      <c r="B58" s="14"/>
      <c r="C58" s="14"/>
      <c r="D58" s="14"/>
      <c r="E58" s="14"/>
      <c r="F58" s="14"/>
      <c r="G58" s="14"/>
      <c r="H58" s="14"/>
      <c r="I58" s="14"/>
      <c r="J58" s="14"/>
      <c r="K58" s="14"/>
      <c r="L58" s="14"/>
      <c r="M58" s="14"/>
      <c r="N58" s="14"/>
      <c r="O58" s="14"/>
      <c r="P58" s="14"/>
      <c r="Q58" s="14"/>
      <c r="R58" s="14"/>
      <c r="S58" s="14"/>
      <c r="T58" s="14"/>
      <c r="U58" s="14"/>
      <c r="V58" s="14"/>
      <c r="W58" s="14"/>
      <c r="X58" s="14"/>
    </row>
    <row r="59" ht="15.0" customHeight="1">
      <c r="A59" s="11" t="s">
        <v>1153</v>
      </c>
      <c r="B59" s="11"/>
      <c r="C59" s="11"/>
      <c r="D59" s="11"/>
      <c r="E59" s="11"/>
      <c r="F59" s="11"/>
      <c r="G59" s="11"/>
      <c r="H59" s="11"/>
      <c r="I59" s="11"/>
      <c r="J59" s="11"/>
      <c r="K59" s="11"/>
      <c r="L59" s="11"/>
      <c r="M59" s="11"/>
      <c r="N59" s="11"/>
      <c r="O59" s="11"/>
      <c r="P59" s="11"/>
      <c r="Q59" s="11"/>
      <c r="R59" s="11"/>
      <c r="S59" s="11"/>
      <c r="T59" s="11"/>
      <c r="U59" s="11"/>
      <c r="V59" s="11"/>
      <c r="W59" s="11"/>
      <c r="X59" s="11"/>
    </row>
    <row r="60" ht="15.0" customHeight="1">
      <c r="A60" s="14" t="s">
        <v>1154</v>
      </c>
      <c r="B60" s="14"/>
      <c r="C60" s="14"/>
      <c r="D60" s="14"/>
      <c r="E60" s="14"/>
      <c r="F60" s="14"/>
      <c r="G60" s="14"/>
      <c r="H60" s="14"/>
      <c r="I60" s="14"/>
      <c r="J60" s="14"/>
      <c r="K60" s="14"/>
      <c r="L60" s="14"/>
      <c r="M60" s="14"/>
      <c r="N60" s="14"/>
      <c r="O60" s="14"/>
      <c r="P60" s="14"/>
      <c r="Q60" s="14"/>
      <c r="R60" s="14"/>
      <c r="S60" s="14"/>
      <c r="T60" s="14"/>
      <c r="U60" s="14"/>
      <c r="V60" s="14"/>
      <c r="W60" s="14"/>
      <c r="X60" s="14"/>
    </row>
    <row r="61" ht="15.0" customHeight="1">
      <c r="A61" s="11" t="s">
        <v>1155</v>
      </c>
      <c r="B61" s="11"/>
      <c r="C61" s="11"/>
      <c r="D61" s="11"/>
      <c r="E61" s="11"/>
      <c r="F61" s="11"/>
      <c r="G61" s="11"/>
      <c r="H61" s="11"/>
      <c r="I61" s="11"/>
      <c r="J61" s="11"/>
      <c r="K61" s="11"/>
      <c r="L61" s="11"/>
      <c r="M61" s="11"/>
      <c r="N61" s="11"/>
      <c r="O61" s="11"/>
      <c r="P61" s="11"/>
      <c r="Q61" s="11"/>
      <c r="R61" s="11"/>
      <c r="S61" s="11"/>
      <c r="T61" s="11"/>
      <c r="U61" s="11"/>
      <c r="V61" s="11"/>
      <c r="W61" s="11"/>
      <c r="X61" s="11"/>
    </row>
    <row r="62" ht="15.0" customHeight="1">
      <c r="A62" s="14" t="s">
        <v>1156</v>
      </c>
      <c r="B62" s="14"/>
      <c r="C62" s="14"/>
      <c r="D62" s="14"/>
      <c r="E62" s="14"/>
      <c r="F62" s="14"/>
      <c r="G62" s="14"/>
      <c r="H62" s="14"/>
      <c r="I62" s="14"/>
      <c r="J62" s="14"/>
      <c r="K62" s="14"/>
      <c r="L62" s="14"/>
      <c r="M62" s="14"/>
      <c r="N62" s="14"/>
      <c r="O62" s="14"/>
      <c r="P62" s="14"/>
      <c r="Q62" s="14"/>
      <c r="R62" s="14"/>
      <c r="S62" s="14"/>
      <c r="T62" s="14"/>
      <c r="U62" s="14"/>
      <c r="V62" s="14"/>
      <c r="W62" s="14"/>
      <c r="X62" s="14"/>
    </row>
    <row r="63" ht="15.0" customHeight="1">
      <c r="A63" s="11" t="s">
        <v>1157</v>
      </c>
      <c r="B63" s="11"/>
      <c r="C63" s="11"/>
      <c r="D63" s="11"/>
      <c r="E63" s="11"/>
      <c r="F63" s="11"/>
      <c r="G63" s="11"/>
      <c r="H63" s="11"/>
      <c r="I63" s="11"/>
      <c r="J63" s="11"/>
      <c r="K63" s="11"/>
      <c r="L63" s="11"/>
      <c r="M63" s="11"/>
      <c r="N63" s="11"/>
      <c r="O63" s="11"/>
      <c r="P63" s="11"/>
      <c r="Q63" s="11"/>
      <c r="R63" s="11"/>
      <c r="S63" s="11"/>
      <c r="T63" s="11"/>
      <c r="U63" s="11"/>
      <c r="V63" s="11"/>
      <c r="W63" s="11"/>
      <c r="X63" s="11"/>
    </row>
    <row r="64" ht="15.0" customHeight="1">
      <c r="A64" s="14" t="s">
        <v>1162</v>
      </c>
      <c r="B64" s="14"/>
      <c r="C64" s="14"/>
      <c r="D64" s="14"/>
      <c r="E64" s="14"/>
      <c r="F64" s="14"/>
      <c r="G64" s="14"/>
      <c r="H64" s="14"/>
      <c r="I64" s="14"/>
      <c r="J64" s="14"/>
      <c r="K64" s="14"/>
      <c r="L64" s="14"/>
      <c r="M64" s="14"/>
      <c r="N64" s="14"/>
      <c r="O64" s="14"/>
      <c r="P64" s="14"/>
      <c r="Q64" s="14"/>
      <c r="R64" s="14"/>
      <c r="S64" s="14"/>
      <c r="T64" s="14"/>
      <c r="U64" s="14"/>
      <c r="V64" s="14"/>
      <c r="W64" s="14"/>
      <c r="X64" s="14"/>
    </row>
    <row r="65" ht="15.75" customHeight="1"/>
    <row r="66" ht="30.0" customHeight="1">
      <c r="A66" s="18" t="s">
        <v>1166</v>
      </c>
    </row>
    <row r="67" ht="15.75" customHeight="1"/>
    <row r="68" ht="15.75" customHeight="1">
      <c r="A68" s="27" t="s">
        <v>1167</v>
      </c>
    </row>
    <row r="69" ht="15.75" customHeight="1">
      <c r="A69" s="82" t="s">
        <v>1168</v>
      </c>
      <c r="B69" s="2"/>
      <c r="C69" s="2"/>
      <c r="D69" s="2"/>
      <c r="E69" s="2"/>
      <c r="F69" s="3"/>
    </row>
    <row r="70" ht="30.0" customHeight="1">
      <c r="A70" s="83" t="s">
        <v>1170</v>
      </c>
      <c r="B70" s="2"/>
      <c r="C70" s="2"/>
      <c r="D70" s="2"/>
      <c r="E70" s="2"/>
      <c r="F70" s="3"/>
    </row>
    <row r="71" ht="15.75" customHeight="1">
      <c r="A71" s="82" t="s">
        <v>1172</v>
      </c>
      <c r="B71" s="2"/>
      <c r="C71" s="2"/>
      <c r="D71" s="2"/>
      <c r="E71" s="2"/>
      <c r="F71" s="3"/>
    </row>
    <row r="72" ht="30.0" customHeight="1">
      <c r="A72" s="83" t="s">
        <v>1173</v>
      </c>
      <c r="B72" s="2"/>
      <c r="C72" s="2"/>
      <c r="D72" s="2"/>
      <c r="E72" s="2"/>
      <c r="F72" s="3"/>
    </row>
    <row r="73" ht="15.75" customHeight="1">
      <c r="A73" s="82" t="s">
        <v>1174</v>
      </c>
      <c r="B73" s="2"/>
      <c r="C73" s="2"/>
      <c r="D73" s="2"/>
      <c r="E73" s="2"/>
      <c r="F73" s="3"/>
    </row>
    <row r="74" ht="30.0" customHeight="1">
      <c r="A74" s="83" t="s">
        <v>1175</v>
      </c>
      <c r="B74" s="2"/>
      <c r="C74" s="2"/>
      <c r="D74" s="2"/>
      <c r="E74" s="2"/>
      <c r="F74" s="3"/>
    </row>
    <row r="75" ht="15.75" customHeight="1"/>
    <row r="76" ht="15.75" customHeight="1">
      <c r="A76" s="27" t="s">
        <v>1179</v>
      </c>
    </row>
    <row r="77" ht="15.75" customHeight="1">
      <c r="A77" s="84" t="s">
        <v>1181</v>
      </c>
      <c r="B77" s="2"/>
      <c r="C77" s="2"/>
      <c r="D77" s="2"/>
      <c r="E77" s="2"/>
      <c r="F77" s="3"/>
    </row>
    <row r="78" ht="30.0" customHeight="1">
      <c r="A78" s="85" t="s">
        <v>1183</v>
      </c>
      <c r="B78" s="2"/>
      <c r="C78" s="2"/>
      <c r="D78" s="2"/>
      <c r="E78" s="2"/>
      <c r="F78" s="3"/>
    </row>
    <row r="79" ht="15.75" customHeight="1">
      <c r="A79" s="84" t="s">
        <v>1184</v>
      </c>
      <c r="B79" s="2"/>
      <c r="C79" s="2"/>
      <c r="D79" s="2"/>
      <c r="E79" s="2"/>
      <c r="F79" s="3"/>
    </row>
    <row r="80" ht="30.0" customHeight="1">
      <c r="A80" s="85" t="s">
        <v>1185</v>
      </c>
      <c r="B80" s="2"/>
      <c r="C80" s="2"/>
      <c r="D80" s="2"/>
      <c r="E80" s="2"/>
      <c r="F80" s="3"/>
    </row>
    <row r="81" ht="15.75" customHeight="1"/>
    <row r="82" ht="25.5" customHeight="1">
      <c r="A82" s="71" t="s">
        <v>1186</v>
      </c>
    </row>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X$2"/>
  <mergeCells count="15">
    <mergeCell ref="A73:F73"/>
    <mergeCell ref="A74:F74"/>
    <mergeCell ref="A76:F76"/>
    <mergeCell ref="A77:F77"/>
    <mergeCell ref="A78:F78"/>
    <mergeCell ref="A79:F79"/>
    <mergeCell ref="A80:F80"/>
    <mergeCell ref="A82:F82"/>
    <mergeCell ref="A1:X1"/>
    <mergeCell ref="A66:X66"/>
    <mergeCell ref="A68:F68"/>
    <mergeCell ref="A69:F69"/>
    <mergeCell ref="A70:F70"/>
    <mergeCell ref="A71:F71"/>
    <mergeCell ref="A72:F72"/>
  </mergeCells>
  <conditionalFormatting sqref="W3:W64">
    <cfRule type="cellIs" dxfId="0" priority="1" operator="equal">
      <formula>"Excluir da análise"</formula>
    </cfRule>
  </conditionalFormatting>
  <dataValidations>
    <dataValidation type="list" allowBlank="1" sqref="W3:W64">
      <formula1>"Válido,Válido com observação,Repetir teste,Excluir da análise"</formula1>
    </dataValidation>
    <dataValidation type="list" allowBlank="1" sqref="B3:V64">
      <formula1>"Sim,Não,Não se aplica"</formula1>
    </dataValidation>
  </dataValidation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2026-09-19T21:38:33Z</dcterms:created>
  <dc:creator>openpyxl</dc:creator>
</cp:coreProperties>
</file>

<file path=docProps/custom.xml><?xml version="1.0" encoding="utf-8"?>
<Properties xmlns="http://schemas.openxmlformats.org/officeDocument/2006/custom-properties" xmlns:vt="http://schemas.openxmlformats.org/officeDocument/2006/docPropsVTypes"/>
</file>